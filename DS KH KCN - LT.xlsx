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yen mon\2026\Hop tac dau tu\"/>
    </mc:Choice>
  </mc:AlternateContent>
  <xr:revisionPtr revIDLastSave="0" documentId="13_ncr:1_{75CE5874-28B2-4F85-AFA4-864FADFC2B8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S TONG" sheetId="1" r:id="rId1"/>
    <sheet name="LT con lai" sheetId="15" r:id="rId2"/>
    <sheet name="KCN LA-BS" sheetId="18" state="hidden" r:id="rId3"/>
    <sheet name="Ra soat KCN LT Amata" sheetId="22" r:id="rId4"/>
    <sheet name="Ra soat KCN LA-BS" sheetId="21" r:id="rId5"/>
    <sheet name="KCN LT" sheetId="17" state="hidden" r:id="rId6"/>
    <sheet name="KCN GD" sheetId="19" state="hidden" r:id="rId7"/>
    <sheet name="Ra soat KCN LT" sheetId="24" r:id="rId8"/>
    <sheet name="Ra soat KCN GD" sheetId="23" r:id="rId9"/>
    <sheet name="KCN AMATA LT" sheetId="20" state="hidden" r:id="rId10"/>
  </sheets>
  <definedNames>
    <definedName name="_xlnm._FilterDatabase" localSheetId="0" hidden="1">'DS TONG'!$A$3:$BU$2038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24" l="1"/>
  <c r="D39" i="23"/>
  <c r="D13" i="22"/>
  <c r="D13" i="21"/>
  <c r="D9" i="21"/>
  <c r="D8" i="21"/>
  <c r="D7" i="21"/>
  <c r="D6" i="21"/>
  <c r="D4" i="21"/>
  <c r="D56" i="21" s="1"/>
  <c r="BV11" i="18"/>
  <c r="BV7" i="18"/>
  <c r="BV6" i="18"/>
  <c r="BV5" i="18"/>
  <c r="BV4" i="18"/>
  <c r="BV2" i="18"/>
  <c r="BU6" i="20"/>
  <c r="BC6" i="20"/>
  <c r="BU35" i="19"/>
  <c r="BC35" i="19"/>
  <c r="BC64" i="18"/>
  <c r="BC111" i="17"/>
  <c r="BU111" i="17"/>
</calcChain>
</file>

<file path=xl/sharedStrings.xml><?xml version="1.0" encoding="utf-8"?>
<sst xmlns="http://schemas.openxmlformats.org/spreadsheetml/2006/main" count="26419" uniqueCount="6166">
  <si>
    <t>mst</t>
  </si>
  <si>
    <t>vnpts_sl</t>
  </si>
  <si>
    <t>vnpts_dthu</t>
  </si>
  <si>
    <t>net_sl</t>
  </si>
  <si>
    <t>net_dthu</t>
  </si>
  <si>
    <t>int_sl</t>
  </si>
  <si>
    <t>int_dthu</t>
  </si>
  <si>
    <t>dtcd_sl</t>
  </si>
  <si>
    <t>dtcd_dthu</t>
  </si>
  <si>
    <t>ktr_sl</t>
  </si>
  <si>
    <t>ktr_dthu</t>
  </si>
  <si>
    <t>vpn_sl</t>
  </si>
  <si>
    <t>vpn_dthu</t>
  </si>
  <si>
    <t>tsl_sl</t>
  </si>
  <si>
    <t>tsl_dthu</t>
  </si>
  <si>
    <t>mytv_sl</t>
  </si>
  <si>
    <t>mytv_dthu</t>
  </si>
  <si>
    <t>Telehosting</t>
  </si>
  <si>
    <t>Web</t>
  </si>
  <si>
    <t>VCC</t>
  </si>
  <si>
    <t>CDN</t>
  </si>
  <si>
    <t>cloud</t>
  </si>
  <si>
    <t>vmeeting</t>
  </si>
  <si>
    <t>Colocation</t>
  </si>
  <si>
    <t>CA_sl</t>
  </si>
  <si>
    <t>CA_dthu</t>
  </si>
  <si>
    <t>SSL</t>
  </si>
  <si>
    <t>edu_sl</t>
  </si>
  <si>
    <t>edu_dthu</t>
  </si>
  <si>
    <t>Ioffice</t>
  </si>
  <si>
    <t>his</t>
  </si>
  <si>
    <t>tracking_sl</t>
  </si>
  <si>
    <t>tracking_dthu</t>
  </si>
  <si>
    <t>HDDT_sl</t>
  </si>
  <si>
    <t>HDDT_dthu</t>
  </si>
  <si>
    <t>Camera</t>
  </si>
  <si>
    <t>BHXH_sl</t>
  </si>
  <si>
    <t>BHXH_dthu</t>
  </si>
  <si>
    <t>TVAN</t>
  </si>
  <si>
    <t>check_dthu</t>
  </si>
  <si>
    <t>pharmacy</t>
  </si>
  <si>
    <t>SmartAds</t>
  </si>
  <si>
    <t>Vpoint</t>
  </si>
  <si>
    <t>Wifi</t>
  </si>
  <si>
    <t>eleaning</t>
  </si>
  <si>
    <t>c108</t>
  </si>
  <si>
    <t>Brandname_sl</t>
  </si>
  <si>
    <t>Brandname_dthu</t>
  </si>
  <si>
    <t>c180_sl</t>
  </si>
  <si>
    <t>c180_dthu</t>
  </si>
  <si>
    <t>c190_sl</t>
  </si>
  <si>
    <t>c190_dthu</t>
  </si>
  <si>
    <t>dt_khac</t>
  </si>
  <si>
    <t>tong_sl</t>
  </si>
  <si>
    <t>tong_dthu</t>
  </si>
  <si>
    <t>dvhc</t>
  </si>
  <si>
    <t>ten_kh</t>
  </si>
  <si>
    <t>diachi_kh</t>
  </si>
  <si>
    <t>phanloai_kh</t>
  </si>
  <si>
    <t>huyen</t>
  </si>
  <si>
    <t>phuong</t>
  </si>
  <si>
    <t>tinh</t>
  </si>
  <si>
    <t>ten_loaikh</t>
  </si>
  <si>
    <t>doituong_kh</t>
  </si>
  <si>
    <t>sddv_cntt</t>
  </si>
  <si>
    <t>sddv_coday</t>
  </si>
  <si>
    <t>sddv_tong</t>
  </si>
  <si>
    <t>khoi</t>
  </si>
  <si>
    <t>ngay_sd</t>
  </si>
  <si>
    <t>nam_sd</t>
  </si>
  <si>
    <t>phanhang_kh</t>
  </si>
  <si>
    <t>dvhc_cha</t>
  </si>
  <si>
    <t>dthu</t>
  </si>
  <si>
    <t>0100105020</t>
  </si>
  <si>
    <t>LT</t>
  </si>
  <si>
    <t>TỔNG CÔNG TY THĂNG LONG - CTCP</t>
  </si>
  <si>
    <t>Ấp Xóm Gò Bà Ký, Xã Long Phước, Huyện Long Thành, Đồng Nai</t>
  </si>
  <si>
    <t>Huyện Long Thành</t>
  </si>
  <si>
    <t>Xã Long Phước</t>
  </si>
  <si>
    <t>Đồng Nai</t>
  </si>
  <si>
    <t>SME</t>
  </si>
  <si>
    <t>0100105782-004</t>
  </si>
  <si>
    <t>CHI NHÁNH 105 - CÔNG TY CỔ PHẦN XÂY DỰNG SỐ 1 HÀ NỘI</t>
  </si>
  <si>
    <t>khu sân bay, Ấp 10, Xã Bình Sơn, Huyện Long Thành, Đồng Nai</t>
  </si>
  <si>
    <t>Xã Bình Sơn</t>
  </si>
  <si>
    <t>0100281925</t>
  </si>
  <si>
    <t>Công Ty TNHH Tùng Lâm</t>
  </si>
  <si>
    <t>KCN Gò Dầu (Trong Cảng A), Xã Phước Thái, Huyện Long Thành</t>
  </si>
  <si>
    <t>Xã Phước Thái</t>
  </si>
  <si>
    <t>0100512717</t>
  </si>
  <si>
    <t>Công Ty TNHH Tập Đoàn Xây Dựng DELTA</t>
  </si>
  <si>
    <t>Ấp Xóm Gốc, Xã Long An, Huyện Long Thành, Đồng Nai</t>
  </si>
  <si>
    <t>Xã Long An</t>
  </si>
  <si>
    <t>0100686174-599</t>
  </si>
  <si>
    <t>NT</t>
  </si>
  <si>
    <t xml:space="preserve">Ngân Hàng Nông Nghiệp Và Phát Triển Nông Thôn Việt Nam - Chi Nhánh Huyện Nhơn Trạch Nam                                                                                                    </t>
  </si>
  <si>
    <t xml:space="preserve">Đường Tôn Đức Thắng, Xã Phú Hội, Huyện Nhơn Trạch, Tỉnh Đồng Nai, Việt Nam                                                                                                                   </t>
  </si>
  <si>
    <t>Huyện Nhơn Trạch</t>
  </si>
  <si>
    <t>Xã Phú Hội</t>
  </si>
  <si>
    <t>SOE</t>
  </si>
  <si>
    <t>0102560459</t>
  </si>
  <si>
    <t>Công Ty Cổ Phần Dịch Vụ Kỹ Thuật Điện Lực Dầu Khí Việt Nam</t>
  </si>
  <si>
    <t>Tầng 7,tòa Nhà Hỗn Hợp HH3, KĐT Mỹ Đình, Phường Mỹ Đình 1, Quận Nam Từ Liêm, Hà Nội</t>
  </si>
  <si>
    <t>Xã Phước Khánh</t>
  </si>
  <si>
    <t>0100108889</t>
  </si>
  <si>
    <t>Công Ty Cổ Phần 873- Xây Dựng Công Trình Giao Thông</t>
  </si>
  <si>
    <t>tổ 7, Ấp Quới Thạnh, Xã Phước An, Huyện Nhơn Trạch, Đồng Nai</t>
  </si>
  <si>
    <t>Xã Phước An</t>
  </si>
  <si>
    <t>0100111948-118</t>
  </si>
  <si>
    <t xml:space="preserve">NGAÂN HAØNG THÖÔNG MAÏI COÅ PHAÀN COÂNG THÖÔNG VIEÄT NAM - CHI NHAÙNH NHÔN TRAÏCH                   </t>
  </si>
  <si>
    <t xml:space="preserve">Ñöôøng 25B, Xaõ Phuù Hoäi, Huyeän Nhôn Traïch, Tænh ñoàng Nai, Vieät Nam                                                </t>
  </si>
  <si>
    <t>0100520429-003</t>
  </si>
  <si>
    <t>Chi nhánh Công ty TNHH Dịch Vụ và Thương Mại Mesa Đồng Nai</t>
  </si>
  <si>
    <t>1A đường Đồng Khởi KP3 phường Tam Hòa TP Biên Hòa tỉnh Đồng Nai</t>
  </si>
  <si>
    <t>Thành phố Biên Hòa</t>
  </si>
  <si>
    <t>Phường Tam Hòa</t>
  </si>
  <si>
    <t xml:space="preserve">0104498189                    </t>
  </si>
  <si>
    <t>Công Ty TNHH AEKYUNG SPECIAL PAINT HÀ NỘI</t>
  </si>
  <si>
    <t>Khu Công Nghiệp Yên Phong, Xã Long Châu, Huyện Yên Phong, Bắc Ninh</t>
  </si>
  <si>
    <t>Thị trấn Hiệp Phước</t>
  </si>
  <si>
    <t xml:space="preserve">0106061404                    </t>
  </si>
  <si>
    <t>Công Ty Cổ Phần Sản Xuất máy biến áp truyền tải MEE</t>
  </si>
  <si>
    <t>Số 186, Tồ 12, Thị Trấn Đông Anh, Huyện Đông Anh, Hà Nội</t>
  </si>
  <si>
    <t xml:space="preserve">Toå Kyõ thuaät Ñòa baøn Tuy Haï - Phöôùc Thieàn   </t>
  </si>
  <si>
    <t xml:space="preserve">Tuyeán Tuy Haï 4                                  </t>
  </si>
  <si>
    <t>T?nh Ð?ng Nai</t>
  </si>
  <si>
    <t>0106066346</t>
  </si>
  <si>
    <t>Công Ty TNHH Đầu Tư Và Kinh Doanh Dịch Vụ Bảo Vệ Đệ Nhất</t>
  </si>
  <si>
    <t>Đường số 7, KCN Long Thành, Xã Tam An, Huyện Long Thành, Đồng Nai</t>
  </si>
  <si>
    <t>Xã Tam An</t>
  </si>
  <si>
    <t>0106647206</t>
  </si>
  <si>
    <t>CÔNG TY CỔ PHẦN YOUNGJIN E&amp;C</t>
  </si>
  <si>
    <t>Công ty AK Vina, KCN Gò Dầu, Xã Phước Thái, Huyện Long Thành, Đồng Nai</t>
  </si>
  <si>
    <t xml:space="preserve">0106785365-001                </t>
  </si>
  <si>
    <t>Chi Nhánh Công Ty TNHH CORING VINA</t>
  </si>
  <si>
    <t>263 - 273, Ấp Bưng Môn, Xã Long An, Huyện Long Thành, Đồng Nai</t>
  </si>
  <si>
    <t xml:space="preserve">Toå Kyõ thuaät Ñòa baøn Long Thaønh               </t>
  </si>
  <si>
    <t xml:space="preserve">Tuyeán Long Thaønh 4                              </t>
  </si>
  <si>
    <t>0100971460</t>
  </si>
  <si>
    <t>CÔNG TY TNHH KDDI VIỆT NAM</t>
  </si>
  <si>
    <t>Phân Khu Công Nghiệp Nhơn Trạch 6A, KCN Nhơn Trạch 6, Xã Long Thọ, Huyện Nhơn Trạch, Đồng Nai</t>
  </si>
  <si>
    <t>Phường Thống Nhất</t>
  </si>
  <si>
    <t>0100105197</t>
  </si>
  <si>
    <t>Công Ty Cổ Phần Lắp Máy Điện Nước Và Xây Dựng</t>
  </si>
  <si>
    <t>168/75, Đường D2, Phường 25, Quận Bình Thạnh, TP Hồ Chí Minh</t>
  </si>
  <si>
    <t>0100111948</t>
  </si>
  <si>
    <t xml:space="preserve">NGÂN HàNG THƯƠNG MạI Cổ PHầN CÔNG THƯƠNG VIệT NAM -CHI NHáNH NHƠN TRạCH                                                                                                                        </t>
  </si>
  <si>
    <t xml:space="preserve">đường 25 B , Xã Phú Hội , Huyện Nhơn Trạch, Tỉnh Đồng Nai, Việt Nam                                                                                                                             </t>
  </si>
  <si>
    <t>0100112039</t>
  </si>
  <si>
    <t>Công Ty Tnhh Cung Ứng Nhựa Đường</t>
  </si>
  <si>
    <t>Tầng 12, Tòa Nhà Center Building, Số 1 Nguyễn Huy Tưởng, P. Thanh Xuân Trung, Q. Thanh Xuân, Tp. Hà Nội</t>
  </si>
  <si>
    <t>0100113039</t>
  </si>
  <si>
    <t>Công ty TNHH cung ứng nhựa đường (ADCo)</t>
  </si>
  <si>
    <t>Tầng 12, Tòa nhà Center Building, Số 1 Nguyễn Huy Tưởng,Phường Thanh Xuân Trung, Quận Thanh Xuân, TP Hà Nội</t>
  </si>
  <si>
    <t>0101306139-006</t>
  </si>
  <si>
    <t>Công Ty Cổ Phần Tập Đoàn AUSTDOOR- Chi Nhánh Nhơn Trạch</t>
  </si>
  <si>
    <t>Đường Tôn Đức Thắng, KCN Nhơn Trạch 1, Xã Phước Thiền, Huyện Nhơn Trạch, Đồng Nai</t>
  </si>
  <si>
    <t>0102261441</t>
  </si>
  <si>
    <t>CÔNG TY CỔ PHẦN ĐẦU TƯ XÂY DỰNG VÀ KỸ THUẬT VNCN E&amp;C</t>
  </si>
  <si>
    <t>Số 16, Ấp Vĩnh Tuy, Đường Lý Tự Trọng, Xã Long Tân, Huyện Nhơn Trạch, Đồng Nai</t>
  </si>
  <si>
    <t>Xã Long Tân</t>
  </si>
  <si>
    <t>0102595740</t>
  </si>
  <si>
    <t>Bưu điện huyện Long Thành - Bưu điện tỉnh Đồng Nai</t>
  </si>
  <si>
    <t>QL51A, Khu Phước Hải, Thị trấn Long Thành, Huyện Long Thành, Đồng Nai</t>
  </si>
  <si>
    <t>Thành phố Long Khánh</t>
  </si>
  <si>
    <t>Phường Xuân Bình</t>
  </si>
  <si>
    <t>0104567918-002</t>
  </si>
  <si>
    <t xml:space="preserve">Công ty TNHH Công Nghiệp Phú Thái - Chi Nhánh Tỉnh Đồng Nai                                  </t>
  </si>
  <si>
    <t>( Trong khuôn viên Công ty TNHH V.P.S) Đường số 9, KCN Long Thành - Xã Tam An - Huyện Long T</t>
  </si>
  <si>
    <t>0109041893</t>
  </si>
  <si>
    <t xml:space="preserve">VĂN PHòNG ĐạI DIệN CÔNG TY Cổ PHầN NOVUS IMPERIUM TạI ĐồNG NAI                                                                                                                                 </t>
  </si>
  <si>
    <t xml:space="preserve">Đường số 8, KCN Nhơn Trạch 2 - Nhơn Phú, Thị trấn Hiệp Phước, Huyện Nhơn Trạch, Tỉnh Đồng                                                                                                     </t>
  </si>
  <si>
    <t xml:space="preserve">0200401834                    </t>
  </si>
  <si>
    <t>Công Ty Cổ Phần Thương Mại Và Xuật Nhập Khẩu Vật Tư Giao Thông</t>
  </si>
  <si>
    <t>KCN Gò Dầu, Xã Phước Thái, Huyện Long Thành, Đồng Nai</t>
  </si>
  <si>
    <t xml:space="preserve">Toå Kyõ thuaät Ñòa baøn Long Phöôùc               </t>
  </si>
  <si>
    <t xml:space="preserve">Tuyeán Long Phöôùc 7                              </t>
  </si>
  <si>
    <t>0201558468</t>
  </si>
  <si>
    <t>CÔNG TY TNHH NAM TRÍ VIỆT</t>
  </si>
  <si>
    <t>Cảng Gò Dầu B, KCN Gò Dầu, Ấp 1A, Xã Phước Thái, Huyện Long Thành, Đồng Nai</t>
  </si>
  <si>
    <t>0300430500-001</t>
  </si>
  <si>
    <t xml:space="preserve">NHÀ MÁY SUPER PHỐT PHÁT LONG THÀNH - CÔNG TY CỔ PHẦN PHÂN BÓN MIỀN NAM </t>
  </si>
  <si>
    <t>0300584564</t>
  </si>
  <si>
    <t>CÔNG TY CỔ PHẦN NƯỚC GIẢI KHÁT CHƯƠNG DƯƠNG</t>
  </si>
  <si>
    <t>Đường Nguyễn Ái Quốc, KCN Nhơn Trạch 3, Thị Trấn Hiệp Phước, Huyện Nhơn Trạch, Đồng Nai</t>
  </si>
  <si>
    <t xml:space="preserve">0300608568                    </t>
  </si>
  <si>
    <t>CÔNG TY TRÁCH NHIỆM HỮU HẠN SIAM CITY CEMENT (VIỆT NAM)</t>
  </si>
  <si>
    <t>Số 11, Đường Đoàn Văn Bơ, Phường 13, Quận 4, TP Hồ Chí Minh</t>
  </si>
  <si>
    <t xml:space="preserve">0300994828                    </t>
  </si>
  <si>
    <t>CÔNG TY TNHH LÊ BAN</t>
  </si>
  <si>
    <t>Số B9 C4-1, Đường Hoàng Văn Thái, Phường Tân Phú, Quận 7, TP Hồ Chí Minh</t>
  </si>
  <si>
    <t xml:space="preserve">Tuyeán Long Thaønh 6                              </t>
  </si>
  <si>
    <t>0300390921</t>
  </si>
  <si>
    <t>CÔNG TY CỔ PHẦN LILAMA 18</t>
  </si>
  <si>
    <t>KCN Ông Kèo, Ấp 3, Xã Phước Khánh, Huyện Nhơn Trạch, Đồng Nai</t>
  </si>
  <si>
    <t xml:space="preserve">0300405462-026                </t>
  </si>
  <si>
    <t>Chi Nhánh Công Ty CP Pin Ắc Quy Miền Nam - Xí Nghiệp Ắc Quy Đồng Nai 2</t>
  </si>
  <si>
    <t>Đường N2, KCN Dệt May Nhơn Trạch, Xã Hiệp Phước, Nhơn Trạch, Đồng Nai</t>
  </si>
  <si>
    <t>0300831132</t>
  </si>
  <si>
    <t xml:space="preserve">NGUYễN VĂN TàI(Cty TNHH Nhà Máy Bia Heineken Việt Nam)                                                                                                                                            </t>
  </si>
  <si>
    <t xml:space="preserve">Cafe fin - Khu Văn Hải - TT Long Thành - Long Thành - Đồng Nai                                                                                                                                     </t>
  </si>
  <si>
    <t>0300872315-021</t>
  </si>
  <si>
    <t>Ngân Hàng Thương Mại Cổ Phần Nam Á</t>
  </si>
  <si>
    <t>Phòng Giao Dịch Long Khánh - Số 324, Khu Phố 3, Đường Hùng Vương, Phường Xuân Bình, Thành Phố Long Khánh, Đồng Nai</t>
  </si>
  <si>
    <t>Thị trấn Long Thành</t>
  </si>
  <si>
    <t>0301049697</t>
  </si>
  <si>
    <t>CÔNG TY CỔ PHẦN ĐẦU TƯ - SẢN XUẤT - THƯƠNG MẠI KIM PHONG</t>
  </si>
  <si>
    <t>Tổ 18, đường Trần Phú, ấp Bến Cam</t>
  </si>
  <si>
    <t>Xã Phước Thiền</t>
  </si>
  <si>
    <t>0301115156</t>
  </si>
  <si>
    <t>CÔNG TY TNHH XÂY DỰNG CÔNG TRÌNH HÙNG VƯƠNG</t>
  </si>
  <si>
    <t>công trường sân bay, Ấp 10, Xã Bình Sơn, Huyện Long Thành, Đồng Nai</t>
  </si>
  <si>
    <t>0301217253-001</t>
  </si>
  <si>
    <t xml:space="preserve">XN Khai Thác Đá Hồng Phát                                                                       </t>
  </si>
  <si>
    <t xml:space="preserve">Tổ 17 Khu Cầu Xéo - TT Long Thành - Long Thành -Đồng Nai                                      </t>
  </si>
  <si>
    <t xml:space="preserve">0301383758                    </t>
  </si>
  <si>
    <t>CÔNG TY TNHH THƯƠNG MẠI ÂU CHÂU</t>
  </si>
  <si>
    <t>Tổ 1, ấp Phú Mỹ 2</t>
  </si>
  <si>
    <t>0301446260</t>
  </si>
  <si>
    <t>Nhà máy Hóa chất Tân Bình 2 - CN Công ty CP Hóa chất Cơ bản Miền Nam</t>
  </si>
  <si>
    <t>Đường 5, KCN Biên Hòa 1, P. An Bình, TP. Biên Hòa, Đồng Nai</t>
  </si>
  <si>
    <t>Phường An Bình</t>
  </si>
  <si>
    <t>0301758647</t>
  </si>
  <si>
    <t>CÔNG TY TNHH SẢN XUẤT VÀ THƯƠNG MẠI CÁT THÁI - CHI NHÁNH LONG THÀNH</t>
  </si>
  <si>
    <t>Số 43, Đường Số 10, KCN Long Thành, Xã Tam An, Huyện Long Thành, Đồng Nai</t>
  </si>
  <si>
    <t>0301367072</t>
  </si>
  <si>
    <t>CÔNG TY CỔ PHẦN THƯƠNG MẠI CƠ KHÍ TÂN THANH</t>
  </si>
  <si>
    <t>Số 14, Đường số 15, Khu Phố 4, Phường Linh Trung, TP Thủ Đức, TP Hồ Chí Minh</t>
  </si>
  <si>
    <t>Xã Lộc An</t>
  </si>
  <si>
    <t xml:space="preserve">0301798777                    </t>
  </si>
  <si>
    <t>DOANH NGHIỆP TƯ NHÂN TỐT THÔNG</t>
  </si>
  <si>
    <t>ấp Phước Lương</t>
  </si>
  <si>
    <t>Xã Phú Hữu</t>
  </si>
  <si>
    <t>0301948302</t>
  </si>
  <si>
    <t>CÔNG TY TNHH DAE MYUNG CHEMICAL (VIỆT NAM).</t>
  </si>
  <si>
    <t>Lô CI.II-7a và Lô CI.II-7a', đường số 5, Khu Công nghiệp Lon</t>
  </si>
  <si>
    <t>0302632502-002</t>
  </si>
  <si>
    <t>Chi Nhánh Công Ty Cổ Phần Thiết Bị và Dịch Vụ Đồng Lợi</t>
  </si>
  <si>
    <t>Tổ 5, Ấp Xóm Gốc, Xã Long An, Huyện Long Thành, Đồng Nai</t>
  </si>
  <si>
    <t>0302824243</t>
  </si>
  <si>
    <t>CÔNG TY TNHH SẢN XUẤT-KINH DOANH THỰC PHẨM CHAY ÂU LẠC</t>
  </si>
  <si>
    <t>Ấp Phước Lý, Xã Đại Phước, Huyện Nhơn Trạch, Đồng Nai</t>
  </si>
  <si>
    <t>Xã Đại Phước</t>
  </si>
  <si>
    <t xml:space="preserve">0302869558                    </t>
  </si>
  <si>
    <t>CÔNG TY TNHH DONG LIM VINA CHEMICAL</t>
  </si>
  <si>
    <t>Khu Công nghiệp Long Thành</t>
  </si>
  <si>
    <t>0303141024-002</t>
  </si>
  <si>
    <t>Chi Nhánh Công Ty TNHH Dệt Triệu Tài</t>
  </si>
  <si>
    <t>Lô B 401 KCN Vinatex Tân Tạo, Xã Hiệp Phước, Huyện Nhơn Trạch</t>
  </si>
  <si>
    <t>0303199296</t>
  </si>
  <si>
    <t>CÔNG TY TNHH XÂY DỰNG SONCONS</t>
  </si>
  <si>
    <t>Ấp 1, Xã Bình Sơn, Huyện Long Thành, Đồng Nai</t>
  </si>
  <si>
    <t xml:space="preserve">0304308082_001                </t>
  </si>
  <si>
    <t>Chi Nhánh Công Ty TNHH TM DV KT Phúc Sang Minh</t>
  </si>
  <si>
    <t>Ấp Phước Hòa, Xã Long Phước, Huyện Long Thành</t>
  </si>
  <si>
    <t xml:space="preserve">Tuyeán Long Phöôùc 2                              </t>
  </si>
  <si>
    <t>0304529010-001</t>
  </si>
  <si>
    <t>Công Ty Tnhh Sx Cơ Khí Và Dịch Vụ Đại Phúc</t>
  </si>
  <si>
    <t>A7/40 Ấp 1, Xã Vĩnh Lộc B, Huyện Bình Chánh, Tphcm</t>
  </si>
  <si>
    <t xml:space="preserve">0304616231                    </t>
  </si>
  <si>
    <t>Công Ty  Cổ  Phần Than Nam Việt</t>
  </si>
  <si>
    <t>Khu Công Nghiệp Gò Dầu B, Ấp 1A, Xã Phước Thái, Huyện Long Thành, Đồng Nai</t>
  </si>
  <si>
    <t>0305223385</t>
  </si>
  <si>
    <t>Công Ty TNHH Giao Nhận Nam Dương</t>
  </si>
  <si>
    <t>Ấp 1, Xã Long Thọ, Huyện Nhơn Trạch, Đồng Nai</t>
  </si>
  <si>
    <t>Xã Long Thọ</t>
  </si>
  <si>
    <t>0305354010</t>
  </si>
  <si>
    <t>Công Ty TNHH Một Thành Viên Thương Mại Sản Xuất Mỹ Khang</t>
  </si>
  <si>
    <t>Đường N4, Lô M, KCN Lộc An, Xã Bình Sơn, Huyện Long Thành, Đồng Nai</t>
  </si>
  <si>
    <t>0305393838</t>
  </si>
  <si>
    <t>Chi Nhánh Nhơn Trạch - Công Ty Cổ Phần Thép Nhà Bè - VNSTEEL</t>
  </si>
  <si>
    <t>KCN Nhơn Trạch II - Nhơn Phú, Xã Phú Hội, Huyện Nhơn Trạch, Tỉnh Đồng Nai</t>
  </si>
  <si>
    <t>0309553779</t>
  </si>
  <si>
    <t>Công Ty Cổ Phần Đầu Tư Xây Dựng VITECCONS</t>
  </si>
  <si>
    <t>109, Đường Hoàng Hoa Thám, Phường 06, Quận Bình Thạnh, TP Hồ Chí Minh</t>
  </si>
  <si>
    <t xml:space="preserve">0309611798                    </t>
  </si>
  <si>
    <t>Công Ty Cổ Phần Lukyta</t>
  </si>
  <si>
    <t>Số 04, ấp Phước Lý</t>
  </si>
  <si>
    <t>0309988360-001</t>
  </si>
  <si>
    <t>Công Ty TNHH Long Hòa Phát</t>
  </si>
  <si>
    <t>Ấp 1B, Xã Phước Thái, Huyện Long Thành, Đồng Nai</t>
  </si>
  <si>
    <t>Xã Phước Bình</t>
  </si>
  <si>
    <t>0310439252</t>
  </si>
  <si>
    <t>CÔNG TY TNHH TƯ VẤN ĐẦU TƯ XÂY DỰNG HOÀNG LÊ</t>
  </si>
  <si>
    <t>Đường N6, KCN Lộc An, Xã Bình Sơn, Huyện Long Thành, Đồng Nai</t>
  </si>
  <si>
    <t xml:space="preserve">0310880516                    </t>
  </si>
  <si>
    <t>CÔNG TY TNHH MỘT THÀNH VIÊN GA IL</t>
  </si>
  <si>
    <t>KCN Nhơn Trạch 2, Xã Phú Hội, Huyện Nhơn Trạch, Đồng Nai</t>
  </si>
  <si>
    <t xml:space="preserve">Tuyeán Tuy Ha? 3                                  </t>
  </si>
  <si>
    <t>0106043204-001</t>
  </si>
  <si>
    <t>Công Ty TNHH OKATSUNE Việt Nam</t>
  </si>
  <si>
    <t>Giai Đoạn 2, KCN Nhơn Trạch 3, Xã Hiệp Phước, Huyện Nhơn Trạch, Đồng Nai</t>
  </si>
  <si>
    <t>0302065148</t>
  </si>
  <si>
    <t>CÔNG TY LIÊN DOANH TNHH NIPPON EXPRESS (VIỆT NAM)</t>
  </si>
  <si>
    <t>Công Ty Daiwahouse Đường N6, Lô I, KCN Lộc An, Xã Bình Sơn, Huyện Long Thành, Đồng Nai</t>
  </si>
  <si>
    <t>0302481250</t>
  </si>
  <si>
    <t>Công Ty TNHH MARSHALL AMPLIFICATION (Việt Nam)</t>
  </si>
  <si>
    <t>KCN Nhơn Trạch 2, Xã Hiệp Phước, Huyện Nhơn Trạch, Đồng Nai</t>
  </si>
  <si>
    <t>0302633866</t>
  </si>
  <si>
    <t>CÔNG TY TNHH THƯƠNG MẠI VÀ XÂY DỰNG HÀ NAM</t>
  </si>
  <si>
    <t>Ấp Bàu Sen, Xã Phú Thạnh, Huyện Nhơn Trạch, Đồng Nai</t>
  </si>
  <si>
    <t>Phường Trung Dũng</t>
  </si>
  <si>
    <t xml:space="preserve">0302695710                    </t>
  </si>
  <si>
    <t>CÔNG TY TNHH SUCAFINA VIỆT NAM</t>
  </si>
  <si>
    <t>Lô C.II.II-5, Đường số 3, Khu công nghiệp Long Thành</t>
  </si>
  <si>
    <t>0311501489</t>
  </si>
  <si>
    <t>Công Ty TNHH Đầu Tư A.R.T</t>
  </si>
  <si>
    <t>Ấp Bình Lâm, Xã Lộc An, Huyện Long Thành, Đồng Nai</t>
  </si>
  <si>
    <t>0311745439</t>
  </si>
  <si>
    <t xml:space="preserve">Công Ty TNHH Sunlight Việt                                                                        </t>
  </si>
  <si>
    <t xml:space="preserve">ấp Bình Phú - Long Tân - Nhơn Trạch - Đồng Nai                                                 </t>
  </si>
  <si>
    <t>0312056329</t>
  </si>
  <si>
    <t>Công Ty TNHH Thương Mại Dịch Vụ Chuẩn Mỹ</t>
  </si>
  <si>
    <t xml:space="preserve">0312152287                    </t>
  </si>
  <si>
    <t>CÔNG TY TNHH HD C&amp;E</t>
  </si>
  <si>
    <t>Trong cty Hyosung, KCN Nhơn Trạch 5, Thị trấn Hiệp Phước, Huyện Nhơn Trạch, Đồng Nai</t>
  </si>
  <si>
    <t>0312355819</t>
  </si>
  <si>
    <t xml:space="preserve">CÔNG TY TNHH MEGABUILD CONSTRUCTION &amp; ENGINEERING                                                  </t>
  </si>
  <si>
    <t xml:space="preserve">19 Sông Nhuệ - Phường 2 - Quận Tân Bình - Thành phố  Hồ Chí Minh - Việt Nam                </t>
  </si>
  <si>
    <t>0313121475-001</t>
  </si>
  <si>
    <t>CHI NHÁNH CÔNG TY TNHH CÔNG NGHỆ NĂNG LƯỢNG DK</t>
  </si>
  <si>
    <t>Đường Số 8, KCN Nhơn Trạch 3 - giai đoạn 2, Xã Long Thọ, Huyện Nhơn Trạch, Đồng Nai</t>
  </si>
  <si>
    <t xml:space="preserve">0313181474                    </t>
  </si>
  <si>
    <t>Công Ty TNHH Nồi Hơi Đặng Huỳnh</t>
  </si>
  <si>
    <t>KCN Nhơn Trạch 1, Thị Trấn Hiệp Phước, Huyện Nhơn Trạch, Đồng Nai</t>
  </si>
  <si>
    <t xml:space="preserve">Tuyeán Tuy Ha? 2                                  </t>
  </si>
  <si>
    <t xml:space="preserve">0313542699                    </t>
  </si>
  <si>
    <t>CÔNG TY TNHH HOA VIÊN BÌNH AN</t>
  </si>
  <si>
    <t>Tổ 10, ấp An Viễn</t>
  </si>
  <si>
    <t>Xã Bình An</t>
  </si>
  <si>
    <t xml:space="preserve">0314622121                    </t>
  </si>
  <si>
    <t>Công Ty TNHH Thương Mại Dịch Vụ Xuất Nhập Khẩu JAGUAR</t>
  </si>
  <si>
    <t>QL51, Khu 13, Xã Long Đức, Huyện Long Thành, Đồng Nai</t>
  </si>
  <si>
    <t xml:space="preserve">Tuyeán Long Thaønh 1                              </t>
  </si>
  <si>
    <t>0316735610</t>
  </si>
  <si>
    <t>Công Ty Cổ Phần Tư Vấn Thiết Kế Xây Dựng An Trung</t>
  </si>
  <si>
    <t>Đường Lê Duẩn, Khu Văn Hải, Thị trấn Long Thành, Huyện Long Thành, Đồng Nai</t>
  </si>
  <si>
    <t xml:space="preserve">0302828569-001                </t>
  </si>
  <si>
    <t>Chi Nhánh Công Ty Cổ Phần Đầu Tư Vinatex - Tân Tạo</t>
  </si>
  <si>
    <t>KCN Vinatex Tân Tạo, Đường Trần Phú, Thị trấn Hiệp Phước, Huyện Nhơn Trạch, Đồng Nai</t>
  </si>
  <si>
    <t>0303118498</t>
  </si>
  <si>
    <t>CHI NHÁNH SỐ 1 - CÔNG TY CỔ PHẦN ĐỆ TAM</t>
  </si>
  <si>
    <t>Ấp Vũng Gấm, Xã Phước An, Huyện Nhơn Trạch, Đồng Nai</t>
  </si>
  <si>
    <t>0303188946</t>
  </si>
  <si>
    <t>Công Ty TNHH SX-TM Vitec</t>
  </si>
  <si>
    <t>Ấp Câu Kê, Xã Phú Hữu, Huyện Nhơn Trạch</t>
  </si>
  <si>
    <t>0303267179</t>
  </si>
  <si>
    <t xml:space="preserve">COÂNG TY TNHH GIA THUØY                                                                             </t>
  </si>
  <si>
    <t xml:space="preserve">195 Nguyeãn Xí, Phöôøng 26, Quaän Bình Thaïnh, Thaønh phoá Hoà Chí Minh, Vieät Nam                                      </t>
  </si>
  <si>
    <t>0303267965</t>
  </si>
  <si>
    <t>Công Ty Cổ Phần Công Nghệ Sinh Học R.E.P</t>
  </si>
  <si>
    <t>10 đường 8 - Phường Long Trường - Thành Phố Thủ Đức - Thành phố  Hồ Chí Minh - Việt Nam</t>
  </si>
  <si>
    <t>0301103908-017</t>
  </si>
  <si>
    <t>Ngân Hàng Thương Mại Cổ Phần Sài Gòn Thương Tín-Chi Nhánh Đồng Nai- Phòng Giao Dịch Nhơn Trạch</t>
  </si>
  <si>
    <t>Số 112a, Ấp 3, Xã Hiệp Phước, Huyện Nhơn Trạch, Đồng Nai</t>
  </si>
  <si>
    <t>Phường Thanh Bình</t>
  </si>
  <si>
    <t>0301125316-003</t>
  </si>
  <si>
    <t>Nhà Máy Bê Tông Lê Phan Nhơn Trạch- Công Ty TNHH Xây Dựng Lê Phan</t>
  </si>
  <si>
    <t>KCN Nhơn Trạch 3, Xã Hiệp Phước, Huyện Nhơn Trạch, Đồng Nai</t>
  </si>
  <si>
    <t>0301241545-084</t>
  </si>
  <si>
    <t>Chi Nhánh Công Ty TNHH May Thêu Giày An Phước</t>
  </si>
  <si>
    <t>Số 312, Đường Lê Duẩn, Khu Văn Hải, Thị trấn Long Thành, Huyện Long Thành, Đồng Nai</t>
  </si>
  <si>
    <t>0301331710-004</t>
  </si>
  <si>
    <t>CHI NHÁNH- CÔNG TY TNHH THƯƠNG MẠI ĐẠI NAM</t>
  </si>
  <si>
    <t>ố 726, đường Phước Bình, Ấp 7, Xã Phước Bình, Huyện Long Thành, Đồng Nai</t>
  </si>
  <si>
    <t xml:space="preserve">0301466475                    </t>
  </si>
  <si>
    <t>CÔNG TY TNHH ADEN SERVICES (VIỆT NAM)</t>
  </si>
  <si>
    <t>KCN Nhơn Trạch 5, Thị trấn Hiệp Phước, Huyện Nhơn Trạch, Đồng Nai</t>
  </si>
  <si>
    <t>0301798833</t>
  </si>
  <si>
    <t>Công Ty TNHH Sản Xuất Thương Mại Nam Đại Thành</t>
  </si>
  <si>
    <t>416-418-420 Lý Thường Kiệt, Phường 07, Quận Tân Bình, TP Hồ Chí Minh</t>
  </si>
  <si>
    <t xml:space="preserve">0316952414                    </t>
  </si>
  <si>
    <t>CÔNG TY TNHH CIRCLE LOGISTICS ( VIỆT NAM )</t>
  </si>
  <si>
    <t>KCN Nhơn Trạch 2 - Lộc Khang, Thị trấn Hiệp Phước, Huyện Nhơn Trạch, Đồng Nai</t>
  </si>
  <si>
    <t>0316960662</t>
  </si>
  <si>
    <t>Công Ty TNHH Doctor Aibolit</t>
  </si>
  <si>
    <t>Phòng Khám Khu Swanbay, Ấp Bình Phú, Xã Long Tân, Huyện Nhơn Trạch, Đồng Nai</t>
  </si>
  <si>
    <t xml:space="preserve">0317574067                    </t>
  </si>
  <si>
    <t>Công Ty Cổ Phần Đại Lý Hải Quan Vietnamlogs</t>
  </si>
  <si>
    <t>656/74/55, Đường Quang Trung, Phường 11, Quận Gò Vấp, TP Hồ Chí Minh</t>
  </si>
  <si>
    <t>0317827021</t>
  </si>
  <si>
    <t>CÔNG TY TNHH DAEYOUNG TEXTILE VIỆT NAM</t>
  </si>
  <si>
    <t>Toà nhà A Space Office, số 1B, đường 30, Khu Phố 2, Phường An Khánh, TP.Thủ Đức, TP Hồ Chí Minh</t>
  </si>
  <si>
    <t xml:space="preserve">0317900183                    </t>
  </si>
  <si>
    <t>Công Ty TNHH SSH Packing Vina</t>
  </si>
  <si>
    <t>23/2, Ấp Xóm Gốc, Xã Long An, Huyện Long Thành, Đồng Nai</t>
  </si>
  <si>
    <t>0301862528-002</t>
  </si>
  <si>
    <t>Công Ty TNHH kỹ Nghệ Lạnh Âu Châu - Chi Nhánh Long Thành</t>
  </si>
  <si>
    <t>Đường số 9, KCN Long Thành, Xã Tam An, Huyện Long Thành, Đồng Nai</t>
  </si>
  <si>
    <t xml:space="preserve">0301927091                    </t>
  </si>
  <si>
    <t>Công Ty TNHH XD &amp;TM An Tâm</t>
  </si>
  <si>
    <t>KCN Nhơn Trạch 5, Thị Trấn Hiệp Phước, Huyện Nhơn Trạch, Đồng Nai</t>
  </si>
  <si>
    <t xml:space="preserve">0302441032                    </t>
  </si>
  <si>
    <t>CÔNG TY CỔ PHẦN ĐỊA ỐC THẢO ĐIỀN</t>
  </si>
  <si>
    <t>0302492502-001</t>
  </si>
  <si>
    <t>NM SX Kết Cấu Thép Công ty TNHH Nhật An</t>
  </si>
  <si>
    <t>KCN Nhơn Trạch 2, xã Hiệp Phước, huyện Nhơn Trạch</t>
  </si>
  <si>
    <t>0302824243-060</t>
  </si>
  <si>
    <t>CHI NHÁNH CÔNG TY TNHH SẢN XUẤT -KINH DOANH THỰC PHẨM CHAY ÂU LẠC</t>
  </si>
  <si>
    <t>Khu B, Ấp Phước Lý, Xã Đại Phước, Huyện Nhơn Trạch, Đồng Nai</t>
  </si>
  <si>
    <t>0601018448</t>
  </si>
  <si>
    <t>Công Ty TNHH Quốc Tế Grande</t>
  </si>
  <si>
    <t>0900863224-001</t>
  </si>
  <si>
    <t>Công Ty TNHH Sypanel Vina - Chi Nhánh Đồng Nai</t>
  </si>
  <si>
    <t>Đường Số 4, KCN Nhơn Trạch 3, Xã Hiệp Phước, Huyện Nhơn Trạch, Đồng Nai</t>
  </si>
  <si>
    <t>1800278630-014</t>
  </si>
  <si>
    <t>Ngân Hàng TMCP Sài Gòn-hà Nội - Chi Nhánh Đồng Nai</t>
  </si>
  <si>
    <t>10-11 Đường Nguyễn Ái Quốc KP8, Phường Tân Phong, TP Biên Hòa, Tỉnh Đồng Nai</t>
  </si>
  <si>
    <t>Phường Tân Phong</t>
  </si>
  <si>
    <t xml:space="preserve">2300709249                    </t>
  </si>
  <si>
    <t>CÔNG TY TNHH JYS VIỆT NAM.</t>
  </si>
  <si>
    <t>Đường số 4, KCN Nhơn Trạch 2- Nhơn Phú</t>
  </si>
  <si>
    <t>3014166361</t>
  </si>
  <si>
    <t xml:space="preserve">DNTN Cao Su Long Thành                                                                             </t>
  </si>
  <si>
    <t xml:space="preserve">84/24C Lý Chiêu Hồng-  P.10 - Q6 - TPHCM                                                        </t>
  </si>
  <si>
    <t>3500101379-002</t>
  </si>
  <si>
    <t>Nguyễn Văn Huấn</t>
  </si>
  <si>
    <t>Tầng 8 Số 10 Đường 3/2, Phường 8, Thành Phố Vũng Tầu, Bà Rịa - Vũng Tàu</t>
  </si>
  <si>
    <t>3500102710-014</t>
  </si>
  <si>
    <t>Cn Tct Khí Việt Nam - Công Ty Cp - Công Ty Chế Biến Khí Vũng Tàu</t>
  </si>
  <si>
    <t>Null, Phường An Bình, Thành phố Biên Hòa, Đồng Nai</t>
  </si>
  <si>
    <t>3500710719-001</t>
  </si>
  <si>
    <t>CHI NHÁNH CÔNG TY CỔ PHẦN THƯƠNG MẠI VÀ SẢN XUẤT TÔN TÂN PHƯỚC KHANH</t>
  </si>
  <si>
    <t>Ấp 1c, Xã Phước Thái, Huyện Long Thành, Đồng Nai</t>
  </si>
  <si>
    <t xml:space="preserve">3501639297                    </t>
  </si>
  <si>
    <t>Công Ty Trách Nhiệm Hữu Hạn An Phú Khang</t>
  </si>
  <si>
    <t>Cảng Gò Dầu A, KCN Gò Dầu, Xã Phước Thái, Huyện Long Thành, Đồng Nai</t>
  </si>
  <si>
    <t>3502291654</t>
  </si>
  <si>
    <t>CÔNG TY TNHH CHANG CHUN VINA</t>
  </si>
  <si>
    <t>Đường D1,lô B,cụm Công Nghiệp-tiểu thủ công nghiệp An Ngãi, Xã An Ngãi, Huyện Long Đất, Bà Rịa - Vũng Tàu</t>
  </si>
  <si>
    <t>3600050943</t>
  </si>
  <si>
    <t>HKD Hồ Thị Thương</t>
  </si>
  <si>
    <t>Sạp 477. Cửa số 2. Chợ LT, Khu Cầu Xéo, Thị trấn Long Thành, Huyện Long Thành, Đồng Nai</t>
  </si>
  <si>
    <t>0303667226</t>
  </si>
  <si>
    <t>CÔNG TY TNHH TRỤC VỚT SONG THƯƠNG</t>
  </si>
  <si>
    <t>101 Nguyễn Thị Định, Khu Phố 3, Phường Thạnh Mỹ Lợi, Quận 2, TP Hồ Chí Minh</t>
  </si>
  <si>
    <t xml:space="preserve">0303677418                    </t>
  </si>
  <si>
    <t>Công Ty TNHH Dịch Vụ - Thương Mại Văn Hải</t>
  </si>
  <si>
    <t>Tổ 25, Khu Kim Sơn</t>
  </si>
  <si>
    <t xml:space="preserve">Tuyeán Long Thaønh 3                              </t>
  </si>
  <si>
    <t>3600240925</t>
  </si>
  <si>
    <t>Công ty TNHH Masterbatch (Việt Nam)</t>
  </si>
  <si>
    <t>Số 15, đường số 6, KCN Long Thành, huyện Long Thành, tỉnh Đồng Nai</t>
  </si>
  <si>
    <t>3600241563</t>
  </si>
  <si>
    <t xml:space="preserve">Hộ Kinh Doanh Trần Công Danh                                                                     </t>
  </si>
  <si>
    <t xml:space="preserve">ấp 2 - xã Long An - huyện Long Thành - tỉnh Đồng Nai                                           </t>
  </si>
  <si>
    <t xml:space="preserve">3600250060                    </t>
  </si>
  <si>
    <t>CÔNG TY TNHH YOUNGTEX VINA</t>
  </si>
  <si>
    <t>KCN Nhơn Trạch 3</t>
  </si>
  <si>
    <t xml:space="preserve">3600253375                    </t>
  </si>
  <si>
    <t>CÔNG TY CỔ PHẦN THIẾT BỊ VỆ SINH CAESAR VIỆT NAM</t>
  </si>
  <si>
    <t>Khu công nghiệp Nhơn Trạch 1</t>
  </si>
  <si>
    <t>3600254361-004</t>
  </si>
  <si>
    <t>Chi Nhánh Công Ty Cổ Phần Công Nghiệp Tung Kuang - Nhơn Trạch</t>
  </si>
  <si>
    <t>Đường 25B, KCN Nhơn Trạch 1, Xã Phú Hội, Huyện Nhơn Trạch, Đồng Nai</t>
  </si>
  <si>
    <t>3600254851</t>
  </si>
  <si>
    <t>CÔNG TY CƠ KHÍ VÀ XÂY DỰNG POSCO E &amp; C VIỆT NAM</t>
  </si>
  <si>
    <t>KCN Nhơn Trạch 1</t>
  </si>
  <si>
    <t>0304621513-003</t>
  </si>
  <si>
    <t>Công Ty Cổ Phần Thiết Bị Xây Dựng An Phong</t>
  </si>
  <si>
    <t>Tổ 3, Ấp 3, Xã Long An, Huyện Long Thành, Đồng Nai</t>
  </si>
  <si>
    <t>0304897021</t>
  </si>
  <si>
    <t>NÔNG TRẠI NẤM MỐI SẠCH AN TIM</t>
  </si>
  <si>
    <t>Tổ 1, Ấp 3, Xã Long An, Huyện Long Thành, Đồng Nai</t>
  </si>
  <si>
    <t>0305008349</t>
  </si>
  <si>
    <t>Công Ty TNHH Dịch Vụ Và Lưu Trữ Vina</t>
  </si>
  <si>
    <t>Ấp 5, Xã Long Phước, Huyện Long Thành, Đồng Nai</t>
  </si>
  <si>
    <t xml:space="preserve">0305140259-031                </t>
  </si>
  <si>
    <t>Tổ Chức Tài Chính Vi Mô CEP - Chi Nhánh Long Thành</t>
  </si>
  <si>
    <t>Số 175, Đường Lê Duẩn, Khu Phước Hải, Thị trấn Long Thành, Huyện Long Thành, Đồng Nai</t>
  </si>
  <si>
    <t>0305696180</t>
  </si>
  <si>
    <t>CÔNG TY CỔ PHẦN ĐẦU TƯ VÀ PHÁT TRIỂN NHƠN TRẠCH</t>
  </si>
  <si>
    <t>Sau Bệnh viện Nhơn Trạch, Ấp Xóm Hố, Xã Phú Hội, Huyện Nhơn Trạch, Đồng Nai</t>
  </si>
  <si>
    <t xml:space="preserve">0305798584                    </t>
  </si>
  <si>
    <t>Công Ty Cổ Phần Tư Vấn Xây Dựng Quốc Tế</t>
  </si>
  <si>
    <t>P.1702, Lầu 17,Tòa Nhà Pearl Plaza, 561A, Đường Điện Biên Phủ, Phường 25, Quận Bình Thạnh, TP Hồ Chí Minh</t>
  </si>
  <si>
    <t xml:space="preserve">Toå Kyõ thuaät Ñòa baøn Phuù Hoäi                 </t>
  </si>
  <si>
    <t xml:space="preserve">Tuyeán Phuù Hoäi 1                                </t>
  </si>
  <si>
    <t xml:space="preserve">0305995751                    </t>
  </si>
  <si>
    <t>Công Ty TNHH Con Cò Vàng</t>
  </si>
  <si>
    <t>Lô 5, KCN Gò Dầu, Xã Phước Thái, Huyện Long Thành, Đồng Nai</t>
  </si>
  <si>
    <t>0306108441</t>
  </si>
  <si>
    <t>Công Ty TNHH Thương Mại Dịch Vụ Xuất Nhập Khẩu Thiết Bị Công Nghiệp Vạn Nghĩa</t>
  </si>
  <si>
    <t>0309346677</t>
  </si>
  <si>
    <t>Công Ty Cổ Phần Tập Đoàn Tín Thành</t>
  </si>
  <si>
    <t>71 Phổ Quang, Phường 02, Quận Tân Bình, TP Hồ Chí Minh</t>
  </si>
  <si>
    <t xml:space="preserve">3600265853                    </t>
  </si>
  <si>
    <t>CÔNG TY SPLENDOUR TRÁCH NHIỆM HỮU HẠN</t>
  </si>
  <si>
    <t>Đường số 3, KCN Nhơn Trạch 1</t>
  </si>
  <si>
    <t>3600266134</t>
  </si>
  <si>
    <t>Phòng Tài chính Kế hoạch huyện Long thành</t>
  </si>
  <si>
    <t>Khu Phước Hải , Long thành</t>
  </si>
  <si>
    <t>3600271409</t>
  </si>
  <si>
    <t xml:space="preserve">Công Ty TNHH Sản Xuất Xây Dựng Xuất Nhập Khẩu Thanh Bình                                                                                                                                        </t>
  </si>
  <si>
    <t xml:space="preserve">19/1A - Trần Bình Trọng - Phường 5 - Quận Bình Thạnh - TP Hồ Chí Minh                                                                                                                             </t>
  </si>
  <si>
    <t>3600272843</t>
  </si>
  <si>
    <t>CÔNG TY TNHH HỒNG HÀ</t>
  </si>
  <si>
    <t>Tổ 4, ấp Bưng Cơ</t>
  </si>
  <si>
    <t>0303902751-007</t>
  </si>
  <si>
    <t>CHI NHÁNH CÔNG TY TNHH PIZZA VIỆT NAM</t>
  </si>
  <si>
    <t>Tầng 5, Trung Tâm Thương Mại Tổng Hợp Lotte Số 3, Lô B-03, Khu Thương Mại Amata, Quốc Lộ 1a, Phường Long Bình, Thành Phố Biên Hòa, Đồng Nai</t>
  </si>
  <si>
    <t>0304073313-003</t>
  </si>
  <si>
    <t xml:space="preserve">Chi Nhánh Công Ty Cổ Phần Dịch Vụ Bảo Vệ Hồn Cầu                                                                                                                                              </t>
  </si>
  <si>
    <t xml:space="preserve">Số 32 Đường Bàu Cạn, Tổ 14, ấp Phước Hòa - Long Phước - Long Thành - Đồng Nai                                                                                                                </t>
  </si>
  <si>
    <t>0304182961</t>
  </si>
  <si>
    <t>CÔNG TY TNHH DSV SOLUTIONS</t>
  </si>
  <si>
    <t>Nhà kho Daiwa House, Đường N6, KCN Lộc An – Bình Sơn, Quốc Lộ 51, Xã Long An, Huyện Long Thành, Đồng Nai</t>
  </si>
  <si>
    <t>0304323404-001</t>
  </si>
  <si>
    <t>Chi Nhánh Công Ty TNHH Điện Cơ Đức Lâm</t>
  </si>
  <si>
    <t>B3-24, Ấp 1, Xã Long Thọ, Huyện Nhơn Trạch, Đồng Nai</t>
  </si>
  <si>
    <t>3600346894-002</t>
  </si>
  <si>
    <t>3600354528</t>
  </si>
  <si>
    <t>UBND Thị Trấn Long Thành</t>
  </si>
  <si>
    <t>Khu Phước Hải, TT Long Thành, Huyện Long Thành</t>
  </si>
  <si>
    <t>GOV</t>
  </si>
  <si>
    <t>0310228364-001</t>
  </si>
  <si>
    <t>Hộ Kinh Doanh Trung Tâm Ngoại Ngữ Trung Tín</t>
  </si>
  <si>
    <t>Tổ 30, Ấp Trầu, Xã Phước Thiền, Huyện Nhơn Trạch, Đồng Nai</t>
  </si>
  <si>
    <t>0310306245</t>
  </si>
  <si>
    <t>Công Ty Cổ Phần Tiếp Vận Quốc Tế Rồng Xanh</t>
  </si>
  <si>
    <t>222/8B, Đường Bùi Đình Túy, Phường 12, Quận Bình Thạnh, TP Hồ Chí Minh</t>
  </si>
  <si>
    <t>0304712464</t>
  </si>
  <si>
    <t>Cty TNHHThương Mại - XNK DV  Kim Anh Hồ</t>
  </si>
  <si>
    <t>1033 Tổ 3 ấp suối Quýt</t>
  </si>
  <si>
    <t>Xã Cẩm Đường</t>
  </si>
  <si>
    <t xml:space="preserve">0304998686-002                </t>
  </si>
  <si>
    <t xml:space="preserve">PV GAS D - NT                                                                                                                                                                                           </t>
  </si>
  <si>
    <t xml:space="preserve">Đường D3, KCN Vinatex Tân Tạo, xã Phước An, huyện Nhơn Trạch, Tỉnh Đồng Nai, Việt Nam                                                                                                          </t>
  </si>
  <si>
    <t>0305143877</t>
  </si>
  <si>
    <t>CÔNG TY CỔ PHẦN XÂY DỰNG CÔNG TRÌNH HÀNG KHÔNG SÁU BỐN BẢY</t>
  </si>
  <si>
    <t>0305577514</t>
  </si>
  <si>
    <t>Công Ty Cổ Phần Tư Vấn Xây Dựng Thí Nghiệm Công Trình Sáu Bảy Chín</t>
  </si>
  <si>
    <t>Tổ 4, Ấp 1B, Xã Phước Thái, Huyện Long Thành, Đồng Nai</t>
  </si>
  <si>
    <t>0305731452</t>
  </si>
  <si>
    <t>Công Ty Cổ Phần Công Nghệ Việt Ân</t>
  </si>
  <si>
    <t>KCN Gò Dầu, Ấp 1A, Xã Phước Thái, Huyện Long Thành, Đồng Nai</t>
  </si>
  <si>
    <t xml:space="preserve">0100105616                    </t>
  </si>
  <si>
    <t>Tổng Công Ty  Cổ Phần Xuất Nhập Khẩu Và Xây Dựng Việt Nam</t>
  </si>
  <si>
    <t>tổ 1, Ấp 03, Xã Phước Bình, Huyện Long Thành, Đồng Nai</t>
  </si>
  <si>
    <t xml:space="preserve">Tuyeán Long Tha`nh 5                              </t>
  </si>
  <si>
    <t>0100112437-096</t>
  </si>
  <si>
    <t xml:space="preserve">Ngân Hàng TMCP Ngoại Thương Việt Nam - Chi Nhánh Long Thành                                   </t>
  </si>
  <si>
    <t>272A - 272E Đường Lê Duẩn, Khu Văn Hải - Thị trấn Long Thành - Huyện Long Thành - Tĩnh Đồn</t>
  </si>
  <si>
    <t>0311624956</t>
  </si>
  <si>
    <t>Công Ty Trách Nhiệm Hữu Hạn Kỹ Thuật New Sun Việt Nam - Chi Nhánh Đồng Nai</t>
  </si>
  <si>
    <t>KCN Lộc An, Xã Bình Sơn, Huyện Long Thành, Đồng Nai</t>
  </si>
  <si>
    <t>0312196679-004</t>
  </si>
  <si>
    <t>CHI NHÁNH TẠI TỈNH ĐỒNG NAI - CÔNG TY TNHH VINCOM RETAIL MIỀN NAM</t>
  </si>
  <si>
    <t>251, Khu Phước Hải, Đường Lê Duẩn, Thị trấn Long Thành, Huyện Long Thành, Đồng Nai</t>
  </si>
  <si>
    <t>Phường Tân Mai</t>
  </si>
  <si>
    <t>0312496263</t>
  </si>
  <si>
    <t>Công Ty Cổ Phần Xây Dựng Và Trang Trí Nội Thất Việt Nhật</t>
  </si>
  <si>
    <t>Số 11 Đường 33, Phường An Khánh, TP Thủ Đức, TP Hồ Chí Minh</t>
  </si>
  <si>
    <t xml:space="preserve">0312573253                    </t>
  </si>
  <si>
    <t>Công Ty TNHH Công Nghệ Yuan Cheng</t>
  </si>
  <si>
    <t>Số Nhà C6-29 , Khu Thăng Long Home, Ấp Bàu Bông, Xã Phước An, Huyện Nhơn Trạch, Đồng Nai</t>
  </si>
  <si>
    <t>0312592619</t>
  </si>
  <si>
    <t>CÔNG TY TNHH GARSONI (VIỆT NAM)</t>
  </si>
  <si>
    <t>Tân Cảng ICD Nhơn Trạch, Ấp 3, Xã Phú Thạnh, Huyện Nhơn Trạch, Đồng Nai</t>
  </si>
  <si>
    <t>Xã Phú Thạnh</t>
  </si>
  <si>
    <t>0313105716</t>
  </si>
  <si>
    <t>CÔNG TY TNHH VUA HẠT ĐẬU</t>
  </si>
  <si>
    <t>A4, Ấp Phước Lương, Xã Phú Hữu, Huyện Nhơn Trạch, Đồng Nai</t>
  </si>
  <si>
    <t>3600355426</t>
  </si>
  <si>
    <t>Trung Tâm Học Tập Cộng Đồng Xã Long Phước</t>
  </si>
  <si>
    <t>Ấp Đất Mới, Xã Long Phước, Huyện Long Thành</t>
  </si>
  <si>
    <t xml:space="preserve">3600359029                    </t>
  </si>
  <si>
    <t>CÔNG TY TNHH SƠN HỒNG XƯƠNG</t>
  </si>
  <si>
    <t>Ấp 5</t>
  </si>
  <si>
    <t xml:space="preserve">0100726116                    </t>
  </si>
  <si>
    <t>TỔNG CÔNG TY XÂY DỰNG CÔNG TRÌNH HÀNG KHÔNG ACC</t>
  </si>
  <si>
    <t>0100774624</t>
  </si>
  <si>
    <t xml:space="preserve"> CÔNG TY TNHH KỸ THUẬT TAIKISHA VIỆT NAM</t>
  </si>
  <si>
    <t>Nhà Máy Olympus, Đường Số 8, KCN Long Thành, Xã Tam An, Huyện Long Thành, Đồng Nai</t>
  </si>
  <si>
    <t>Xã Long Đức</t>
  </si>
  <si>
    <t>0102142123-001</t>
  </si>
  <si>
    <t>CHI NHÁNH CÔNG TY TNHH INTERNATIONAL B2B SOLUTION</t>
  </si>
  <si>
    <t>Đường Số 3, KCN Nhơn Trạch 1, Xã Phước Thiền, Huyện Nhơn Trạch, Đồng Nai</t>
  </si>
  <si>
    <t>0313166148</t>
  </si>
  <si>
    <t>CÔNG TY TNHH SG SAGAWA VIỆT NAM</t>
  </si>
  <si>
    <t>Lô 117, Khu Chế Xuất Sài Gòn - Linh Trung, Phường Linh Trung, Quận Thủ Đức, TP Hồ Chí Minh</t>
  </si>
  <si>
    <t xml:space="preserve">0313593083                    </t>
  </si>
  <si>
    <t>Công Ty TNHH Nông Trại Nano</t>
  </si>
  <si>
    <t>KCN Nhơn Trạch 3, Thị Trấn Hiệp Phước, Huyện Nhơn Trạch, Đồng Nai</t>
  </si>
  <si>
    <t>0102276173-003</t>
  </si>
  <si>
    <t>CN TOÅNG COÂNG TY ÑIEÄN LÖÏC DAÀU KHÍ VIEÄT NAM - COÂNG TY CP - COÂNG TY ÑIEÄN LÖÏC DAÀU KHÍ NHÔN TR</t>
  </si>
  <si>
    <t xml:space="preserve">AÁp 3, Xaõ Phöôùc Khaùnh, Huyeän Nhôn Traïch, Tænh Ñoàng Nai, Vieät Nam                                                 </t>
  </si>
  <si>
    <t>0102276173-009</t>
  </si>
  <si>
    <t>Chi Nhánh Tổng Công Ty Điện Lực Dầu Khí Việt Nam -CTCP -Trung Tâm Dịch Vụ Kỹ Thuật</t>
  </si>
  <si>
    <t>Ấp 3, Xã Phước Khánh, Huyện Nhơn Trạch, Đồng Nai</t>
  </si>
  <si>
    <t>0102625233</t>
  </si>
  <si>
    <t>CÔNG TY TNHH U-MAC VIỆT NAM</t>
  </si>
  <si>
    <t>Gần Bảo Gia Trang, Ấp 5, Xã An Phước, Huyện Long Thành, Đồng Nai</t>
  </si>
  <si>
    <t>Xã An Phước</t>
  </si>
  <si>
    <t>0106347650</t>
  </si>
  <si>
    <t xml:space="preserve">CÔNG TY Cổ PHầN XÂY DựNG KINEX VIệT NAM                                                                                                                                                           </t>
  </si>
  <si>
    <t xml:space="preserve">P21, Tầng 12A, Tòa C2, D.Capitale, Số 119 Trần Duy Hưng - Trung Hồ - Cầu Giấy - Hà Nội                                                                                                        </t>
  </si>
  <si>
    <t xml:space="preserve">0106708836                    </t>
  </si>
  <si>
    <t>Công Ty TNHH SHIMIZU Việt Nam</t>
  </si>
  <si>
    <t>Nhà máy OLYMPUS, Đướng số 8, KCN Long Thành, Xã Tam An, Huyện Long Thành, Đồng Nai</t>
  </si>
  <si>
    <t>Toå Kyõ thuaät Ñòa baøn Long Bình Taân - Long Bình</t>
  </si>
  <si>
    <t xml:space="preserve">Tuyeán Amata 1                                    </t>
  </si>
  <si>
    <t>3600434364</t>
  </si>
  <si>
    <t>Phòng Tài Chính Kế Hoạch Nhơn Trạch</t>
  </si>
  <si>
    <t>Đường Lý Thái Tổ, Xã Phước Thiền, Huyện Nhơn Trạch, Đồng Nai</t>
  </si>
  <si>
    <t>3600434389</t>
  </si>
  <si>
    <t>UBND xã Phú Hội</t>
  </si>
  <si>
    <t>Ấp Đất Mới, xã Phú Hội, huyện Nhơn Trạch</t>
  </si>
  <si>
    <t xml:space="preserve">Tuyeán Phuù Hoäi 3                                </t>
  </si>
  <si>
    <t>3600434420</t>
  </si>
  <si>
    <t xml:space="preserve">UBND xã  Phú  Hữu </t>
  </si>
  <si>
    <t>Ấp Cát Lái, Xã Phú Hữu, Huyện Nhơn Trạch, Đồng Nai</t>
  </si>
  <si>
    <t>3600434445</t>
  </si>
  <si>
    <t>UBND Xã Phước Khánh</t>
  </si>
  <si>
    <t>Ấp 2, Xã Phước Khánh, Huyện Nhơn Trạch</t>
  </si>
  <si>
    <t>3600434484</t>
  </si>
  <si>
    <t>UBND Xã Long Thọ</t>
  </si>
  <si>
    <t>Ấp 4, Xã Long Thọ, Huyện Nhơn Trạch, Đồng Nai</t>
  </si>
  <si>
    <t>3600434491</t>
  </si>
  <si>
    <t>Tổ Đền Bù UBND Xã Hiệp Phước</t>
  </si>
  <si>
    <t>Ấp 3, Xã Hiệp Phước, Huyện Nhơn Trạch</t>
  </si>
  <si>
    <t>0313781898</t>
  </si>
  <si>
    <t xml:space="preserve">Vi Sơn Hùng                                                                                                                                                                                            </t>
  </si>
  <si>
    <t xml:space="preserve">106 khu 2 ấp 7 - An Phước - Long Thành - Đồng Nai                                                                                                                                                   </t>
  </si>
  <si>
    <t>0313991655</t>
  </si>
  <si>
    <t>CÔNG TY TNHH XÂY DỰNG THE EAST UNIVERSE</t>
  </si>
  <si>
    <t>DC40-505, Khu Oasis II, KDC Việt-Sing, Khu phố 4, Phường An Phú, Thị xã Thuận An, Bình Dương</t>
  </si>
  <si>
    <t>0313994751</t>
  </si>
  <si>
    <t>CÔNG TY TNHH GARMCO METALS VIỆT NAM</t>
  </si>
  <si>
    <t>(Trong khuôn viên CT TNHH Phát triển BĐS Daiwa House) Lô 1-1</t>
  </si>
  <si>
    <t>0314195906</t>
  </si>
  <si>
    <t>CÔNG TY TNHH NĂNG LƯỢNG THIÊN BÌNH</t>
  </si>
  <si>
    <t>Khuôn Viên CÔNG TY TNHH QUỐC TẾ GOLD LONG JOHN ĐỒNG NAI VIỆT NAM, Đường 5A, KCN Nhơn Trạch 2, Thị trấn Hiệp Phước, Huyện Nhơn Trạch, Đồng Nai</t>
  </si>
  <si>
    <t xml:space="preserve">0314301907                    </t>
  </si>
  <si>
    <t>CÔNG TY CỔ PHẦN ĐẦU TƯ XÂY DỰNG SỐ 1 MÊ KÔNG</t>
  </si>
  <si>
    <t xml:space="preserve">3600477135                    </t>
  </si>
  <si>
    <t>Công ty CP Gạch Men Chang Yih</t>
  </si>
  <si>
    <t>3600488761</t>
  </si>
  <si>
    <t xml:space="preserve">CTy CP XD An Khánh                                                                                                                                                                                     </t>
  </si>
  <si>
    <t xml:space="preserve">số 8,Đường Trần Phú,ấp Bến Cam,Xã Phước thiền,Huyện Nhơn Trạch,Đồng Nai                                                                                                                     </t>
  </si>
  <si>
    <t>3600503177</t>
  </si>
  <si>
    <t>Trường Cao Đẳng Công nghệ Quốc Tế LILAMA 2</t>
  </si>
  <si>
    <t>Km 32 QL 51</t>
  </si>
  <si>
    <t xml:space="preserve">3600515648                    </t>
  </si>
  <si>
    <t>CÔNG TY TNHH WORLD VINA</t>
  </si>
  <si>
    <t>Số 462, ấp Long Phú</t>
  </si>
  <si>
    <t xml:space="preserve">Tuyeán Long Phöôùc 6                              </t>
  </si>
  <si>
    <t xml:space="preserve">3600523430                    </t>
  </si>
  <si>
    <t>CÔNG TY TRÁCH NHIỆM HỮU HẠN HIGH POINT VIỆT NAM</t>
  </si>
  <si>
    <t>KCN Nhơn Trạch I</t>
  </si>
  <si>
    <t xml:space="preserve">3600573093                    </t>
  </si>
  <si>
    <t>Công ty TNHH  ACE PACIFIC Việt Nam</t>
  </si>
  <si>
    <t>Đường số 2, KCN Nhơn Trạch 1</t>
  </si>
  <si>
    <t>3600580044</t>
  </si>
  <si>
    <t>CÔNG TY TRÁCH NHIỆM HỮU HẠN SỢI CHỈ VIỆT CÔN.</t>
  </si>
  <si>
    <t>Khu Công Nghiệp Nhơn Trạch II</t>
  </si>
  <si>
    <t xml:space="preserve">3600582482                    </t>
  </si>
  <si>
    <t>CÔNG TY CỔ PHẦN ĐẦU TƯ VÀ XÂY DỰNG NHƠN THÀNH</t>
  </si>
  <si>
    <t>Tổ 18, đường Trần Phú (đường 319B cũ), ấp Bến Cam</t>
  </si>
  <si>
    <t>3600604792</t>
  </si>
  <si>
    <t>CÔNG TY TNHH GIÀY TUẤN VIỆT</t>
  </si>
  <si>
    <t>Cụm công nghiệp Phú Thạnh</t>
  </si>
  <si>
    <t xml:space="preserve">3600610098                    </t>
  </si>
  <si>
    <t>CÔNG TY TNHH HUNG TA VIỆT NAM</t>
  </si>
  <si>
    <t>KCN Nhơn Trạch III</t>
  </si>
  <si>
    <t>3600612056</t>
  </si>
  <si>
    <t>CÔNG TY TNHH KIM PHƯƠNG NGÂN</t>
  </si>
  <si>
    <t>Tổ 9, ấp Xóm Hố</t>
  </si>
  <si>
    <t>3600630577</t>
  </si>
  <si>
    <t>CÔNG TY CỔ PHẦN  BAO BÌ NHƠN TRẠCH</t>
  </si>
  <si>
    <t>KCN Nhơn Trạch 1, đường số 2</t>
  </si>
  <si>
    <t>3600635536</t>
  </si>
  <si>
    <t xml:space="preserve">CTy TNHH DVTM Tân Thắng Lợi                                                                                                                                                                          </t>
  </si>
  <si>
    <t xml:space="preserve">Tổ 8 ấp Đất Mới - Long Phước - Long Thành - Đồng Nai                                                                                                                                             </t>
  </si>
  <si>
    <t xml:space="preserve">3600641177                    </t>
  </si>
  <si>
    <t>CÔNG TY TRÁCH NHIỆM HỮU HẠN DỆT NHUỘM NAM PHƯƠNG</t>
  </si>
  <si>
    <t>Khu Công nghiệp Nhơn Trạch II</t>
  </si>
  <si>
    <t>3600643248</t>
  </si>
  <si>
    <t xml:space="preserve">Công Ty TNHH Thực Nghiệp Li Shin                                                                                                                                                                     </t>
  </si>
  <si>
    <t xml:space="preserve">Khu Công Nghiệp Nhơn Trạch III, Huyện Nhơn Trạch, Tỉnh Đồng Nai                                                                                                                                   </t>
  </si>
  <si>
    <t>Xã Hiệp Phước</t>
  </si>
  <si>
    <t>3600649539</t>
  </si>
  <si>
    <t>CÔNG TY CỔ PHẦN SONADEZI LONG THÀNH</t>
  </si>
  <si>
    <t>Khu công nghiệp Long Thành</t>
  </si>
  <si>
    <t>3600662829</t>
  </si>
  <si>
    <t>CÔNG TY TRÁCH NHIỆM HỮU HẠN REGION INDUSTRIES</t>
  </si>
  <si>
    <t>Cụm Công nghiệp Bình Sơn</t>
  </si>
  <si>
    <t>3600663276</t>
  </si>
  <si>
    <t xml:space="preserve">Công Ty TNHH Hồng Ngọc Trân                                                                     </t>
  </si>
  <si>
    <t xml:space="preserve">Khu 12 - Xã Long Đức - Huyện Long Thành - Đồng Nai                                             </t>
  </si>
  <si>
    <t xml:space="preserve">3600663847                    </t>
  </si>
  <si>
    <t>CÔNG TY TNHH BAO BÌ KAOTEN (VIỆT NAM)</t>
  </si>
  <si>
    <t>Đường Số 8, phân khu Formosa, Khu công nghiệp Nhơn Trạch III</t>
  </si>
  <si>
    <t>3600666397</t>
  </si>
  <si>
    <t xml:space="preserve">Khu Vui Chơi Thiếu Nhi Nông Trại Cuộc Sống Xanh                                                                                                                                                    </t>
  </si>
  <si>
    <t xml:space="preserve">Tổ 7 ấp 6 - Tân Hiệp - Long Thành - Đồng Nai                                                                                                                                                      </t>
  </si>
  <si>
    <t>0315895611</t>
  </si>
  <si>
    <t>CÔNG TY CỔ PHẦN SKYX SOLAR</t>
  </si>
  <si>
    <t>khu nhà xưởng IP, KCN Nhơn Trạch 3, Xã Long Thọ, Huyện Nhơn Trạch, Đồng Nai</t>
  </si>
  <si>
    <t>0316243048</t>
  </si>
  <si>
    <t>CÔNG TY TNHH ELANCO VIỆT NAM</t>
  </si>
  <si>
    <t>Lô F, KCN Lộc An – Bình Sơn, Tỉnh Lộ 769, Xã Lộc An, Huyện Long Thành, Đồng Nai</t>
  </si>
  <si>
    <t>0316358105</t>
  </si>
  <si>
    <t xml:space="preserve">CHI NHáNH CÔNG TY Cổ PHầN THƯƠNG MạI Kỹ THUậT NĂNG LƯợNG STP6 TạI ĐồNG NAI                                                                                                                   </t>
  </si>
  <si>
    <t xml:space="preserve">Đường N4, KCN Vinatex-Tân Tạo, Thị trấn Hiệp Phước, Huyện Nhơn Trạch, Tỉnh Đồng Nai, Việt                                                                                                     </t>
  </si>
  <si>
    <t>3600675144</t>
  </si>
  <si>
    <t>Công ty TNHH Ngân Bình</t>
  </si>
  <si>
    <t>Ấp 5, xã Long Phước, huyện Long Thành</t>
  </si>
  <si>
    <t xml:space="preserve">3600677374                    </t>
  </si>
  <si>
    <t>Công Ty Cổ Phần Cảng Long Thành</t>
  </si>
  <si>
    <t>Cảng Gò Dầu A</t>
  </si>
  <si>
    <t xml:space="preserve">3600678466                    </t>
  </si>
  <si>
    <t>Doanh Nghiệp Tư Nhân  Phúc Đại Thành</t>
  </si>
  <si>
    <t>Tổ 35, Khu Cầu Xéo, Quốc lộ 51</t>
  </si>
  <si>
    <t xml:space="preserve">3600679597                    </t>
  </si>
  <si>
    <t>CÔNG TY TNHH DỆT SỢI GI TAI</t>
  </si>
  <si>
    <t>Đường 5A, KCN Nhơn Trạch 2</t>
  </si>
  <si>
    <t xml:space="preserve">3600681606                    </t>
  </si>
  <si>
    <t>DNTN Gỗ Bình Chiểu</t>
  </si>
  <si>
    <t>ấp 1</t>
  </si>
  <si>
    <t>Xã Bàu Cạn</t>
  </si>
  <si>
    <t>0317846680</t>
  </si>
  <si>
    <t xml:space="preserve">CÔNG TY TNHH THƯƠNG MẠI Và Kỹ THUậT SONG BảO                                                  </t>
  </si>
  <si>
    <t xml:space="preserve">Số 15/05 Đường 22 - Phường Phước Long B - Thành Phố Thủ Đức - TP Hồ Chí Minh - Việt Nam   </t>
  </si>
  <si>
    <t xml:space="preserve">3600685382                    </t>
  </si>
  <si>
    <t>CÔNG TY TRÁCH NHIỆM HỮU HẠN FINE CABLE VINA</t>
  </si>
  <si>
    <t>Đường số 2, Khu công nghiệp Nhơn Trạch 1</t>
  </si>
  <si>
    <t>3600685449</t>
  </si>
  <si>
    <t xml:space="preserve">Cty TNHH Hóa Chất &amp; Phân Bón Nam Việt Tân                                                                                                                                                         </t>
  </si>
  <si>
    <t xml:space="preserve">KCN Gò Dầu - Phước Thái - Long Thành - Đồng Nai                                                                                                                                                   </t>
  </si>
  <si>
    <t xml:space="preserve">3600691629                    </t>
  </si>
  <si>
    <t>CÔNG TY TRÁCH NHIỆM HỮU HẠN POSCO VST</t>
  </si>
  <si>
    <t>Đường 319B, KCN Nhơn Trạch I</t>
  </si>
  <si>
    <t>3600694267</t>
  </si>
  <si>
    <t>CÔNG TY CỔ PHẦN ĐẦU TƯ NHƠN TRẠCH</t>
  </si>
  <si>
    <t>Đường số 7, Khu đô thị Đông Sài Gòn</t>
  </si>
  <si>
    <t>0306174229</t>
  </si>
  <si>
    <t>Công Ty TNHH Một Thành Viên Xây Lắp Kỹ Thuật Điện Cơ Mạnh Tín</t>
  </si>
  <si>
    <t>Khu 14, Xã Long Đức, Huyện Long Thành, Đồng Nai</t>
  </si>
  <si>
    <t>Xã Tân Hiệp</t>
  </si>
  <si>
    <t>0308113486</t>
  </si>
  <si>
    <t>CÔNG TY CỔ PHẦN Á ĐÔNG ADG</t>
  </si>
  <si>
    <t>Lô II, Đường số 8, KCN Nhơn Trạch 2, Thị trấn Hiệp Phước, Huyện Nhơn Trạch, Đồng Nai</t>
  </si>
  <si>
    <t xml:space="preserve">0107502933-001                </t>
  </si>
  <si>
    <t>Chi Nhánh Công Ty TNHH Việt Nam Kandenko Tại Thành Phố Hồ Minh</t>
  </si>
  <si>
    <t>Tầng 3 Tòa Nhà HP Số 60, Đường Nguyễn Văn Thủ, Phường Dakao, Quận 1, TP Hồ Chí Minh</t>
  </si>
  <si>
    <t xml:space="preserve">0109614992                    </t>
  </si>
  <si>
    <t>CÔNG TY TNHH PHÚ KIM VN</t>
  </si>
  <si>
    <t>Tổ 4, Khu A, Ấp 5, Xã An Phước, Huyện Long Thành, Đồng Nai</t>
  </si>
  <si>
    <t xml:space="preserve">3600723398                    </t>
  </si>
  <si>
    <t>CÔNG TY CỔ PHẦN GẠCH MEN V.T.C</t>
  </si>
  <si>
    <t>Khu Công nghiệp Gò Dầu</t>
  </si>
  <si>
    <t xml:space="preserve">3600724458                    </t>
  </si>
  <si>
    <t>CÔNG TY TRÁCH NHIỆM HỮU HẠN KUM YOUNG VINA</t>
  </si>
  <si>
    <t>Đường số 8, Khu công nghiệp Long Thành</t>
  </si>
  <si>
    <t xml:space="preserve">3600728396                    </t>
  </si>
  <si>
    <t>CÔNG TY TRÁCH NHIỆM HỮU HẠN MỘT THÀNH VIÊN THUỘC DA ROSTAING (VIỆT NAM)</t>
  </si>
  <si>
    <t>Lô D II - 2, đường số 8, Khu công nghiệp Long Thành</t>
  </si>
  <si>
    <t xml:space="preserve">0309862745                    </t>
  </si>
  <si>
    <t>Công Ty TNHH Khoan SX TMDV Tiên Phong</t>
  </si>
  <si>
    <t>319- B4 Lý Thường Kiệt, Phường 15, Quận 11, TP Hồ Chí Minh</t>
  </si>
  <si>
    <t xml:space="preserve">0309863033                    </t>
  </si>
  <si>
    <t>Công Ty TNHH Sản Xuất Thương Mại Dịch Vụ Hải Thiên Sơn</t>
  </si>
  <si>
    <t>Khu Sân Bay, Ấp 11, Xã Bình Sơn, Huyện Long Thành, Đồng Nai</t>
  </si>
  <si>
    <t>0310496966-005</t>
  </si>
  <si>
    <t>CN Công Ty CP Xăng Dầu Dầu Khí Sài Gòn Tại Đồng Nai - CHXD Số 60</t>
  </si>
  <si>
    <t>26/4a Ấp 3, Xã Hóa An, Biên Hòa, Đồng Nai</t>
  </si>
  <si>
    <t>Phường Hóa An</t>
  </si>
  <si>
    <t>0311098767</t>
  </si>
  <si>
    <t>Công Ty Tnhh Mtv Forval Việt Nam</t>
  </si>
  <si>
    <t>Số 72, Đường Lê Thánh Tôn, Phường Bến Nghé, Quận 1, Tphcm</t>
  </si>
  <si>
    <t xml:space="preserve">3600728491                    </t>
  </si>
  <si>
    <t>CÔNG TY TNHH NHUỘM TÂN ĐẠI LỢI</t>
  </si>
  <si>
    <t>Đường số 3, KCN Long Thành</t>
  </si>
  <si>
    <t xml:space="preserve">3600729826                    </t>
  </si>
  <si>
    <t>CÔNG TY TRÁCH NHIỆM HỮU HẠN HÓA DẦU GREAT PROSPERITY.</t>
  </si>
  <si>
    <t xml:space="preserve">3600738411                    </t>
  </si>
  <si>
    <t>DOANH NGHIỆP TƯ NHÂN HUỲNH MINH</t>
  </si>
  <si>
    <t>Chợ Đại Phước, ấp Bến Cộ</t>
  </si>
  <si>
    <t xml:space="preserve">3600743147                    </t>
  </si>
  <si>
    <t>CÔNG TY TNHH QUỐC TẾ SAMJIN</t>
  </si>
  <si>
    <t>Đường số 2, KCN Nhơn Trạch I</t>
  </si>
  <si>
    <t xml:space="preserve">3600746860                    </t>
  </si>
  <si>
    <t>CÔNG TY TNHH NGỌC THÀNH ĐIỀN</t>
  </si>
  <si>
    <t>Số 575/30/2, đường Hùng Vương, KP Phước Hiệp</t>
  </si>
  <si>
    <t xml:space="preserve">3600747367                    </t>
  </si>
  <si>
    <t>CÔNG TY CỔ PHẦN WELCRON GLOBAL VIỆT NAM</t>
  </si>
  <si>
    <t>Đường số 1, Khu Công nghiệp Long Thành</t>
  </si>
  <si>
    <t>3600749727</t>
  </si>
  <si>
    <t>CÔNG TY TNHH TRƯỜNG THẠCH</t>
  </si>
  <si>
    <t>Lô 11, Khu công nghiệp Nhơn Trạch 2, Tỉnh lộ 25B</t>
  </si>
  <si>
    <t>3600767229</t>
  </si>
  <si>
    <t xml:space="preserve">Công Ty TNHH MTV Tư Vấn Thiết Kế-Xây Dựng Ngọc Hải Nam                                                                                                                                          </t>
  </si>
  <si>
    <t xml:space="preserve">252 Tổ 19 ấp Bến Cam, xã Phước Thiền, huyện Nhơn Trạch, tỉnh Đồng Nai                                                                                                                          </t>
  </si>
  <si>
    <t>3600784834</t>
  </si>
  <si>
    <t>CÔNG TY TNHH TM DV HÙNG NHI</t>
  </si>
  <si>
    <t>Số 826, Tổ 1, Ấp Xóm Gốc, Quốc Lộ 51</t>
  </si>
  <si>
    <t xml:space="preserve">3600788934                    </t>
  </si>
  <si>
    <t>CÔNG TY CỔ PHẦN ANGEL VIỆT NAM</t>
  </si>
  <si>
    <t>Lô A.I-6, Khu Công nghiệp Long Thành</t>
  </si>
  <si>
    <t xml:space="preserve">3600795561                    </t>
  </si>
  <si>
    <t>CÔNG TY TNHH CÔNG NGHIỆP CHEAN SHIN (VIỆT NAM)</t>
  </si>
  <si>
    <t>3600798594</t>
  </si>
  <si>
    <t>Công Ty TNHH Hùng Quang Minh</t>
  </si>
  <si>
    <t>Văn phòng giao dịch: 18A, Tổ 20, ấp 3, Tỉnh lộ 25B</t>
  </si>
  <si>
    <t xml:space="preserve">3600800885                    </t>
  </si>
  <si>
    <t>CÔNG TY TNHH TM - DV THÀNH MỸ PHÁT</t>
  </si>
  <si>
    <t>Số 268, ấp 2</t>
  </si>
  <si>
    <t xml:space="preserve">3600805594                    </t>
  </si>
  <si>
    <t>CÔNG TY TNHH HAI DUNG</t>
  </si>
  <si>
    <t>Số 42/2, Ấp Bến Cộ</t>
  </si>
  <si>
    <t xml:space="preserve">3600817399                    </t>
  </si>
  <si>
    <t>CÔNG TY TNHH SOPET GAS ONE</t>
  </si>
  <si>
    <t>Ấp 2</t>
  </si>
  <si>
    <t>3600821934</t>
  </si>
  <si>
    <t>DOANH NGHIỆP TƯ NHÂN SẢN XUẤT - THƯƠNG MẠI - DỊCH VỤ CHÂU HỒNG</t>
  </si>
  <si>
    <t>Số 3, Ấp 1</t>
  </si>
  <si>
    <t xml:space="preserve">3600823561                    </t>
  </si>
  <si>
    <t>CÔNG TY TNHH DAEWON CHEMICAL VINA.</t>
  </si>
  <si>
    <t>Đường số 5,  Khu Công nghiệp Long Thành</t>
  </si>
  <si>
    <t>0300381564</t>
  </si>
  <si>
    <t>Công Ty Cổ Phần Dây Cáp Điện Việt Nam</t>
  </si>
  <si>
    <t>Đường Số 1, KCN Long Thành, Xã Tam An, Huyện Long Thành, Đồng Nai</t>
  </si>
  <si>
    <t>0301096513-003</t>
  </si>
  <si>
    <t>Công Ty TNHH Mạc Tích</t>
  </si>
  <si>
    <t>Đường Số 2, KCN Nhơn Trạch III - Giai Đoạn 2, Xã Long Thọ, Huyện Nhơn Trạch, Tỉnh Đồng Nai, Việt Nam</t>
  </si>
  <si>
    <t>3600836923</t>
  </si>
  <si>
    <t>CÔNG TY TNHH KIM LOẠI BOLSTER</t>
  </si>
  <si>
    <t>KCN Nhơn Trạch V</t>
  </si>
  <si>
    <t xml:space="preserve">3600869037                    </t>
  </si>
  <si>
    <t>CÔNG TY TNHH SẢN XUẤT THƯƠNG MẠI THIÊN LONG LONG THÀNH</t>
  </si>
  <si>
    <t>Đường số 7, Khu công nghiệp Long Thành</t>
  </si>
  <si>
    <t xml:space="preserve">0312536188-003                </t>
  </si>
  <si>
    <t>CÔNG TY CỔ PHẦN PHÒNG KHÁM ĐA KHOA  DUY KHANG -  CHI NHÁNH LONG THÀNH</t>
  </si>
  <si>
    <t>A1-9, A1-10, Khu Chợ Mới Long Thành, Khu Cầu Xéo, Thị trấn Long Thành, Huyện Long Thành, Đồng Nai</t>
  </si>
  <si>
    <t>0313002326</t>
  </si>
  <si>
    <t>Công Ty Cổ Phần Free Land</t>
  </si>
  <si>
    <t>Ấp Bình Phú, Xã Long Tân, Huyện Nhơn Trạch, Đồng Nai</t>
  </si>
  <si>
    <t>0313053306</t>
  </si>
  <si>
    <t>LIÊN DANH DASAN - KUNHWA - ICT</t>
  </si>
  <si>
    <t>A19 Green Villas, Đường N4, KDC Long Thọ, Khu Dân Cư Phước An, Xã Phước An, Huyện Nhơn Trạch, Đồng Nai</t>
  </si>
  <si>
    <t>0313370143-002</t>
  </si>
  <si>
    <t xml:space="preserve">Chi Nhánh Công Ty TNHH Xuất Nhập Khẩu Đầu Tư Tiến Đạt                                                                                                                                           </t>
  </si>
  <si>
    <t xml:space="preserve">Số 2120, Quốc Lộ 51 - ấp 1A - Xã Phước Thái - Huyện Long Thành - Đồng Nai                                                                                                                     </t>
  </si>
  <si>
    <t xml:space="preserve">3600874340                    </t>
  </si>
  <si>
    <t>CÔNG TY TNHH S-PRINT, INC</t>
  </si>
  <si>
    <t>3600892822-003</t>
  </si>
  <si>
    <t xml:space="preserve">Cty TNHH MTV DVBV Sài Gòn LOng Hải                                                                                                                                                                   </t>
  </si>
  <si>
    <t xml:space="preserve">Số 2 Tổ 1A61p Xóm Gốc - Long An - Long Thành - Đồng Nai                                                                                                                                           </t>
  </si>
  <si>
    <t>Thị xã Long khánh</t>
  </si>
  <si>
    <t>Xã Bảo Vinh</t>
  </si>
  <si>
    <t xml:space="preserve">3600905366                    </t>
  </si>
  <si>
    <t>CÔNG TY TNHH VINA BUHMWOO</t>
  </si>
  <si>
    <t>Đường 7C, KCN Nhơn Trạch II</t>
  </si>
  <si>
    <t xml:space="preserve">3600924834-001                </t>
  </si>
  <si>
    <t>CHI NHÁNH CÔNG TY TNHH MỘT THÀNH VIÊN KHÁCH SẠN HOÀNG MINH CHÂU</t>
  </si>
  <si>
    <t>Lô B8, Ấp 02, Xã Phước Bình, Huyện Long Thành, Đồng Nai</t>
  </si>
  <si>
    <t xml:space="preserve">Tuyeán Long Phöôùc 4                              </t>
  </si>
  <si>
    <t xml:space="preserve">3600943234                    </t>
  </si>
  <si>
    <t>CÔNG TY TNHH JEONGSAN VINA</t>
  </si>
  <si>
    <t>Ấp Cù Lao</t>
  </si>
  <si>
    <t xml:space="preserve">3600953433                    </t>
  </si>
  <si>
    <t>Công Ty TNHH Long Trạch</t>
  </si>
  <si>
    <t>Tổ 2, Khu Phước Hải</t>
  </si>
  <si>
    <t>0313503851</t>
  </si>
  <si>
    <t>Công Ty TNHH Thương Mại Dịch Vụ Giao Nhận FEG</t>
  </si>
  <si>
    <t>P405 Toà Nhà Tín Nghịa, KCN Nhơn Trạch 3, Xã Hiệp Phước, Huyện Nhơn Trạch, Đồng Nai</t>
  </si>
  <si>
    <t xml:space="preserve">0313726262                    </t>
  </si>
  <si>
    <t>CÔNG TY TNHH P.K TECH VIỆT NAM</t>
  </si>
  <si>
    <t>Nhà xưởng số 16, Đường số 6, Khu Công nghiệp Long Thành</t>
  </si>
  <si>
    <t xml:space="preserve">3600953659                    </t>
  </si>
  <si>
    <t>CÔNG TY TNHH JSP</t>
  </si>
  <si>
    <t>Đường 6B, KCN Nhơn trạch II</t>
  </si>
  <si>
    <t>3600955744</t>
  </si>
  <si>
    <t>DNTN Long Tỉnh</t>
  </si>
  <si>
    <t>481/A ấp 8</t>
  </si>
  <si>
    <t>3600961554</t>
  </si>
  <si>
    <t>CÔNG TY TNHH VINH THÀNH NGUYỄN</t>
  </si>
  <si>
    <t>Số 301, Quốc Lộ 51, ấp Hìền Hòa</t>
  </si>
  <si>
    <t xml:space="preserve">3600974539                    </t>
  </si>
  <si>
    <t>DNTN Lưu Bình</t>
  </si>
  <si>
    <t>ấp Chợ TL 769</t>
  </si>
  <si>
    <t>3600980081</t>
  </si>
  <si>
    <t>Quỹ Tín Dụng Nhân Dân Cơ Sở Long Thành</t>
  </si>
  <si>
    <t>Khu Phước Thuận, QL51A</t>
  </si>
  <si>
    <t xml:space="preserve">3600984858                    </t>
  </si>
  <si>
    <t>CÔNG TY TNHH  TƯ VẤN XÂY DỰNG HÀ THANH</t>
  </si>
  <si>
    <t>Số 298, đường Trường Chinh (QL51B), tổ 24, khu Phước Hải</t>
  </si>
  <si>
    <t xml:space="preserve">3600986206                    </t>
  </si>
  <si>
    <t>CÔNG TY TNHH MỘT THÀNH VIÊN MÔ TÔ TAXI TRẦN HỒ</t>
  </si>
  <si>
    <t>Khu 2, ấp 7</t>
  </si>
  <si>
    <t>0314092509</t>
  </si>
  <si>
    <t>CÔNG TY TNHH ĐẦU TƯ THƯƠNG MẠI SAO NAM</t>
  </si>
  <si>
    <t>Ấp Bến Ngự, Xã Phú Đông, Huyện Nhơn Trạch, Đồng Nai</t>
  </si>
  <si>
    <t>Xã Phú Đông</t>
  </si>
  <si>
    <t>0314300163</t>
  </si>
  <si>
    <t>CÔNG TY TNHH UCHIDA VIỆT NAM</t>
  </si>
  <si>
    <t>Nhà xường JSC, KCN Nhơn Trạch III - giai đoạn 2, Thị trấn Hiệp Phước, Huyện Nhơn Trạch, Đồng Nai</t>
  </si>
  <si>
    <t>0314441527</t>
  </si>
  <si>
    <t>CÔNG TY TNHH KỸ THUẬT VÀ XÂY DỰNG DYNAMIC</t>
  </si>
  <si>
    <t>Đường N1, KCN Nhơn Trạch 6, Xã Long Thọ, Huyện Nhơn Trạch, Đồng Nai</t>
  </si>
  <si>
    <t xml:space="preserve">0314589273                    </t>
  </si>
  <si>
    <t>CÔNG TY TNHH DCE SS VINA</t>
  </si>
  <si>
    <t>Phòng 402, Lầu 3 Tòa nhà văn phòng Khu công nghiệp Nhơn Trạc</t>
  </si>
  <si>
    <t xml:space="preserve">0315182265-001                </t>
  </si>
  <si>
    <t>Chi Nhánh 1 - Công Ty Cổ Phần Sunrise Global</t>
  </si>
  <si>
    <t>Đường Nguyễn Ái Quốc, KCN Nhơn Trạch III - giai đoạn 2, Thị trấn Hiệp Phước, Huyện Nhơn Trạch, Đồng Nai</t>
  </si>
  <si>
    <t>0315239828</t>
  </si>
  <si>
    <t>CÔNG TY TNHH XÂY DỰNG HYOSUNG VINA</t>
  </si>
  <si>
    <t>0315341941</t>
  </si>
  <si>
    <t>DOANH NGHIỆP TƯ NHÂN THUẬN DŨNG PHÁT</t>
  </si>
  <si>
    <t>Số 156 Đường Thạnh Xuân 14, Phường Thạnh Xuân, Quận 12, TP Hồ Chí Minh</t>
  </si>
  <si>
    <t xml:space="preserve">0301847086                    </t>
  </si>
  <si>
    <t>CÔNG TY TNHH XĂNG DẦU TRANG KHOA</t>
  </si>
  <si>
    <t>số 07/824, ấp Bến Đình, Tỉnh lộ 319</t>
  </si>
  <si>
    <t>0301913324</t>
  </si>
  <si>
    <t>DNTN Hoa Liên</t>
  </si>
  <si>
    <t>294A QL51, K.2, ấp 8</t>
  </si>
  <si>
    <t>3600990770</t>
  </si>
  <si>
    <t>CÔNG TY TNHH THƯƠNG MẠI NGỌC THANH LAN</t>
  </si>
  <si>
    <t>674, Quốc lộ 51, Ấp 2</t>
  </si>
  <si>
    <t>3600991012</t>
  </si>
  <si>
    <t>HTX Cung ứng Và SXVLXD Phước Tân</t>
  </si>
  <si>
    <t>Khu Phước Hải</t>
  </si>
  <si>
    <t>3600993066</t>
  </si>
  <si>
    <t xml:space="preserve">CTY TNHH MTV TM-DV Trân Châu Phước                                                                                                                                                                   </t>
  </si>
  <si>
    <t xml:space="preserve">ấp Hiền Hòa - Phước Thái - Long Thành - Đồng Nai                                                                                                                                                 </t>
  </si>
  <si>
    <t>3600993482</t>
  </si>
  <si>
    <t>CÔNG TY TNHH MỘT THÀNH VIÊN VŨ KHOA</t>
  </si>
  <si>
    <t>Số 111B, khu 1, ấp 7</t>
  </si>
  <si>
    <t>3600994239</t>
  </si>
  <si>
    <t>CÔNG TY TNHH HẢI KIM</t>
  </si>
  <si>
    <t>Văn phòng giao dịch: 38/2, tổ 2, khu Phước Hải</t>
  </si>
  <si>
    <t>3600999244</t>
  </si>
  <si>
    <t>CÔNG TY TNHH HÓA CHẤT HS VIỆT NAM</t>
  </si>
  <si>
    <t>Số 25B, KCN Nhơn Trạch 1</t>
  </si>
  <si>
    <t xml:space="preserve">3601000183                    </t>
  </si>
  <si>
    <t>Công Ty TNHH Một Thành Viên Hai Cải</t>
  </si>
  <si>
    <t>K5/221, tổ 3, Khu Văn Hải, đường Lê Duẫn</t>
  </si>
  <si>
    <t xml:space="preserve">Tuyeán Long Thaønh 7                              </t>
  </si>
  <si>
    <t>3601010079</t>
  </si>
  <si>
    <t>Công Ty TNHH Thanh Dinh</t>
  </si>
  <si>
    <t>Khu A, ấp Bến Cộ</t>
  </si>
  <si>
    <t>3601010336</t>
  </si>
  <si>
    <t>CÔNG TY CỔ PHẦN DẦU KHÍ ĐẦU TƯ KHAI THÁC CẢNG PHƯỚC AN</t>
  </si>
  <si>
    <t>Khu dịch vụ Hậu cần Cảng Phước An, Ấp Bà Trường</t>
  </si>
  <si>
    <t>0316132813</t>
  </si>
  <si>
    <t>CÔNG TY TNHH HOSE SUPPLIES VIETNAM</t>
  </si>
  <si>
    <t>Khu Việt Tiến Đông Á, KCN Vinatex Tân Tạo, Thị Trấn Hiệp Phước, Huyện Nhơn Trạch, Đồng Nai</t>
  </si>
  <si>
    <t>0316333076</t>
  </si>
  <si>
    <t>CÔNG TY TNHH MENAS</t>
  </si>
  <si>
    <t>6A.02.02(A1.31.01) Khu Đô Thị Swanbay, Ấp Phước Lý, Xã Đại Phước, Huyện Nhơn Trạch, Đồng Nai</t>
  </si>
  <si>
    <t>0316358105-001</t>
  </si>
  <si>
    <t>0316473637-012</t>
  </si>
  <si>
    <t>Chi Nhánh Biên Hoà 2 - Công Ty TNHH Thương Mại và Dịch Vụ Chào Thế Giới</t>
  </si>
  <si>
    <t>L1_03 TTTM Vincom Long Thành, số 151, Khu Phước Hải, Đường Lê Duẩn, Thị trấn Long Thành, Huyện Long Thành, Đồng Nai</t>
  </si>
  <si>
    <t>Phường Tân Tiến</t>
  </si>
  <si>
    <t>0316537351</t>
  </si>
  <si>
    <t>CÔNG TY CỔ PHẦN GF EDUCATION INVEST</t>
  </si>
  <si>
    <t>486 Nguyễn Thị Minh Khai, Phường 2, Quận 3, Thành Phố Hồ Chí Minh</t>
  </si>
  <si>
    <t xml:space="preserve">3601011435                    </t>
  </si>
  <si>
    <t>CÔNG TY TNHH THƯƠNG MẠI THƯ KỲ</t>
  </si>
  <si>
    <t>Tổ 8, Ấp 3</t>
  </si>
  <si>
    <t>3601015856</t>
  </si>
  <si>
    <t>CÔNG TY CỔ PHẦN SẢN XUẤT KINH DOANH THIẾT BỊ ĐIỆN TTC</t>
  </si>
  <si>
    <t>Số F5, F6, Lô F, KCN An Phước</t>
  </si>
  <si>
    <t xml:space="preserve">3601019917                    </t>
  </si>
  <si>
    <t>CÔNG TY TNHH E.Z SPORTS VINA.</t>
  </si>
  <si>
    <t>3601035570</t>
  </si>
  <si>
    <t>Công Ty TNHH Giấy Yuen Foong Yu Đồng Nai</t>
  </si>
  <si>
    <t>Thôn 8, Xã Bình Sơn, Huyện Long Thành, Tỉnh Đồng Nai</t>
  </si>
  <si>
    <t>3601038204-056</t>
  </si>
  <si>
    <t>Trạm Xăng Dầu Long Tân - Công Ty CP Xăng Dầu Tín Nghĩa</t>
  </si>
  <si>
    <t>Tỉnh Lộ 25b, Ấp Bình Phú, Xã Long Tân, Huyện Nhơn Trạch, Đồng Nai</t>
  </si>
  <si>
    <t>3601038204-085</t>
  </si>
  <si>
    <t>Chi Nhánh Công Ty Cổ Phần Xăng Dầu Tín Nghĩa - Trạm Xăng Dầu Phước Thành</t>
  </si>
  <si>
    <t>Đường Lò Gạch, Tổ 4, Ấp 5, Xã An Phước, Huyện Long Thành, Đồng Nai</t>
  </si>
  <si>
    <t>3601038204-088</t>
  </si>
  <si>
    <t>CHI NHÁNH CÔNG TY CỔ PHẦN XĂNG DẦU TÍN NGHĨA -TRẠM XĂNG DẦU PHƯỚC LỘC</t>
  </si>
  <si>
    <t>0302042609</t>
  </si>
  <si>
    <t>Công Ty TNHH Xử Lý Chất Thải Công Nghiệp Và Tư Vấn Môi Trường Văn Lang</t>
  </si>
  <si>
    <t>KCN Nhơn Trạch 6, Xã Long Thọ, Huyện Nhơn Trạch, Đồng Nai</t>
  </si>
  <si>
    <t>0302177966-009</t>
  </si>
  <si>
    <t>CHI NHÁNH TỔNG CÔNG TY IDICO - CTCP TẠI MIỀN ĐÔNG</t>
  </si>
  <si>
    <t>Tầng 3, Tòa nhà IDICO-URBIZ, KCN Nhơn Trạch 1, Thị trấn Hiệp Phước, Huyện Nhơn Trạch, Đồng Nai</t>
  </si>
  <si>
    <t xml:space="preserve">0302199864                    </t>
  </si>
  <si>
    <t>CÔNG TY CỔ PHẦN ĐẦU TƯ- KINH DOANH NHÀ</t>
  </si>
  <si>
    <t>Ấp Xóm Hố, Xã Phú Hội, Huyện Nhơn Trạch, Đồng Nai</t>
  </si>
  <si>
    <t xml:space="preserve">0302204176                    </t>
  </si>
  <si>
    <t>CÔNG TY TNHH CẨM THẠCH SÀI GÒN</t>
  </si>
  <si>
    <t>Lô số 3, đường 5C, Khu công nghiệp Nhơn Trạch 2</t>
  </si>
  <si>
    <t>0302312439-002</t>
  </si>
  <si>
    <t>Chi Nhánh Công ty TNHH Gia Hồi</t>
  </si>
  <si>
    <t>20/41, Đường Hồ Đắc Di, Phường Tây Thạnh, Quận Tân Phú, TP Hồ Chí Minh</t>
  </si>
  <si>
    <t>0302567652-164</t>
  </si>
  <si>
    <t>Công Ty TNHH Một Thành Viên Blue Exchange</t>
  </si>
  <si>
    <t>TTTM Vincom, Khu Phước Hải, Thị Trấn Long Thành, Huyện Long Thành, Đồng Nai</t>
  </si>
  <si>
    <t>0302597576-005</t>
  </si>
  <si>
    <t>CN Công Ty CP Dược Liệu TW2 Tại Đồng Nai</t>
  </si>
  <si>
    <t>Tổ 1 Ấp Phước Hòa, Xã Long Phước, Huyện Long Thành</t>
  </si>
  <si>
    <t>0302636521-002</t>
  </si>
  <si>
    <t>Công Ty TNHH Cơ Khí Công Nghiệp Sài Gòn</t>
  </si>
  <si>
    <t>12a Đường Số 9, Khu Công Nghiệp Tân Tạo, Phường Tân Tạo A, Quận Bình Tân, TP Hồ Chí Minh</t>
  </si>
  <si>
    <t>0302859750-011</t>
  </si>
  <si>
    <t>CÔNG TY TNHH SẢN XUẤT VÀ THƯƠNG MẠI TỔNG HỢP VIỆT MY - CHI NHÁNH ĐỒNG NAI</t>
  </si>
  <si>
    <t>Lô A7 Cụm Tiểu thủ Công nghiệp, Ấp Chính Nghĩa, Xã Vĩnh Thanh, Huyện Nhơn Trạch, Đồng Nai</t>
  </si>
  <si>
    <t>Xã Vĩnh Thanh</t>
  </si>
  <si>
    <t>0303107922</t>
  </si>
  <si>
    <t>Công Ty Cổ Phần Phù Đổng Asia</t>
  </si>
  <si>
    <t>348/10 Ung Văn Khiêm, Phường 25, Quận Bình Thạnh, TP Hồ Chí Minh</t>
  </si>
  <si>
    <t>0303237047-001</t>
  </si>
  <si>
    <t>Khu Công Nghiệp Nhơn Trạch II Lộc Khang</t>
  </si>
  <si>
    <t>KCN Nhơn Trạch 2, Thị trấn Hiệp Phước, Huyện Nhơn Trạch, Đồng Nai</t>
  </si>
  <si>
    <t xml:space="preserve">3601043282                    </t>
  </si>
  <si>
    <t>CÔNG TY TNHH MỘT THÀNH VIÊN SX - TM &amp; DV NHỰT TRƯỜNG ĐẠT</t>
  </si>
  <si>
    <t>Tổ 3, Ấp 1</t>
  </si>
  <si>
    <t>3601047424</t>
  </si>
  <si>
    <t>Doanh Nghiệp Tư Nhân Trần Kha</t>
  </si>
  <si>
    <t>Số 13/2, tổ 4, khu Cầu Xéo, Quốc lộ 51A</t>
  </si>
  <si>
    <t>3601047544</t>
  </si>
  <si>
    <t xml:space="preserve">Cty TNHH MTV Cẩm NHung                                                                             </t>
  </si>
  <si>
    <t xml:space="preserve">31 Khu 1 - Phú Hữu - Nhơn Trạch - Đồng Nai                                                      </t>
  </si>
  <si>
    <t xml:space="preserve">3601065938                    </t>
  </si>
  <si>
    <t>CÔNG TY TNHH PONAFLEX VIỆT NAM</t>
  </si>
  <si>
    <t>Đường số 5, Khu Công nghiệp Long Thành</t>
  </si>
  <si>
    <t>3601333168</t>
  </si>
  <si>
    <t>Trường Mẫu Giáo Tư Thục Bông Sen</t>
  </si>
  <si>
    <t>Tổ 16, ấp Trầu</t>
  </si>
  <si>
    <t>3601398454</t>
  </si>
  <si>
    <t>Trường Tiểu Học Tân Thành</t>
  </si>
  <si>
    <t>Ấp 7, Xã Bàu Cạn, Huyện Long Thành</t>
  </si>
  <si>
    <t xml:space="preserve">1101393990                    </t>
  </si>
  <si>
    <t>CÔNG TY TNHH MỘT THÀNH VIÊN KANKYO JAPAN VIỆT NAM</t>
  </si>
  <si>
    <t>Lô A204-205-206-207 KCN Dệt May Nhơn Trạch</t>
  </si>
  <si>
    <t xml:space="preserve">0317065581                    </t>
  </si>
  <si>
    <t>CÔNG TY TNHH NGHIÊM PHẠM STEEL</t>
  </si>
  <si>
    <t>KCN Phú Thạnh, Ấp Bàu Sen, Xã Phú Thạnh, Huyện Nhơn Trạch, Đồng Nai</t>
  </si>
  <si>
    <t xml:space="preserve">Tuyeán Vónh Thanh 5                               </t>
  </si>
  <si>
    <t>0303827864</t>
  </si>
  <si>
    <t>Công Ty TNHH Kỹ Thuật Thành Khôi</t>
  </si>
  <si>
    <t>Ấp 5, Xã Tam An, Huyện Long Thành, Đồng Nai</t>
  </si>
  <si>
    <t xml:space="preserve">0304172138                    </t>
  </si>
  <si>
    <t>CÔNG TY TNHH THẾ GIỚI KỸ THUẬT</t>
  </si>
  <si>
    <t>Hẻm 21. Tổ 19, Khu Kim Sơn, Thị trấn Long Thành, Huyện Long Thành, Đồng Nai</t>
  </si>
  <si>
    <t>0304529010</t>
  </si>
  <si>
    <t>Công ty TNHH SX Cơ khí và Dịch vụ Đại Phúc</t>
  </si>
  <si>
    <t>A7/40 ấp 1, xã Vĩnh Lộc B, huyện Bình Chánh, TPHCM</t>
  </si>
  <si>
    <t>0305008349-002</t>
  </si>
  <si>
    <t>Chi Nhánh Công Ty TNHH Chuyển Dọn Vina Tại Đồng Nai</t>
  </si>
  <si>
    <t>99/2 Tổ 12 Ấp 5 Hẻm 99 Đường Khu 2, Xã Long Phước, Huyện Long Thành</t>
  </si>
  <si>
    <t xml:space="preserve">0305097236-028                </t>
  </si>
  <si>
    <t xml:space="preserve">Công Ty Cổ Phần Kinh Doanh Khí Miền Nam- Chi Nhánh Bình Khí                                                                                                                                        </t>
  </si>
  <si>
    <t xml:space="preserve">Đường D3, Khu Công Nghiệp Vinatex Tân Tạo, Thị Trấn Hiệp Phước, Huyện Nhơn Trạch, Tỉnh Đồ                                                                                                    </t>
  </si>
  <si>
    <t>0305289273</t>
  </si>
  <si>
    <t>CÔNG TY CỔ PHẦN CƠ ĐIỆN ĐOÀN NHẤT</t>
  </si>
  <si>
    <t>Qua Quán Cánh Đồng, Đối Diện 149, Phạm Văn Đồng, Khu Cầu Xéo, Thị Trấn Long Thành, Huyện Long Thành, Đồng Nai</t>
  </si>
  <si>
    <t>0305618055-001</t>
  </si>
  <si>
    <t>Chi Nhánh Công Ty TNHH DV Bảo Vệ Hoa Sen</t>
  </si>
  <si>
    <t>Tổ 4, Ấp 02, Xã Phước Bình, Huyện Long Thành, Đồng Nai</t>
  </si>
  <si>
    <t>0307859271</t>
  </si>
  <si>
    <t>CÔNG TY TNHH XÂY DỰNG TUẤN LÊ</t>
  </si>
  <si>
    <t>159 Tổ 6, Ấp 06, Xã Phước Bình, Huyện Long Thành, Đồng Nai</t>
  </si>
  <si>
    <t>Phường Long Bình Tân</t>
  </si>
  <si>
    <t>0308513389-001</t>
  </si>
  <si>
    <t>Công Ty TNHH Một Thành Viên Thiết Kế Xây Dựng Thương Mai Và Dịch Vụ Rồng Xanh</t>
  </si>
  <si>
    <t>Ấp 5, Xã An Phước, Huyện Long Thành, Tỉnh Đồng Nai, Việt Nam</t>
  </si>
  <si>
    <t>0308625702</t>
  </si>
  <si>
    <t>Nguyễn Thị Mai</t>
  </si>
  <si>
    <t>Ấp 1, Xã Long An, Huyện Long Thành, Đồng Nai</t>
  </si>
  <si>
    <t xml:space="preserve">0309485504                    </t>
  </si>
  <si>
    <t>Công Ty Cổ Phần Xuất Nhập Khẩu Thực Phẩm Sài Gòn</t>
  </si>
  <si>
    <t>Công Trình Nhà Máy Sản Xuất Thủy Sản Miền Đông, Lô L, Đường N3, KCN Lộc An, Xã Bình Sơn, Huyện Long Thành, Đồng Nai</t>
  </si>
  <si>
    <t>0310387607</t>
  </si>
  <si>
    <t>HUỲNH TẤN HIỀN</t>
  </si>
  <si>
    <t xml:space="preserve">2900324850                    </t>
  </si>
  <si>
    <t>CÔNG TY CỔ PHẦN TẬP ĐOÀN CIENCO4</t>
  </si>
  <si>
    <t>Sân Bay, Ấp 1, Xã Bình Sơn, Huyện Long Thành, Đồng Nai</t>
  </si>
  <si>
    <t>2901555843-002</t>
  </si>
  <si>
    <t>CHI NHÁNH CÔNG TY TNHH HẢI HÀ AN BÌNH TẠI ĐỒNG NAI</t>
  </si>
  <si>
    <t>số 65, Ấp Cát Lái, Xã Phú Hữu, Huyện Nhơn Trạch, Đồng Nai</t>
  </si>
  <si>
    <t xml:space="preserve">Tuyeán Vónh Thanh 2                               </t>
  </si>
  <si>
    <t>2901807716-039</t>
  </si>
  <si>
    <t>CHI NHÁNH LONG THÀNH 1 - TNHH SRISA WAD VIỆT NAM</t>
  </si>
  <si>
    <t>Số 547 Lê Duẩn, Tổ 32, Khu Cầu Xéo, Thị Trấn Long Thành, Huyện Long Thành, Đồng Nai</t>
  </si>
  <si>
    <t xml:space="preserve">3000333861                    </t>
  </si>
  <si>
    <t>Công Ty Cổ Phần Thương Mại Và Xây Dựng Hoàng Long</t>
  </si>
  <si>
    <t>Ấp Xóm Trầu, Xã Long An, Huyện Long Thành, Đồng Nai</t>
  </si>
  <si>
    <t>3401069822</t>
  </si>
  <si>
    <t xml:space="preserve">CÔNG TY TNHH CHĂN NUÔI HEO PHú HùNG MạNH - HàM TÂN                                                                                                                                              </t>
  </si>
  <si>
    <t xml:space="preserve">ấp An Lâm - Long An - Long Thành - Đồng Nai                                                                                                                                                         </t>
  </si>
  <si>
    <t>3401142166</t>
  </si>
  <si>
    <t>Công ty Tnhh đầu tư xây dựng Bảo Vy</t>
  </si>
  <si>
    <t>khu 92ha, Khu 14, Xã Long Đức, Huyện Long Thành, Đồng Nai</t>
  </si>
  <si>
    <t>3500102710-024</t>
  </si>
  <si>
    <t>CN TCT khí Việt Nam - Công ty CP - Công ty chế biến khí Vũng Tàu</t>
  </si>
  <si>
    <t>101 Lê Lợi, P. Thắng Nhì, TP. Vũng Tàu, Tỉnh BRVT</t>
  </si>
  <si>
    <t xml:space="preserve">3500435614                    </t>
  </si>
  <si>
    <t>NGUYỄN VĂN CƯỜNG</t>
  </si>
  <si>
    <t>B16, Tổ 2, Khu Phước Hải, Thị Trấn Long Thành, Huyện Long Thành, Đồng Nai</t>
  </si>
  <si>
    <t xml:space="preserve">3500436921-002                </t>
  </si>
  <si>
    <t>CN Cty CP Du Lịch &amp; Đầu Tư Nam Hải</t>
  </si>
  <si>
    <t>Tổ 1, Khu Phước Hải, TT Long Thành, Huyện Long Thành</t>
  </si>
  <si>
    <t>3500886102</t>
  </si>
  <si>
    <t>Công Ty TNHH Đại Tiến E&amp;s</t>
  </si>
  <si>
    <t>Tổ 15, Khu Phố Mỹ Thạnh, Phường Mỹ Xuân, Thị trấn Phú Mỹ, Huyện Tân Thành, Bà Rịa - Vũng Tàu</t>
  </si>
  <si>
    <t>3501242559-004</t>
  </si>
  <si>
    <t>Công Ty TNHH Thương Mại Phan Ngọc - Chi Nhánh Thịnh Phát</t>
  </si>
  <si>
    <t>Số 06a, Tổ 1, Khu 13, Xã Long Đức, Huyện Long Thành, Đồng Nai</t>
  </si>
  <si>
    <t xml:space="preserve">0310722164                    </t>
  </si>
  <si>
    <t>Công Ty TNHH ITAS</t>
  </si>
  <si>
    <t>Hẻm 108, Tổ 9, Ấp Hàng Gòn, Xã Lộc An, Huyện Long Thành, Đồng Nai</t>
  </si>
  <si>
    <t>0310734321</t>
  </si>
  <si>
    <t>Công Ty Cổ Phần A Z B</t>
  </si>
  <si>
    <t>Khu AMaTa, Khu Kim Sơn, Thị trấn Long Thành, Huyện Long Thành, Đồng Nai</t>
  </si>
  <si>
    <t>0310845889</t>
  </si>
  <si>
    <t>CÔNG TY CỔ PHẦN D&amp;D ENGINEERING CONSTRUCTION</t>
  </si>
  <si>
    <t>L57/D42, Khu tái định cư Lộc An - Bình Sơn, Xã Lộc An, Huyện Long Thành, Đồng Nai</t>
  </si>
  <si>
    <t>0311282170</t>
  </si>
  <si>
    <t>Công Ty TNHH Diệp Phi Long</t>
  </si>
  <si>
    <t>Số 03, đường Kim Đồng, ấp Vĩnh Tuy</t>
  </si>
  <si>
    <t xml:space="preserve">0311686046                    </t>
  </si>
  <si>
    <t>CÔNG TY TNHH CƠ KHÍ XÂY DỰNG VÀ THƯƠNG MẠI MINH QUÂN</t>
  </si>
  <si>
    <t>Ấp 3, Xã Phú Thạnh, Huyện Nhơn Trạch, Đồng Nai</t>
  </si>
  <si>
    <t>0312071662</t>
  </si>
  <si>
    <t xml:space="preserve">Công Ty TNHH ZEDER Việt Nam                                                                                                                                                                           </t>
  </si>
  <si>
    <t xml:space="preserve">Đường số 10, Khu Công Nghiệp Long Thành, Xã Tam An, Huyện Long Thành, Tỉnh Đồng Nai, Việt                                                                                                     </t>
  </si>
  <si>
    <t>0800342877-001</t>
  </si>
  <si>
    <t>CÔNG TY CỔ PHẦN TRUNG TÂM GIA CÔNG POSCO VIỆT NAM - CHI NHÁNH ĐỒNG NAI - VHPC</t>
  </si>
  <si>
    <t>KCN Nhơn Trạch 5, Xã Long Thọ, Huyện Nhơn Trạch, Đồng Nai</t>
  </si>
  <si>
    <t>1100665916</t>
  </si>
  <si>
    <t xml:space="preserve">Công Ty Cổ Phần DIC Xây Dựng Cửu Long                                                         </t>
  </si>
  <si>
    <t xml:space="preserve">A02 Đường Nguyễn Hữu Cảnh - Trung Tâm Nhơn Trạch - Phú Hội - Nhơn Trạch - Đồng Nai        </t>
  </si>
  <si>
    <t>1201482820</t>
  </si>
  <si>
    <t>CÔNG TY CỔ PHẦN ĐẦU TƯ XÂY DỰNG AN PHƯỚC THỊNH</t>
  </si>
  <si>
    <t>khu 92 HA, Khu 14, Xã Long Đức, Huyện Long Thành, Đồng Nai</t>
  </si>
  <si>
    <t xml:space="preserve">1300567433                    </t>
  </si>
  <si>
    <t>CÔNG TY TNHH TƯ VẤN XÂY DỰNG HƯNG VIỆT</t>
  </si>
  <si>
    <t>2300873626-002</t>
  </si>
  <si>
    <t xml:space="preserve">CHI NHáNH CÔNG TY TNHH WELSTORY VIệT NAM                                                                                                                                                             </t>
  </si>
  <si>
    <t xml:space="preserve">Số 7 Lô C2, đường 659, khu nhà ở Phước Long B , Phường Phước Long B ,Thành Phố Thủ Đức ,                                                                                                    </t>
  </si>
  <si>
    <t>2400499404</t>
  </si>
  <si>
    <t>CHI NHÁNH CÔNG TY TNHH JUNGBU ESCHEM VIỆT NAM TẠI ĐỒNG NAI</t>
  </si>
  <si>
    <t>Đường số 1-7,, KCN Long Thành, Xã Tam An, Huyện Long Thành, Đồng Nai</t>
  </si>
  <si>
    <t>3055793402</t>
  </si>
  <si>
    <t>Công Ty TNHH MTV Viễn Thông Quốc Tế FPT</t>
  </si>
  <si>
    <t>Công Ty TNHH Ansell VINA, Đường Số 7, KCN Long Thành, Xã Tam An, Huyện Long Thành, Đồng Nai</t>
  </si>
  <si>
    <t xml:space="preserve">3500101107                    </t>
  </si>
  <si>
    <t>Tổng Công Ty Cổ Phần Đầu Tư Phát Triển Xây Dựng</t>
  </si>
  <si>
    <t>BQL Dự Án DIC Đồng Nai, Cầu Đại Phước, Ấp Bình Phú, Xã Long Tân, Huyện Nhơn Trạch, Đồng Nai</t>
  </si>
  <si>
    <t>3500102573</t>
  </si>
  <si>
    <t>Công Ty TNHH Một Thành Viên Xăng Dầu Bà Rịa - Vũng Tàu</t>
  </si>
  <si>
    <t>12, Đường Hoàng Hoa Thám, Phường 2, Thành phố Vũng Tầu, Bà Rịa - Vũng Tàu</t>
  </si>
  <si>
    <t>3500102710-005</t>
  </si>
  <si>
    <t>Công Ty Kinh Doanh Sản Phẩm Khí</t>
  </si>
  <si>
    <t>Cảng Gò Dầu A, Xã Phước Thái, Huyện Long Thành</t>
  </si>
  <si>
    <t>3500408522-003</t>
  </si>
  <si>
    <t>Chi Nhánh Công Ty Trách Nhiệm Hữu Hạn Tâm Liên - Trạm Xăng Dầu Thuận Hưng</t>
  </si>
  <si>
    <t>Số 03, Quốc Lộ 51, Ấp 01, Xã Phước Bình, Huyện Long Thành, Đồng Nai</t>
  </si>
  <si>
    <t>3500658610-006</t>
  </si>
  <si>
    <t>CHI NHÁNH CÔNG TY CỔ PHẦN THƯƠNG MẠI VÀ VẬN TẢI LIÊN KẾT</t>
  </si>
  <si>
    <t>Km 14 QL51, Xã An Phước, Huyện Long Thành</t>
  </si>
  <si>
    <t>3500755050</t>
  </si>
  <si>
    <t>Công Ty CP Thương Mại Và Dịch Vụ Dầu Khí Vũng Tàu</t>
  </si>
  <si>
    <t>52, Đường Lý Thường Kiệt, Phường 1, Thành phố Vũng Tầu, Bà Rịa - Vũng Tàu</t>
  </si>
  <si>
    <t>3501114839</t>
  </si>
  <si>
    <t>HỘ KINH DOANH PHẠM THỊ THU HÀ</t>
  </si>
  <si>
    <t>Tổ 2, Ấp Xóm Gò Bà Ký, Xã Long Phước, Huyện Long Thành, Đồng Nai</t>
  </si>
  <si>
    <t>3501381762</t>
  </si>
  <si>
    <t>Công Ty TNHH Sản Xuất - Thương Mại Và Xây Dựng Việt Hàn</t>
  </si>
  <si>
    <t>3501459505</t>
  </si>
  <si>
    <t>CÔNG TY CỔ PHẦN SẢN XUẤT VÀ ĐẦU TƯ HOÀNG GIA</t>
  </si>
  <si>
    <t>Đường số 8, Khu công nghiệp Nhơn Trạch II - Nhơn Phú</t>
  </si>
  <si>
    <t xml:space="preserve">0312134256                    </t>
  </si>
  <si>
    <t>Công Ty TNHH Thương Mại CHINH CHU RANG F.S</t>
  </si>
  <si>
    <t>Đường Số 8, KCN Long Thành, Xã Tam An, Huyện Long Thành, Đồng Nai</t>
  </si>
  <si>
    <t xml:space="preserve">0312418716                    </t>
  </si>
  <si>
    <t>Công Ty TNHH MOVI</t>
  </si>
  <si>
    <t>Chợ Mới Long Thành, Khu Cầu Xéo, Thị trấn Long Thành, Huyện Long Thành, Đồng Nai</t>
  </si>
  <si>
    <t>0312863185</t>
  </si>
  <si>
    <t xml:space="preserve">CÔNG TY TNHH HOME &amp; GARDEN DECOR                                                                   </t>
  </si>
  <si>
    <t xml:space="preserve">Tổ 12 khu 14 - Long Đức - Long Thành - Đồng Nai                                                 </t>
  </si>
  <si>
    <t>0312975072-001</t>
  </si>
  <si>
    <t xml:space="preserve">Công Ty Trách Nhiệm Hữu Hạn OneCad Việt Nam                                                                                                                                                       </t>
  </si>
  <si>
    <t xml:space="preserve">Số 152/1 - Hẽm 152 - ấp Bình Lâm - Lộc An - Long Thành - Đồng Nai                                                                                                                                </t>
  </si>
  <si>
    <t>0313062981</t>
  </si>
  <si>
    <t>CÔNG TY CÔ PHẨN KỸ THUẬT XÂY DỰNG THƯƠNG &amp; MẠI HỮU HƯNG</t>
  </si>
  <si>
    <t>Đường số 8, KCN Long Thành, Xã Tam An, Huyện Long Thành, Đồng Nai</t>
  </si>
  <si>
    <t>0313365915</t>
  </si>
  <si>
    <t>CÔNG TY CỔ PHẦN TẬP ĐOÀN ĐÈO CẢ</t>
  </si>
  <si>
    <t>32, Đường Thạch Thị Thanh, Phường Tân Định, Quận 1, TP Hồ Chí Minh</t>
  </si>
  <si>
    <t>0313376885</t>
  </si>
  <si>
    <t>Công Ty TNHH Máy Thiết Bị Và Xây Dựng Hóa Chất</t>
  </si>
  <si>
    <t>Số 5 Đường 22, Cư Xá Lữ Gia, Phường 15, Quận 11, TP Hồ Chí Minh,Việt Nam</t>
  </si>
  <si>
    <t>0313581754</t>
  </si>
  <si>
    <t>Công Ty TNHH OOYAMA Việt Nam</t>
  </si>
  <si>
    <t>WMC Tower, Số 102ABC, Đường Cống Quỳnh, Phường Phạm Ngũ Lão, Quận 1, Thành Phố Hồ Chí Minh, Việt Nam</t>
  </si>
  <si>
    <t>0313619126</t>
  </si>
  <si>
    <t>CÔNG TY TNHH MỘT THÀNH VIÊN DAEJIN</t>
  </si>
  <si>
    <t>Khu phố Phước Kiểng</t>
  </si>
  <si>
    <t>0313891900</t>
  </si>
  <si>
    <t>Trần Hoàng Hải</t>
  </si>
  <si>
    <t>Tổ 1, Ấp 05, Xã Phước Bình, Huyện Long Thành, Đồng Nai</t>
  </si>
  <si>
    <t xml:space="preserve">0314116929                    </t>
  </si>
  <si>
    <t>CÔNG TY TRÁCH NHIỆM HỮU HẠN DOUBLE DRAGON</t>
  </si>
  <si>
    <t>Lô L5, đường N3, KCN Lộc An - Bình Sơn</t>
  </si>
  <si>
    <t>0314373570</t>
  </si>
  <si>
    <t>Công Ty Trạch Nhiệm Hữu Hạn Thương Mại Kim &amp; KT</t>
  </si>
  <si>
    <t>nhà xưởng việt tiến đông á, đường N4, KCN Vinatex Tân Tạo, Thị trấn Hiệp Phước, Huyện Nhơn Trạch, Đồng Nai</t>
  </si>
  <si>
    <t xml:space="preserve">0314743888                    </t>
  </si>
  <si>
    <t>CÔNG TY TNHH THAN GÒ DẦU</t>
  </si>
  <si>
    <t>237/41, Khu phố 1, Phường Tam Hiệp, Thành phố Biên Hòa, Đồng Nai</t>
  </si>
  <si>
    <t>3600223003</t>
  </si>
  <si>
    <t>CÔNG TY TNHH GIỐNG CÂY TRỒNG NÔNG HỮU</t>
  </si>
  <si>
    <t>Ấp Xóm Gốc</t>
  </si>
  <si>
    <t xml:space="preserve">3600248801                    </t>
  </si>
  <si>
    <t>CÔNG TY DỆT CHOONGNAM VIỆT NAM TRÁCH NHIỆM HỮU HẠN.</t>
  </si>
  <si>
    <t>Đường Trần Phú, KCN Nhơn Trạch 2</t>
  </si>
  <si>
    <t xml:space="preserve">3600249019                    </t>
  </si>
  <si>
    <t>CÔNG TY HUALON CORPORATION VIỆT NAM</t>
  </si>
  <si>
    <t>3600253256</t>
  </si>
  <si>
    <t xml:space="preserve">Trường THPT Nguyễn Đình Chiểu                                                                    </t>
  </si>
  <si>
    <t xml:space="preserve">(Phan Hồng Ngọc) - TT Long Thành - Long Thành - Đồng Nai                                       </t>
  </si>
  <si>
    <t xml:space="preserve">3600254227                    </t>
  </si>
  <si>
    <t>CÔNG TY SIKA HỮU HẠN VIỆT NAM</t>
  </si>
  <si>
    <t>Đường số 10, khu Công nghiệp Nhơn Trạch 1</t>
  </si>
  <si>
    <t xml:space="preserve">3600254869                    </t>
  </si>
  <si>
    <t>CÔNG TY TNHH MỸ PHẨM LG VINA</t>
  </si>
  <si>
    <t>KCN Nhơn Trạch 2</t>
  </si>
  <si>
    <t xml:space="preserve">3600255100                    </t>
  </si>
  <si>
    <t>CÔNG TY TRÁCH NHIỆM HỮU HẠN YKK VIỆT NAM</t>
  </si>
  <si>
    <t>Lô 10, đường N2, KCN Nhơn Trạch III- Giai Đoạn 2</t>
  </si>
  <si>
    <t>3600258817</t>
  </si>
  <si>
    <t>CÔNG TY TRÁCH NHIỆM HỮU HẠN TOTAL VIỆT NAM</t>
  </si>
  <si>
    <t>Lô số 3, Khu Công nghiệp Gò Dầu</t>
  </si>
  <si>
    <t xml:space="preserve">3600239719                    </t>
  </si>
  <si>
    <t>CÔNG TY CỔ PHẦN HỮU HẠN VEDAN VIỆT NAM</t>
  </si>
  <si>
    <t>Quốc lộ 51, Ấp 1A</t>
  </si>
  <si>
    <t xml:space="preserve">3600248128                    </t>
  </si>
  <si>
    <t>CÔNG TY TNHH HÓA CHẤT LG VINA</t>
  </si>
  <si>
    <t>Khu công nghiệp Gò Dầu</t>
  </si>
  <si>
    <t>3600248368</t>
  </si>
  <si>
    <t>CÔNG TY TNHH NHỰA VÀ HÓA CHẤT TPC VINA</t>
  </si>
  <si>
    <t>KCN Gò Dầu</t>
  </si>
  <si>
    <t>3600250335</t>
  </si>
  <si>
    <t>CÔNG TY CỔ PHẦN SY VINA</t>
  </si>
  <si>
    <t>KCN Nhơn Trạch II</t>
  </si>
  <si>
    <t>0315201172-002</t>
  </si>
  <si>
    <t>CHI NHÁNH CÔNG TY TNHH AVENUE VIET NAM - WHITE LOTUS</t>
  </si>
  <si>
    <t>Ấp Cù Lao , khu đô thị swanbay, Ấp Phước Lý, Xã Đại Phước, Huyện Nhơn Trạch, Đồng Nai</t>
  </si>
  <si>
    <t>0315396676</t>
  </si>
  <si>
    <t>CÔNG TY TNHH DAON TRADING AND LOGISTICS</t>
  </si>
  <si>
    <t>P403,lầu 3, KCN Nhơn Trạch 3, Thị trấn Hiệp Phước, Huyện Nhơn Trạch, Đồng Nai</t>
  </si>
  <si>
    <t xml:space="preserve">0315751384                    </t>
  </si>
  <si>
    <t>CÔNG TY TNHH VIỆT DRIP</t>
  </si>
  <si>
    <t>Lô số 07, đường 5C, Khu công nghiệp Nhơn Trạch 2</t>
  </si>
  <si>
    <t xml:space="preserve">0316029090                    </t>
  </si>
  <si>
    <t>CÔNG TY TNHH ĐÀO TẠO CHUYỀN  GIAO LAO ĐỘNG&amp; CHUYÊN GIA SULECO</t>
  </si>
  <si>
    <t>Trong trường lilama, Ấp Phước Hòa, Xã Long Phước, Huyện Long Thành, Đồng Nai</t>
  </si>
  <si>
    <t>0316063493</t>
  </si>
  <si>
    <t>Công Ty Cổ Phần Thương Mại Dịch Vụ Bất Động Sản MINLAND</t>
  </si>
  <si>
    <t>Tổ 3, Ấp 3, Xã Phước Thái, Huyện Long Thành, Đồng Nai</t>
  </si>
  <si>
    <t>0316238785</t>
  </si>
  <si>
    <t>CÔNG TY TNHH XUẤT NHẬP KHẨU THU GOM PHẾ LIỆU VÀ KINH DOANH KIM LOẠI TÍN NGHĨA</t>
  </si>
  <si>
    <t>Đường số 6, KCN Nhơn Trạch 1, Xã Phú Hội, Huyện Nhơn Trạch, Đồng Nai</t>
  </si>
  <si>
    <t xml:space="preserve">0316438216                    </t>
  </si>
  <si>
    <t>Công ty TNHH MTV Sản Xuất Cao Su Long Thành</t>
  </si>
  <si>
    <t>84/24c, Ấp 3, Xã Long An, Huyện Long Thành, Đồng Nai</t>
  </si>
  <si>
    <t>0317539841</t>
  </si>
  <si>
    <t>CÔNG TY TNHH KIÊN TRUNG DŨNG</t>
  </si>
  <si>
    <t>D20/533 Nguyễn Văn Linh, Ấp 4, Xã Phong Phú, Huyện Bình Chánh, TP Hồ Chí Minh</t>
  </si>
  <si>
    <t>3600346894</t>
  </si>
  <si>
    <t>3600354510</t>
  </si>
  <si>
    <t>TT Dịch Vụ Việc Làm khu vực LT</t>
  </si>
  <si>
    <t>Khu Phước Hải, TT Long Thành, huyện Long Thành</t>
  </si>
  <si>
    <t>3600354736</t>
  </si>
  <si>
    <t>UBND Xã Long Đức</t>
  </si>
  <si>
    <t>Khu 13, Xã Long Đức, Huyện Long Thành</t>
  </si>
  <si>
    <t>3600355401</t>
  </si>
  <si>
    <t xml:space="preserve">Uỷ Ban Nhân Dân Xã Long An                                                                                                                                                                          </t>
  </si>
  <si>
    <t xml:space="preserve">(Lê Thị Thanh Hồng) tổ 10 khu kim sơn - TT Long Thành - Long Thành - Đồng Nai                                                                                                                     </t>
  </si>
  <si>
    <t>3600254001</t>
  </si>
  <si>
    <t>CÔNG TY CỔ PHẦN  CÔNG NGHIỆP GỐM SỨ TAICERA</t>
  </si>
  <si>
    <t xml:space="preserve">3600257771                    </t>
  </si>
  <si>
    <t>CÔNG TY TNHH MỘT THÀNH VIÊN PHÁT TRIỂN ĐÔ THỊ VÀ KHU CÔNG NGHIỆP IDICO</t>
  </si>
  <si>
    <t>Đường Tôn Đức Thắng, Khu Công nghiệp Nhơn Trạch 1</t>
  </si>
  <si>
    <t>3600355440</t>
  </si>
  <si>
    <t>UBND Xã Phước Thái</t>
  </si>
  <si>
    <t>UBND Xã Phước Thái, Xã Phước Thái, Huyện Long Thành</t>
  </si>
  <si>
    <t>3600355560</t>
  </si>
  <si>
    <t>Ủy Ban Nhân Dân Xã Bàu Cạn</t>
  </si>
  <si>
    <t>Ấp 6, Xã Bàu Cạn, Huyện Long Thành, Đồng Nai</t>
  </si>
  <si>
    <t>3600359413</t>
  </si>
  <si>
    <t>CÔNG TY TNHH NAM LONG</t>
  </si>
  <si>
    <t>Số 19B, tổ 3, ấp 3</t>
  </si>
  <si>
    <t>3600267963</t>
  </si>
  <si>
    <t>Doanh Nghiệp Tư Nhân Kim Văn</t>
  </si>
  <si>
    <t>Tổ 6, QL 51, ấp Tập Phước (tên ấp cũ: ấp Phước Hòa)</t>
  </si>
  <si>
    <t>3600271896</t>
  </si>
  <si>
    <t xml:space="preserve">Doanh Nghiệp Tư Nhân Trường Thành                                                                                                                                                                   </t>
  </si>
  <si>
    <t xml:space="preserve">Khu Phước Thuận - TT Long Thành - Long Thành -Đồng Nai                                                                                                                                             </t>
  </si>
  <si>
    <t xml:space="preserve">3600272184                    </t>
  </si>
  <si>
    <t>CÔNG TY TNHH  XĂNG DẦU SỐ 3</t>
  </si>
  <si>
    <t>511, tổ 32, đường Lê Duẩn, Khu Cầu Xéo</t>
  </si>
  <si>
    <t>3600272240</t>
  </si>
  <si>
    <t>Doanh Nghiệp Tư Nhân Trần Ai</t>
  </si>
  <si>
    <t>1/4, K1, Khu Cầu Xéo</t>
  </si>
  <si>
    <t>3600272427</t>
  </si>
  <si>
    <t>Ban Quản Lý Rừng Phòng Hộ Long Thành</t>
  </si>
  <si>
    <t>3600363307-009</t>
  </si>
  <si>
    <t>Chi Cục Thuế Khu Vực Long Thành - Nhơn Trạch</t>
  </si>
  <si>
    <t>Khu Phước Hải, Thị trấn Long Thành, Huyện Long Thành, Đồng Nai</t>
  </si>
  <si>
    <t xml:space="preserve">3600363674                    </t>
  </si>
  <si>
    <t>Công Ty TNHH Một Thành Viên Vận Tải Vạn Phát 2</t>
  </si>
  <si>
    <t>Ấp 1B</t>
  </si>
  <si>
    <t xml:space="preserve">3600365047                    </t>
  </si>
  <si>
    <t>CÔNG TY TRÁCH NHIỆM HỮU HẠN HIROTA PRECISION VIỆT NAM</t>
  </si>
  <si>
    <t>Đường Số 10, Khu Công Nghiệp Nhơn Trạch I</t>
  </si>
  <si>
    <t>3600367301</t>
  </si>
  <si>
    <t>Căn Cứ 696</t>
  </si>
  <si>
    <t>Xã Phú Thạnh, Huyện Nhơn Trạch</t>
  </si>
  <si>
    <t xml:space="preserve">3600371731                    </t>
  </si>
  <si>
    <t>CÔNG TY TNHH DINH DƯỠNG THIẾT YẾU AN THỊNH PHÁT</t>
  </si>
  <si>
    <t>Khu 4, ấp 8</t>
  </si>
  <si>
    <t>3600432744-012</t>
  </si>
  <si>
    <t xml:space="preserve">Công Ty TNHH Một Thành Viên Điện Lực Đồng Nai                                                                                                                                                    </t>
  </si>
  <si>
    <t xml:space="preserve">01, KP1, Đường Nguyễn ái Quốc, Phường Tân Hiệp, Thành Phố Biên Hòa, Tỉnh Đồng Nai, Việt                                                                                                    </t>
  </si>
  <si>
    <t>3600434406</t>
  </si>
  <si>
    <t>UBND Xã Phú Thạnh</t>
  </si>
  <si>
    <t>Ấp 1, Xã Phú Thạnh, Huyện Nhơn Trạch</t>
  </si>
  <si>
    <t>3600354461</t>
  </si>
  <si>
    <t>Trung tâm Y Tế Long Thành</t>
  </si>
  <si>
    <t>3600354574</t>
  </si>
  <si>
    <t>VP VHXH Xã Lộc An</t>
  </si>
  <si>
    <t>Ấp Thanh Bình, Xã Lộc An, Huyện Long Thành</t>
  </si>
  <si>
    <t xml:space="preserve">3600359477                    </t>
  </si>
  <si>
    <t>CÔNG TY DÂY DẪN KIM LOẠI VIỆT NAM</t>
  </si>
  <si>
    <t>Tổ 5, Ấp Hiền Đức</t>
  </si>
  <si>
    <t>3600360916</t>
  </si>
  <si>
    <t>TRẠM CHĂN NUÔI VÀ THÚ Ý LONG THÀNH</t>
  </si>
  <si>
    <t>Quốc Lộ 51, Khu Văn Hải, Thị Trấn Long Thành, Huyện Long Thành, Đồng Nai</t>
  </si>
  <si>
    <t>3600361109</t>
  </si>
  <si>
    <t>CÔNG TY TNHH PHƯƠNG HOÀNG MINH</t>
  </si>
  <si>
    <t>Số 133, Ấp 5</t>
  </si>
  <si>
    <t>3600361726</t>
  </si>
  <si>
    <t>DNTN Trạm xăng dầu số 9</t>
  </si>
  <si>
    <t>99_ ấp Chợ</t>
  </si>
  <si>
    <t>3600363307-014</t>
  </si>
  <si>
    <t>3600370255</t>
  </si>
  <si>
    <t>Trung Tâm Dịch Vụ Nông Nghiệp Huyện Nhơn Trạch</t>
  </si>
  <si>
    <t>Ấp Xóm Hố, Xã Phú Hội, Huyện Nhơn Trạch</t>
  </si>
  <si>
    <t>Huyện Tân Phú</t>
  </si>
  <si>
    <t>Thị trấn Tân Phú</t>
  </si>
  <si>
    <t>3600401827</t>
  </si>
  <si>
    <t xml:space="preserve">Doanh Nghiệp Tư Nhân Quyên Quyên                                                                                                                                                                    </t>
  </si>
  <si>
    <t xml:space="preserve">Quốc lộ 51  - TT Long Thành - Long Thành - Đồng Nai                                                                                                                                                </t>
  </si>
  <si>
    <t>3600434371</t>
  </si>
  <si>
    <t>UBND huyện Nhơn Trạch</t>
  </si>
  <si>
    <t>xã Phước Thiền, huyện Nhơn Trạch</t>
  </si>
  <si>
    <t>3600434396</t>
  </si>
  <si>
    <t>Ủy Ban Nhân Dân Xã Long Tân</t>
  </si>
  <si>
    <t>Ấp Vĩnh Tuy, Xã Long Tân, Huyện Nhơn Trạch</t>
  </si>
  <si>
    <t>3600434413</t>
  </si>
  <si>
    <t>UBND xã Đại Phước</t>
  </si>
  <si>
    <t>Ấp Phước Lý, xã Đại Phước, huyện Nhơn Trạch</t>
  </si>
  <si>
    <t>3600434438</t>
  </si>
  <si>
    <t>Đảng Uỷ Xã Phú Đông</t>
  </si>
  <si>
    <t>Ấp Thị Cầu, Xã Phú Đông, Huyện Nhơn Trạch, Đồng Nai</t>
  </si>
  <si>
    <t>3600445359</t>
  </si>
  <si>
    <t>CÔNG TY CỔ PHẦN THƯƠNG MẠI LONG THÀNH</t>
  </si>
  <si>
    <t>Số 286, Đường Lê Duẩn, Khu Văn Hải</t>
  </si>
  <si>
    <t>3600449850</t>
  </si>
  <si>
    <t>DNTN Trạm xăng dầu Đại Phước</t>
  </si>
  <si>
    <t>D242 _ ấp Phước lý</t>
  </si>
  <si>
    <t>3600438993</t>
  </si>
  <si>
    <t>HTX Xếp Dỡ Hàng Hoá Thái Bình</t>
  </si>
  <si>
    <t>3600451835</t>
  </si>
  <si>
    <t xml:space="preserve">Công Ty TNHH Huy Thành                                                                                                                                                                                </t>
  </si>
  <si>
    <t xml:space="preserve">ấp 1 - An Phước - Long Thành - Đồng Nai                                                                                                                                                             </t>
  </si>
  <si>
    <t xml:space="preserve">3600455974                    </t>
  </si>
  <si>
    <t>DNTN  Dương Du</t>
  </si>
  <si>
    <t>ấp 5</t>
  </si>
  <si>
    <t>1800155910</t>
  </si>
  <si>
    <t>CÔNG TY CP ĐẦU TƯ XÂY DỰNG SỐ 10 IDICO</t>
  </si>
  <si>
    <t>Đường số 3, KCN Nhơn Trạch 1, Thị trấn Hiệp Phước, Huyện Nhơn Trạch, Đồng Nai</t>
  </si>
  <si>
    <t>2300373253-001</t>
  </si>
  <si>
    <t>CÔNG TY TNHH TAIXIN PRINTING VINA - CHI NHÁNH ĐỒNG NAI</t>
  </si>
  <si>
    <t>Nhà Xưởng Số 55, Đường 1-7 (Cụm Nhà Xưởng Cho Thuê Giai Đoạn 4), KCN Long Thành, Xã Tam An, Huyện Long Thành, Đồng Nai</t>
  </si>
  <si>
    <t>2300842603-001</t>
  </si>
  <si>
    <t>Chi Nhánh Công Ty Trách Nhiệm Hữu Hạn QDC Solution VINA Tại Tỉnh Đồng Nai</t>
  </si>
  <si>
    <t>Đường 6, KCN Nhơn Trạch III - giai đoạn 2, Thị trấn Hiệp Phước, Huyện Nhơn Trạch, Đồng Nai</t>
  </si>
  <si>
    <t xml:space="preserve">2600260941                    </t>
  </si>
  <si>
    <t>CÔNG TY CỔ PHẦN SACONS</t>
  </si>
  <si>
    <t xml:space="preserve">Tuyeán Phu´ Hoâ?i 2                               </t>
  </si>
  <si>
    <t xml:space="preserve">3600486108                    </t>
  </si>
  <si>
    <t>CÔNG TY CỔ PHẦN ĐẦU TƯ PHÁT TRIỂN NHÀ VÀ ĐÔ THỊ IDICO</t>
  </si>
  <si>
    <t>Đường số 4, Khu công nghiệp Nhơn Trạch 1</t>
  </si>
  <si>
    <t xml:space="preserve">3600462957                    </t>
  </si>
  <si>
    <t>CÔNG TY CỔ PHẦN GỐM SỨ TOÀN QUỐC</t>
  </si>
  <si>
    <t xml:space="preserve">3600477128                    </t>
  </si>
  <si>
    <t>CÔNG TY TNHH IL KWANG VINA</t>
  </si>
  <si>
    <t xml:space="preserve">2900325526-043                </t>
  </si>
  <si>
    <t>Ngân Hàng TMCP Bắc Á - Chi Nhánh Đồng Nai</t>
  </si>
  <si>
    <t>280, Khu Văn Hải, Đường Lê Duẩn, Thị Trấn Long Thành, Huyện Long Thành, Đồng Nai</t>
  </si>
  <si>
    <t xml:space="preserve">3501452838                    </t>
  </si>
  <si>
    <t>CÔNG TY TNHH THƯƠNG MẠI - DỊCH VỤ CƠ KHÍ KHANG ANH</t>
  </si>
  <si>
    <t>kế cây xăng số 17, Ấp Xóm Gốc, Xã Long An, Huyện Long Thành, Đồng Nai</t>
  </si>
  <si>
    <t>3502205704-001</t>
  </si>
  <si>
    <t>Văn Phòng Đại Diện Công Ty Trách Nhiệm Hữu Hạn Thương Mại Dịch Vụ Xây Dựng Ức Phát</t>
  </si>
  <si>
    <t>Tổ 7 Hẻm 789 Quốc Lộ 51b, Ấp Hàng Gòn, Xã Lộc An, Huyện Long Thành, Đồng Nai</t>
  </si>
  <si>
    <t xml:space="preserve">3600487246                    </t>
  </si>
  <si>
    <t>CÔNG TY TNHH WOOREE VINA</t>
  </si>
  <si>
    <t>Đường số 9, KCN Nhơn Trạch I</t>
  </si>
  <si>
    <t xml:space="preserve">3600504540                    </t>
  </si>
  <si>
    <t>CÔNG TY TNHH MỘT THÀNH VIÊN TRANG MINH ANH</t>
  </si>
  <si>
    <t xml:space="preserve"> Số 15, tổ 7, ấp Xóm Gốc, Quốc Lộ 51</t>
  </si>
  <si>
    <t xml:space="preserve">3600505181                    </t>
  </si>
  <si>
    <t>CÔNG TY TNHH NHỰA CÔNG NGHIỆP CHUNG LONG VIỆT NAM</t>
  </si>
  <si>
    <t>Khu công nghiệp Nhơn Trạch I</t>
  </si>
  <si>
    <t>3600505495</t>
  </si>
  <si>
    <t xml:space="preserve">Công Ty TNHH Akzo Nobel Việt Nam                                                                                                                                                                      </t>
  </si>
  <si>
    <t xml:space="preserve">Lô E-1-CN, Khu Công Nghiệp Mỹ Phước 2, Phường Mỹ Phước, Thị Xã Bến Cát, Tỉnh Bình Dương,                                                                                                     </t>
  </si>
  <si>
    <t>3600509080</t>
  </si>
  <si>
    <t xml:space="preserve">Công ty tnhh Hảo Loan                                                                             </t>
  </si>
  <si>
    <t xml:space="preserve">ấp  1 Xóm Gốc - Long An - Long Thành - Đồng Nai                                                </t>
  </si>
  <si>
    <t>3600517557</t>
  </si>
  <si>
    <t>CÔNG TY TRÁCH NHIỆM HỮU HẠN HƯNG NGHIỆP FORMOSA</t>
  </si>
  <si>
    <t>Khu Công nghiệp Nhơn Trạch III</t>
  </si>
  <si>
    <t xml:space="preserve">3600497815                    </t>
  </si>
  <si>
    <t>CÔNG TY TNHH MAY MẶC UNITED SWEETHEARTS VIỆT NAM</t>
  </si>
  <si>
    <t>Đường 10, KCN NhơnTrạch 1</t>
  </si>
  <si>
    <t>3600499890</t>
  </si>
  <si>
    <t>DNTN Võ Nhật Tân</t>
  </si>
  <si>
    <t>Số 704C, Lê Duẩn, Tổ 29, Khu Cầu Xéo, Thị trấn Long Thành, Huyện Long Thành, Đồng Nai</t>
  </si>
  <si>
    <t xml:space="preserve">3600505223                    </t>
  </si>
  <si>
    <t>CÔNG TY TNHH CÔNG NGHIỆP GỐM SỨ XIE XING</t>
  </si>
  <si>
    <t>Đường Tôn Đức Thắng, KCN Nhơn Trạch 1</t>
  </si>
  <si>
    <t xml:space="preserve">3600515630                    </t>
  </si>
  <si>
    <t>Công ty TNHH Hóa Chất  Hsin Sou Việt Nam</t>
  </si>
  <si>
    <t>3600521867</t>
  </si>
  <si>
    <t>Cô Nhi Viện Hoa Mai</t>
  </si>
  <si>
    <t xml:space="preserve">3600523053                    </t>
  </si>
  <si>
    <t>CÔNG TY TNHH THÉP KOS VIỆT NAM</t>
  </si>
  <si>
    <t xml:space="preserve">3600524089                    </t>
  </si>
  <si>
    <t>CÔNG TY SHELL VIỆT NAM TRÁCH NHIỆM HỮU HẠN</t>
  </si>
  <si>
    <t>3600526174</t>
  </si>
  <si>
    <t>CÔNG TY TRÁCH NHIỆM HỮU HẠN SẢN XUẤT THUN VÀ NGUYÊN LIỆU MAY PREMIER (VIỆT NAM)</t>
  </si>
  <si>
    <t>Đường số 8, Khu công nghiệp Nhơn Trạch 1</t>
  </si>
  <si>
    <t xml:space="preserve">3600526590                    </t>
  </si>
  <si>
    <t>CÔNG TY TRÁCH NHIỆM HỮU HẠN HWASEUNG VINA</t>
  </si>
  <si>
    <t xml:space="preserve">3600531128                    </t>
  </si>
  <si>
    <t>CÔNG TY TRÁCH NHIỆM HỮU HẠN KING’S GRATING.</t>
  </si>
  <si>
    <t>Đường 25B, Khu công nghiệp Nhơn Trạch II</t>
  </si>
  <si>
    <t>3600552375</t>
  </si>
  <si>
    <t>CÔNG TY TNHH XĂNG DẦU AN LỢI</t>
  </si>
  <si>
    <t>Ấp 5, Hương Lộ 21</t>
  </si>
  <si>
    <t xml:space="preserve">3600558190                    </t>
  </si>
  <si>
    <t>Công Ty TNHH Dệt May P.O.L.T.S (Việt Nam)</t>
  </si>
  <si>
    <t>Ấp 8</t>
  </si>
  <si>
    <t xml:space="preserve">3600574837                    </t>
  </si>
  <si>
    <t>CÔNG TY TRÁCH NHIỆM HỮU HẠN KING CAR</t>
  </si>
  <si>
    <t>Lô A3, Phân khu Formosa, KCN Nhơn Trạch III</t>
  </si>
  <si>
    <t>3600578292</t>
  </si>
  <si>
    <t>CÔNG TY TNHH HÂN TRIỂN (VN)</t>
  </si>
  <si>
    <t>151 Khu 3, Ấp 7</t>
  </si>
  <si>
    <t xml:space="preserve">Toå Kyõ thuaät Ñòa baøn Loteco - Tam Phöô´c       </t>
  </si>
  <si>
    <t xml:space="preserve">Tuyeán Tam Phöôùc 3                               </t>
  </si>
  <si>
    <t>3600529787</t>
  </si>
  <si>
    <t>DNTN DV TM Hoàng Long Long Thành</t>
  </si>
  <si>
    <t>Tổ 36, Khu Cầu Xéo, Thị trấn Long Thành, Huyện Long Thành, Đồng Nai</t>
  </si>
  <si>
    <t xml:space="preserve">3600532315                    </t>
  </si>
  <si>
    <t>Công ty TNHH Vopak Việt Nam</t>
  </si>
  <si>
    <t>Xã Phước Khánh - KCN Ông Kèo</t>
  </si>
  <si>
    <t xml:space="preserve">Tuyeán Vónh Thanh 6                               </t>
  </si>
  <si>
    <t xml:space="preserve">3600535274                    </t>
  </si>
  <si>
    <t>CÔNG TY TNHH XĂNG DẦU CHÁNH MINH</t>
  </si>
  <si>
    <t>411, đường Hùng Vương, ấp Thanh Minh</t>
  </si>
  <si>
    <t xml:space="preserve">3600591021                    </t>
  </si>
  <si>
    <t>CÔNG TY TRÁCH NHIỆM HỮU HẠN KOSTEEL VINA.</t>
  </si>
  <si>
    <t>3502240392</t>
  </si>
  <si>
    <t xml:space="preserve">Công Ty Cổ Phần Vật Liệu Xây Dựng Mới Nam Bộ                                               </t>
  </si>
  <si>
    <t xml:space="preserve">ấp Chính Nghĩa - Vĩnh Thanh - Nhơn Trạch - Đồng Nai                                              </t>
  </si>
  <si>
    <t>3601622201</t>
  </si>
  <si>
    <t xml:space="preserve">Lê Thọ Thân                                                                                                                                                                                          </t>
  </si>
  <si>
    <t xml:space="preserve">ấp 1 - Long An - Long Thành - Đồng Nai                                                                                                                                                               </t>
  </si>
  <si>
    <t xml:space="preserve">3601649725                    </t>
  </si>
  <si>
    <t>CÔNG TY TNHH MỘT THÀNH VIÊN HÂN NHẠC</t>
  </si>
  <si>
    <t>Tổ 25, ấp Bến Sắn</t>
  </si>
  <si>
    <t>3601670999</t>
  </si>
  <si>
    <t xml:space="preserve">Công Ty TNHH Phương Ngọc Sơn                                                                                                                                                                          </t>
  </si>
  <si>
    <t xml:space="preserve">Số 446/13/18, Đường Lý Thái Tổ, ấp Bến Cam, Xã Phước Thiền, Huyện Nhơn Trạch, Tỉnh Đồng                                                                                                    </t>
  </si>
  <si>
    <t>3601672308</t>
  </si>
  <si>
    <t>Công Ty TNHH Một Thành Viên Dân Quang</t>
  </si>
  <si>
    <t>Ấp 3</t>
  </si>
  <si>
    <t>3601742234</t>
  </si>
  <si>
    <t>CÔNG TY TNHH XD &amp; DV TM TRUNG ĐỨC THẮNG</t>
  </si>
  <si>
    <t>Tổ 1, ấp 2</t>
  </si>
  <si>
    <t xml:space="preserve">3600595756                    </t>
  </si>
  <si>
    <t>CÔNG TY TNHH CÔNG NGHIỆP SHUN CHENG VIỆT NAM</t>
  </si>
  <si>
    <t xml:space="preserve">3600602273                    </t>
  </si>
  <si>
    <t>CÔNG TY TNHH CHẾ BIẾN THỦY HẢI SẢN VÀ NƯỚC ĐÁ TUNG KONG</t>
  </si>
  <si>
    <t>Đường 25C, KCN Nhơn Trạch III</t>
  </si>
  <si>
    <t xml:space="preserve">3600606655                    </t>
  </si>
  <si>
    <t>CÔNG TY TRÁCH NHIỆM HỮU HẠN NHUẬN THÁI</t>
  </si>
  <si>
    <t>Đường số 2, Khu công nghiệp Nhơn Trạch I</t>
  </si>
  <si>
    <t xml:space="preserve">3600606704                    </t>
  </si>
  <si>
    <t>Công ty TNHH Công Nghiệp Swan Việt Nam</t>
  </si>
  <si>
    <t>Đường số 3, KCN Nhơn Trạch I</t>
  </si>
  <si>
    <t>3600609494</t>
  </si>
  <si>
    <t>CÔNG TY TRÁCH NHIỆM HỮU HẠN TẺM</t>
  </si>
  <si>
    <t>Số 117, tổ 1, Quốc lộ 51, ấp Hiền Đức</t>
  </si>
  <si>
    <t>3600611334</t>
  </si>
  <si>
    <t xml:space="preserve">Công ty TNHH Một Thành Viên Cơ Khí - Xây Dựng Nam Thuận Phong                                                                                                                                    </t>
  </si>
  <si>
    <t xml:space="preserve">Tổ 6 - Khu 12 - Long Đức - Long Thành - Đồng Nai                                                                                                                                                    </t>
  </si>
  <si>
    <t>3600615219</t>
  </si>
  <si>
    <t>Trung Tâm Tin Học Minh Trí</t>
  </si>
  <si>
    <t>99/9 Khu Phước Thuận, TT Long Thành, Huyện Long Thành</t>
  </si>
  <si>
    <t>3600635286</t>
  </si>
  <si>
    <t>Hợp Tác Xã Dịch Vụ Vệ Sinh Môi Trường Hiệp Hòa</t>
  </si>
  <si>
    <t>Khu phố Mỹ Khoan</t>
  </si>
  <si>
    <t>3600641963</t>
  </si>
  <si>
    <t>CÔNG TY TNHH TM-DV-SX CƠ KHÍ THANH ÂN</t>
  </si>
  <si>
    <t>Số 120, Đinh Bộ Lĩnh, Tổ 1, Ấp Hàng Gòn</t>
  </si>
  <si>
    <t>3600585934-001</t>
  </si>
  <si>
    <t>Công Ty TNHH Super Gas</t>
  </si>
  <si>
    <t>Cảûng Gò Dầu A, Xã Phước Thái, Huyện Long Thành</t>
  </si>
  <si>
    <t xml:space="preserve">3600586328                    </t>
  </si>
  <si>
    <t>CÔNG TY TNHH KIM LONG</t>
  </si>
  <si>
    <t>3600612137</t>
  </si>
  <si>
    <t>CÔNG TY TNHH QUỐC TẾ NGUYÊN HƯNG</t>
  </si>
  <si>
    <t>3600615508</t>
  </si>
  <si>
    <t>CÔNG TY TNHH THƯƠNG MẠI HẢI MINH</t>
  </si>
  <si>
    <t>Tổ 14, ấp 3</t>
  </si>
  <si>
    <t xml:space="preserve">Tuyeán Phöôùc Thieàn 1                            </t>
  </si>
  <si>
    <t xml:space="preserve">3600617858                    </t>
  </si>
  <si>
    <t>CÔNG TY TRÁCH NHIỆM HỮU HẠN CHIG FENG</t>
  </si>
  <si>
    <t xml:space="preserve">3600625344                    </t>
  </si>
  <si>
    <t>CÔNG TY TRÁCH NHIỆM HỮU HẠN CÔNG NGHIỆP ELMA VIỆT NAM</t>
  </si>
  <si>
    <t xml:space="preserve">3600625432                    </t>
  </si>
  <si>
    <t>CÔNG TY TNHH VĨ LỢI</t>
  </si>
  <si>
    <t>Đuờng 25B, KCN Nhơn Trạch II</t>
  </si>
  <si>
    <t xml:space="preserve">3600642822                    </t>
  </si>
  <si>
    <t>CÔNG TY CỔ PHẦN BỘT GIẶT NET</t>
  </si>
  <si>
    <t>Đường D4, KCN Lộc An - Bình Sơn</t>
  </si>
  <si>
    <t xml:space="preserve">3600645037                    </t>
  </si>
  <si>
    <t>CÔNG TY TNHH KUANG TAI (VIỆT NAM)</t>
  </si>
  <si>
    <t>3600647806</t>
  </si>
  <si>
    <t>DNTN Tân Tiến E</t>
  </si>
  <si>
    <t>ấp 8</t>
  </si>
  <si>
    <t xml:space="preserve">3600631186                    </t>
  </si>
  <si>
    <t>CÔNG TY TNHH CÔNG NGHIỆP TBD NHƠN TRẠCH</t>
  </si>
  <si>
    <t>Khu công nghiệp Nhơn Trạch 1, Tỉnh lộ 319</t>
  </si>
  <si>
    <t xml:space="preserve">3600633176                    </t>
  </si>
  <si>
    <t>CÔNG TY TRÁCH NHIỆM HỮU HẠN DỊCH VỤ GIÁM ĐỊNH CÁC KẾT CẤU HÀN KIM LOẠI YEONG JAAN</t>
  </si>
  <si>
    <t>3600633296</t>
  </si>
  <si>
    <t>Doanh Nghiệp Tư Nhân Trạm Xăng Dầu Thái Tâm</t>
  </si>
  <si>
    <t>số 283, ấp 2</t>
  </si>
  <si>
    <t xml:space="preserve">3600639065                    </t>
  </si>
  <si>
    <t>CÔNG TY TRÁCH NHIỆM HỮU HẠN C.T. POLYMER</t>
  </si>
  <si>
    <t>Lô A10, KCN Nhơn Trạch 3</t>
  </si>
  <si>
    <t xml:space="preserve">3600643287                    </t>
  </si>
  <si>
    <t>Công Ty TNHH Trọng Lễ</t>
  </si>
  <si>
    <t>ấp Thanh Bình</t>
  </si>
  <si>
    <t>3600647228</t>
  </si>
  <si>
    <t>CÔNG TY TRÁCH NHIỆM HỮU HẠN KỸ THUẬT XÂY DỰNG CÔNG NGHIỆP YUKUEN</t>
  </si>
  <si>
    <t>Số 407, tổ 7, ấp Phú Mỹ II</t>
  </si>
  <si>
    <t xml:space="preserve">3600649634                    </t>
  </si>
  <si>
    <t>CÔNG TY TRÁCH NHIỆM HỮU HẠN AK VINA</t>
  </si>
  <si>
    <t>Số 02, KCN Gò Dầu</t>
  </si>
  <si>
    <t xml:space="preserve">3600653415                    </t>
  </si>
  <si>
    <t>CÔNG TY TRÁCH NHIỆM HỮU HẠN KUO YUEN VIỆT NAM</t>
  </si>
  <si>
    <t xml:space="preserve">3600655437                    </t>
  </si>
  <si>
    <t>CÔNG TY TRÁCH NHIỆM HỮU HẠN CÔNG NGHIỆP ROCK TEAM (VIỆT NAM)</t>
  </si>
  <si>
    <t xml:space="preserve">3600661374                    </t>
  </si>
  <si>
    <t>CÔNG TY DỆT JOMU (VIỆT NAM) TRÁCH NHIỆM HỮU HẠN.</t>
  </si>
  <si>
    <t>Lô D.II-4, đường số 01, KCN Long Thành</t>
  </si>
  <si>
    <t>3600663269</t>
  </si>
  <si>
    <t>CÔNG TY TRÁCH NHIỆM HỮU HẠN HANGDO VINA</t>
  </si>
  <si>
    <t>Đường số 6B, Khu công nghiệp Nhơn Trạch 1</t>
  </si>
  <si>
    <t xml:space="preserve">3600659230                    </t>
  </si>
  <si>
    <t>CÔNG TY TRÁCH NHIỆM HỮU HẠN CỰ THÀNH</t>
  </si>
  <si>
    <t>108, Ấp 5</t>
  </si>
  <si>
    <t xml:space="preserve">3600660483                    </t>
  </si>
  <si>
    <t>Công ty TNHH Mỹ thuật Chin Kong</t>
  </si>
  <si>
    <t>Khu Công Nghiệp Nhơn Trạch 2</t>
  </si>
  <si>
    <t>3600660490</t>
  </si>
  <si>
    <t>CÔNG TY TNHH MAINETTI (VIỆT NAM)</t>
  </si>
  <si>
    <t>Đường số 7, Khu Công nghiệp Long Thành</t>
  </si>
  <si>
    <t>3600663276-001</t>
  </si>
  <si>
    <t xml:space="preserve">Công ty TNHH Hồng Ngọc Trân                                                                                                                                                                         </t>
  </si>
  <si>
    <t xml:space="preserve">Khu 12 - Long Đức - Long Thành - Đồng Nai                                                                                                                                                            </t>
  </si>
  <si>
    <t>3601960602</t>
  </si>
  <si>
    <t>Viện kiểm sát nhân dân huyện Nhơn Trạch</t>
  </si>
  <si>
    <t>3602000676</t>
  </si>
  <si>
    <t>Trường Thcs Hiệp Phước</t>
  </si>
  <si>
    <t>Ấp 1, Xã Hiệp Phước, Huyện Nhơn Trạch</t>
  </si>
  <si>
    <t>3602001084</t>
  </si>
  <si>
    <t>Trung Tâm  Chính Trị Huyện Nhơn Trạch</t>
  </si>
  <si>
    <t>Trung Tâm Hành Chính Huyện Nhơn Trạch, Xã Phú Hội, Huyện Nhơn Trạch</t>
  </si>
  <si>
    <t>3602011607</t>
  </si>
  <si>
    <t>Trung Tâm Văn Hóa, Thông Tin Và Thể Thao Huyện Nhơn Trạch</t>
  </si>
  <si>
    <t>Ấp Bến Sắn, Xã Phước Thiền, Huyện Nhơn Trạch, Đồng Nai</t>
  </si>
  <si>
    <t>3602011639</t>
  </si>
  <si>
    <t>Hội Nông Dân VN Huyện Nhơn Trạch</t>
  </si>
  <si>
    <t>Xã Phước Thiền, Huyện Nhơn Trạch</t>
  </si>
  <si>
    <t>3602011734</t>
  </si>
  <si>
    <t>Bảo Hiểm Xã Hội Huyện Nhơn Trạch</t>
  </si>
  <si>
    <t>Đường Nguyễn Hữu Cảnh, Xã Phú Hội, Huyện Nhơn Trạch, Đồng Nai</t>
  </si>
  <si>
    <t>B1</t>
  </si>
  <si>
    <t xml:space="preserve">3600664791                    </t>
  </si>
  <si>
    <t>CÔNG TY TNHH MTV THỰC PHẨM ANH LONG</t>
  </si>
  <si>
    <t>198A, ấp 8</t>
  </si>
  <si>
    <t xml:space="preserve">3600670844                    </t>
  </si>
  <si>
    <t>CÔNG TY TNHH HONG WON VINA</t>
  </si>
  <si>
    <t>Đường số 8, KCN Nhơn Trạch I</t>
  </si>
  <si>
    <t>3600671076</t>
  </si>
  <si>
    <t>CÔNG TY TNHH HIỆP TUẤN PHÁT</t>
  </si>
  <si>
    <t>Ấp Tập Phước, Quốc lộ 51</t>
  </si>
  <si>
    <t xml:space="preserve">3600674052                    </t>
  </si>
  <si>
    <t>CÔNG TY TRÁCH NHIỆM HỮU HẠN CHIN WELL FASTENERS (VIỆT NAM)</t>
  </si>
  <si>
    <t>3600674285</t>
  </si>
  <si>
    <t>CÔNG TY TNHH TM - DV HƯNG ĐẠT LONG THÀNH</t>
  </si>
  <si>
    <t>Tổ 18, Khu Phước Hải</t>
  </si>
  <si>
    <t>3600680271</t>
  </si>
  <si>
    <t>DNTN Hùng Hiệp Lợi</t>
  </si>
  <si>
    <t>Số 551 ấp 7</t>
  </si>
  <si>
    <t xml:space="preserve">3600685664                    </t>
  </si>
  <si>
    <t>CÔNG TY TNHH LONG HÒA PHÁT</t>
  </si>
  <si>
    <t>Số 571, Tổ 9, Ấp 1B</t>
  </si>
  <si>
    <t xml:space="preserve">3600672993                    </t>
  </si>
  <si>
    <t>CÔNG TY TNHH U-BEST VIỆT NAM POLYMER INDUSTRY</t>
  </si>
  <si>
    <t>Đường Trần Phú, KCN Nhơn Trạch 5</t>
  </si>
  <si>
    <t xml:space="preserve">3600674750                    </t>
  </si>
  <si>
    <t>CÔNG TY TNHH MỘT THÀNH VIÊN BÊ TÔNG PHAN VŨ - ĐỒNG NAI</t>
  </si>
  <si>
    <t>3600692809</t>
  </si>
  <si>
    <t>CÔNG TY CỔ PHẦN DIC - ĐỒNG TIẾN</t>
  </si>
  <si>
    <t>Lô 17, khu công nghiệp Nhơn Trạch 2, Tỉnh lộ 25B</t>
  </si>
  <si>
    <t>3600706642</t>
  </si>
  <si>
    <t xml:space="preserve">Cty TNHH Phúc Lộc Tân                                                                                                                                                                                </t>
  </si>
  <si>
    <t xml:space="preserve">999 Khu 1 ấp Bến Sắn - Phước Thiền - Nhơn Trạch - Đồng Nai                                                                                                                                       </t>
  </si>
  <si>
    <t xml:space="preserve">3600711988                    </t>
  </si>
  <si>
    <t>CÔNG TY TRÁCH NHIỆM HỮU HẠN ADVANCED MULTITECH (VIỆT NAM)</t>
  </si>
  <si>
    <t>Đường số 4, KCN Nhơn Trạch III (Phân khu Formosa)</t>
  </si>
  <si>
    <t xml:space="preserve">3600676902                    </t>
  </si>
  <si>
    <t>CÔNG TY TRÁCH NHIỆM HỮU HẠN BAO BÌ VIỆT LONG</t>
  </si>
  <si>
    <t>Khu công nghiệp Nhơn Trạch III</t>
  </si>
  <si>
    <t>3600684798</t>
  </si>
  <si>
    <t xml:space="preserve">DNTN Kim Xuân Long Thành                                                                                                                                                                              </t>
  </si>
  <si>
    <t xml:space="preserve">Tổ 31 Khu Cầu Xéo - TT Long Thành - Long Thành - Đồng Nai                                                                                                                                         </t>
  </si>
  <si>
    <t xml:space="preserve">3600685840                    </t>
  </si>
  <si>
    <t>CÔNG TY TRÁCH NHIỆM HỮU HẠN VẬT LIỆU KHOA HỌC KỸ THUẬT TRIỂN VŨ VIỆT NAM</t>
  </si>
  <si>
    <t>KCN Nhơn Trạch 5</t>
  </si>
  <si>
    <t xml:space="preserve">3600687943                    </t>
  </si>
  <si>
    <t>CÔNG TY CỔ PHẦN ĐẦU TƯ XÂY DỰNG VÀ PHÁT TRIỂN VẬT LIỆU IDICO</t>
  </si>
  <si>
    <t>3600690618</t>
  </si>
  <si>
    <t>CÔNG TY TRÁCH NHIỆM HỮU HẠN GLOBAL DYEING</t>
  </si>
  <si>
    <t>Đường số 1, KCN Long Thành</t>
  </si>
  <si>
    <t xml:space="preserve">3600721601                    </t>
  </si>
  <si>
    <t>CÔNG TY TNHH TƯƠNG LAI</t>
  </si>
  <si>
    <t>Ấp Thanh Bình</t>
  </si>
  <si>
    <t xml:space="preserve">3600721626                    </t>
  </si>
  <si>
    <t>CÔNG TY TRÁCH NHIỆM HỮU HẠN JUNGWOO TEXTILE VINA.</t>
  </si>
  <si>
    <t>3600723750</t>
  </si>
  <si>
    <t xml:space="preserve">Công Ty TNHH Sản Xuất - Thương Mại - Dịch Vụ Long Thành Công                                                                                                                                     </t>
  </si>
  <si>
    <t xml:space="preserve">Tổ 3, ấp Thanh Bình - Lộc An - Long Thành - Đồng Nai                                                                                                                                               </t>
  </si>
  <si>
    <t xml:space="preserve">3600727258                    </t>
  </si>
  <si>
    <t>CÔNG TY TNHH AVCO VIỆT NAM</t>
  </si>
  <si>
    <t xml:space="preserve">3600728195                    </t>
  </si>
  <si>
    <t>CÔNG TY TRÁCH NHIỆM HỮU HẠN MỘT THÀNH VIÊN YGS VINA</t>
  </si>
  <si>
    <t>Lô 2, Tôn Đức Thắng, KCN Nhơn trạch II</t>
  </si>
  <si>
    <t>3600729671</t>
  </si>
  <si>
    <t>CÔNG TY TNHH ĐIỆN CƠ TECO (VIỆT NAM)</t>
  </si>
  <si>
    <t xml:space="preserve">3600695207                    </t>
  </si>
  <si>
    <t>CÔNG TY TNHH CÔNG NGHIỆP T.A VIỆT NAM</t>
  </si>
  <si>
    <t xml:space="preserve">3600705504                    </t>
  </si>
  <si>
    <t>CÔNG TY TNHH ĐẦU TƯ LONG ĐỨC</t>
  </si>
  <si>
    <t>Khu công nghiệp Long Đức</t>
  </si>
  <si>
    <t xml:space="preserve">3600738820                    </t>
  </si>
  <si>
    <t>CÔNG TY TNHH DỊCH VỤ - THƯƠNG MẠI HÒA PHƯỢNG</t>
  </si>
  <si>
    <t>167, ấp Bình Lâm</t>
  </si>
  <si>
    <t>3600754364</t>
  </si>
  <si>
    <t xml:space="preserve">Công ty TNHH Nguyệt My                                                                                                                                                                                </t>
  </si>
  <si>
    <t xml:space="preserve">(Nguyễn Hồng Nghĩa 0902949425)Tổ 02 khu 13 - Long Đức - Long Thành - Đồng Nai                                                                                                                    </t>
  </si>
  <si>
    <t xml:space="preserve">3600718912                    </t>
  </si>
  <si>
    <t>CÔNG TY TRÁCH NHIỆM HỮU HẠN KCC (VIỆT NAM)</t>
  </si>
  <si>
    <t xml:space="preserve">3600720799                    </t>
  </si>
  <si>
    <t>DOANH NGHIỆP TƯ NHÂN THIÊN ÁNH</t>
  </si>
  <si>
    <t>Đường 319, ấp Bến Cam</t>
  </si>
  <si>
    <t>3600723655</t>
  </si>
  <si>
    <t>CÔNG TY TNHH MERCAFE VIỆT NAM</t>
  </si>
  <si>
    <t>Đường số 3, Khu Công nghiệp Long Thành</t>
  </si>
  <si>
    <t xml:space="preserve">3600726543                    </t>
  </si>
  <si>
    <t>CÔNG TY TNHH  FOAM HWA CHING DONGNAI.</t>
  </si>
  <si>
    <t>Đường số 5A, KCN Nhơn Trạch 2</t>
  </si>
  <si>
    <t>3600758168</t>
  </si>
  <si>
    <t>CÔNG TY CỔ PHẦN SẢN XUẤT VÀ THƯƠNG MẠI MIỀN QUÊ</t>
  </si>
  <si>
    <t>Lô số 3, đuờng 5A Khu công nghiệp Nhơn Trạch 2</t>
  </si>
  <si>
    <t>3600761587</t>
  </si>
  <si>
    <t>CÔNG TY TNHH TÔN THÉP NGHIÊM HIỀN HÒA</t>
  </si>
  <si>
    <t>Số 459, Quốc Lộ 51, Tổ 10, Ấp Long Phú</t>
  </si>
  <si>
    <t xml:space="preserve">3600765528                    </t>
  </si>
  <si>
    <t>CÔNG TY TNHH THƯƠNG MẠI DỊCH VỤ VẬN TẢI MINH TẤN</t>
  </si>
  <si>
    <t>Số 330/17, Ấp 6</t>
  </si>
  <si>
    <t xml:space="preserve">3600772853                    </t>
  </si>
  <si>
    <t>CÔNG TY TRÁCH NHIỆM HỮU HẠN MAJESTIC ENTERPRISE</t>
  </si>
  <si>
    <t>3600777724</t>
  </si>
  <si>
    <t>CÔNG TY TRÁCH NHIỆM HỮU HẠN CÔNG NGHIỆP HỖ THÀNH</t>
  </si>
  <si>
    <t>Đường số 2 Nội bộ KCN Nhơn Trạch 3-Giai đoạn 2</t>
  </si>
  <si>
    <t xml:space="preserve">3600778975                    </t>
  </si>
  <si>
    <t>CÔNG TY TNHH XÂY DỰNG BẢO THIÊN PHÚC</t>
  </si>
  <si>
    <t>Số 67, Tổ 2, ấp Vĩnh Tuy, Tỉnh lộ 25A</t>
  </si>
  <si>
    <t>3600785524</t>
  </si>
  <si>
    <t>CÔNG TY CỔ PHẦN VẬT LIỆU XÂY DỰNG CHÂU ÂU</t>
  </si>
  <si>
    <t>Đường số 5, KCN Nhơn Trạch 3</t>
  </si>
  <si>
    <t>3600727427-002</t>
  </si>
  <si>
    <t>Văn Phòng Đăng Ký Đất Đai Đồng Nai - Chi Nhánh Nhơn Trạch</t>
  </si>
  <si>
    <t>Đường Nguyễn Kim Quy, Xã Phú Hội, Huyện Nhơn Trạch</t>
  </si>
  <si>
    <t xml:space="preserve">3600731198                    </t>
  </si>
  <si>
    <t>CÔNG TY TNHH XĂNG DẦU HỒNG HƯNG THỊNH</t>
  </si>
  <si>
    <t>Số 168, Ấp Bình Lâm</t>
  </si>
  <si>
    <t>3600733910</t>
  </si>
  <si>
    <t>CÔNG TY TNHH KHÍ LPG MEXICO VIỆT NAM</t>
  </si>
  <si>
    <t>Tổ 20, Khu Kim Sơn</t>
  </si>
  <si>
    <t xml:space="preserve">3600748794                    </t>
  </si>
  <si>
    <t>CÔNG TY TNHH CÔNG NGHIỆP VẬT LIỆU GỐM SỨ SHUN YIN</t>
  </si>
  <si>
    <t>3600749484</t>
  </si>
  <si>
    <t>CÔNG TY TNHH SURINT OMYA (VIET NAM)</t>
  </si>
  <si>
    <t>3600755488</t>
  </si>
  <si>
    <t>Cơ Sở Phát Hưng</t>
  </si>
  <si>
    <t>514/16 KP3 Ấp Cát Lái, Xã Phú Hữu, Huyện Nhơn Trạch</t>
  </si>
  <si>
    <t xml:space="preserve">3600758658                    </t>
  </si>
  <si>
    <t>Liên Hiệp HTX Dịch Vụ Nông Nghiệp Tổng Hợp ĐN</t>
  </si>
  <si>
    <t>Toà nhà Dona Coop, QL51A, K. Phước Hải</t>
  </si>
  <si>
    <t xml:space="preserve">Tuyeán Amata 2                                    </t>
  </si>
  <si>
    <t xml:space="preserve">3600771151                    </t>
  </si>
  <si>
    <t>CÔNG TY TRÁCH NHIỆM HỮU HẠN CỬU THĂNG VIỆT NAM</t>
  </si>
  <si>
    <t>Khu công nghiệp Nhơn Trạch 3 (Formosa)</t>
  </si>
  <si>
    <t xml:space="preserve">3600777040                    </t>
  </si>
  <si>
    <t>CÔNG TY TNHH CÁP TAIHAN VINA</t>
  </si>
  <si>
    <t>Đường số 8, Khu Công nghiệp Long Thành</t>
  </si>
  <si>
    <t xml:space="preserve">3600777989                    </t>
  </si>
  <si>
    <t>CÔNG TY TRÁCH NHIỆM HỮU HẠN CÔNG NGHIỆP CAO SU CHÍNH TÂN VIỆT NAM</t>
  </si>
  <si>
    <t>Đường số 5, KCN Nhơn Trạch III</t>
  </si>
  <si>
    <t xml:space="preserve">3600784457                    </t>
  </si>
  <si>
    <t>CÔNG TY TNHH DAE DUK BAND VIETNAM</t>
  </si>
  <si>
    <t>Đường Số 5, Khu Công Nghiệp Long Thành</t>
  </si>
  <si>
    <t xml:space="preserve">3600789864                    </t>
  </si>
  <si>
    <t>Công ty TNHH Dệt May Eclat Việt Nam</t>
  </si>
  <si>
    <t>Lô 1, Đường 5A, KCN Nhơn Trạch 2</t>
  </si>
  <si>
    <t>3600791662</t>
  </si>
  <si>
    <t>Công Ty TNHH ASCO Security</t>
  </si>
  <si>
    <t xml:space="preserve">3600797311                    </t>
  </si>
  <si>
    <t>CÔNG TY TRÁCH NHIỆM HỮU HẠN CÔNG NGHỆ DAIMOSA (VIỆT NAM)</t>
  </si>
  <si>
    <t>DI-8A, Đường số 3, Khu Công nghiệp Long Thành</t>
  </si>
  <si>
    <t>3600788966</t>
  </si>
  <si>
    <t>CÔNG TY TNHH CƠ KHÍ PHẠM HỒNG HẢI</t>
  </si>
  <si>
    <t>Tổ 2, Ấp Xóm Gốc</t>
  </si>
  <si>
    <t xml:space="preserve">3600789550                    </t>
  </si>
  <si>
    <t>CÔNG TY TRÁCH NHIỆM HỮU HẠN THƯƠNG MẠI DỊCH VỤ KHÁNH THIỆN</t>
  </si>
  <si>
    <t>Số 209, Ấp 1B</t>
  </si>
  <si>
    <t xml:space="preserve">3600790154                    </t>
  </si>
  <si>
    <t>CÔNG TY TNHH SAMIL VINA</t>
  </si>
  <si>
    <t>KCN Long Thành</t>
  </si>
  <si>
    <t>3600796519</t>
  </si>
  <si>
    <t>Công Ty TNHH Gas Phoenix ( Việt Nam)</t>
  </si>
  <si>
    <t>KCN Gò Dầu, Xã Phước Thái, Huyện Long Thành</t>
  </si>
  <si>
    <t xml:space="preserve">3600805266                    </t>
  </si>
  <si>
    <t>Công ty TNHH Công Nghiệp Thép Shin Chang</t>
  </si>
  <si>
    <t>đường số 10, Khu Công Nghiệp Nhơn Trạch 1</t>
  </si>
  <si>
    <t xml:space="preserve">3600810160                    </t>
  </si>
  <si>
    <t>CÔNG TY TRÁCH NHIỆM HỮU HẠN PROMAX TEXTILE (VIỆT NAM)</t>
  </si>
  <si>
    <t>Số 33, đường số 6, Phân khu Formosa, KCN Nhơn Trạch III</t>
  </si>
  <si>
    <t xml:space="preserve">3600811132                    </t>
  </si>
  <si>
    <t>CÔNG TY TNHH GIAO NHẬN VẬN TẢI PHÚ GIA THÀNH</t>
  </si>
  <si>
    <t>Khu công nghiệp Nhơn Trạch II - Lộc Khang</t>
  </si>
  <si>
    <t>3600811291</t>
  </si>
  <si>
    <t>CÔNG TY TNHH CÔNG NGHỆ TECO (VIỆT NAM).</t>
  </si>
  <si>
    <t>3600811968</t>
  </si>
  <si>
    <t>CÔNG TY CỔ PHẦN HẢI GIA</t>
  </si>
  <si>
    <t>Tổ 17, khu Cầu Xéo</t>
  </si>
  <si>
    <t xml:space="preserve">3600812993                    </t>
  </si>
  <si>
    <t>CÔNG TY TNHH HIANG KIE INDUSTRIES</t>
  </si>
  <si>
    <t>Đường số 7, KCN Long Thành</t>
  </si>
  <si>
    <t xml:space="preserve">3600828344                    </t>
  </si>
  <si>
    <t>Công ty TNHH AX Thiết Kế</t>
  </si>
  <si>
    <t>3600810322</t>
  </si>
  <si>
    <t>CÔNG TY CỔ PHẦN CẤU KIỆN BÊ TÔNG NHƠN TRẠCH 2</t>
  </si>
  <si>
    <t>Số 1, Khu công nghiệp Nhơn Trạch 2, đường 25B</t>
  </si>
  <si>
    <t xml:space="preserve">3600811083                    </t>
  </si>
  <si>
    <t>Công Ty TNHH Giày Dép Danh Dự</t>
  </si>
  <si>
    <t xml:space="preserve">3600837370                    </t>
  </si>
  <si>
    <t>CÔNG TY TRÁCH NHIỆM HỮU HẠN JANG IN FURNITURE VIỆT NAM</t>
  </si>
  <si>
    <t xml:space="preserve">3600840239                    </t>
  </si>
  <si>
    <t>CÔNG TY TNHH SUHEUNG VIỆT NAM</t>
  </si>
  <si>
    <t>3600840729</t>
  </si>
  <si>
    <t>CÔNG TY TNHH CÁP ĐIỆN VÀ HỆ THỐNG LS VIỆT NAM</t>
  </si>
  <si>
    <t>KCN Nhơn Trạch II, Lộc Khang</t>
  </si>
  <si>
    <t xml:space="preserve">3600841296                    </t>
  </si>
  <si>
    <t>CÔNG TY TNHH DỊCH VỤ - THƯƠNG MẠI HÙNG THU</t>
  </si>
  <si>
    <t>Số 1089, ấp Xóm Gốc, Quốc lộ 51</t>
  </si>
  <si>
    <t>3600841899</t>
  </si>
  <si>
    <t xml:space="preserve">Cty TNHH Thiết Kế Xây Dựng Thương Mại Lâm Thành Đạt(Huỳnh Hữu Trí)                                                                                                                            </t>
  </si>
  <si>
    <t xml:space="preserve">Khu Liên Kim Sơn - TT Long Thành - Long Thành - Đồng Nai                                                                                                                                            </t>
  </si>
  <si>
    <t>3600849520</t>
  </si>
  <si>
    <t>CÔNG TY TRÁCH NHIỆM HỮU HẠN MAO BẢO VIỆT NAM</t>
  </si>
  <si>
    <t>3600850974</t>
  </si>
  <si>
    <t>DOANH NGHIỆP TƯ NHÂN TIẾN PHÁT - AN PHƯỚC</t>
  </si>
  <si>
    <t>Số 70, khu A, ấp 5</t>
  </si>
  <si>
    <t>3600852146</t>
  </si>
  <si>
    <t>CÔNG TY CỔ PHẦN DỆT TEXHONG NHƠN TRẠCH</t>
  </si>
  <si>
    <t>Khu Công nghiệp Nhơn Trạch 5</t>
  </si>
  <si>
    <t xml:space="preserve">3600841225                    </t>
  </si>
  <si>
    <t>Công ty TNHH Sợi DSCM - Việt Nam</t>
  </si>
  <si>
    <t>3600846625</t>
  </si>
  <si>
    <t>Công Ty TNHH XD &amp; TM Tân Đại Tiền</t>
  </si>
  <si>
    <t>6 Lô K KDC Chợ Mới, Xã Phước Bình, Huyện Long Thành</t>
  </si>
  <si>
    <t>3600850734</t>
  </si>
  <si>
    <t>CÔNG TY CỔ PHẦN SAMETEL</t>
  </si>
  <si>
    <t>Khu công nghiệp Long Thành, đường số 1</t>
  </si>
  <si>
    <t>3600857264</t>
  </si>
  <si>
    <t>CÔNG TY TRÁCH NHIỆM HỮU HẠN POLYCOM</t>
  </si>
  <si>
    <t>Lô C.II.I-1, Khu Công nghiệp Long Thành</t>
  </si>
  <si>
    <t>3600861687</t>
  </si>
  <si>
    <t>Công Ty TNHH Hiếu Hòa</t>
  </si>
  <si>
    <t>16/1 Ấp 4, Xã Long An, Huyện Long Thành</t>
  </si>
  <si>
    <t>3600859864</t>
  </si>
  <si>
    <t>CÔNG TY TNHH HOÀNG KIM TÂN</t>
  </si>
  <si>
    <t>Tổ 14, Khu E, ấp 5</t>
  </si>
  <si>
    <t>3600864487</t>
  </si>
  <si>
    <t xml:space="preserve">Cty TNHH 1TV TMDV&amp;XD Quang Quang Vinh                                                                                                                                                                   </t>
  </si>
  <si>
    <t xml:space="preserve">42/1 Khu Bàu Cá - An Phước - Long Thành - Đồng Nai                                                                                                                                                 </t>
  </si>
  <si>
    <t>3600871205</t>
  </si>
  <si>
    <t xml:space="preserve">Công ty TNHH Thương Mại Dịch Vụ Cường Hà                                                                                                                                                           </t>
  </si>
  <si>
    <t xml:space="preserve">ấp 4 - Long An - Long Thành - Đồng Nai                                                                                                                                                               </t>
  </si>
  <si>
    <t xml:space="preserve">3600872008                    </t>
  </si>
  <si>
    <t>CÔNG TY TRÁCH NHIỆM HỮU HẠN CHOSUN VINA</t>
  </si>
  <si>
    <t>3600873033</t>
  </si>
  <si>
    <t>Cty TNHH Hạnh Tấn Phước</t>
  </si>
  <si>
    <t>Số 33 Tổ 7 Khu 12  QL 51 A</t>
  </si>
  <si>
    <t xml:space="preserve">3600879846                    </t>
  </si>
  <si>
    <t>CÔNG TY CỔ PHẦN SYSTEEL VINA</t>
  </si>
  <si>
    <t>Lô C1, KCN Nhơn Trạch 5</t>
  </si>
  <si>
    <t xml:space="preserve">3600881813                    </t>
  </si>
  <si>
    <t>Cty TNHH Đặng Lưu</t>
  </si>
  <si>
    <t>26/3, khu Kim Sơn</t>
  </si>
  <si>
    <t>3600883909</t>
  </si>
  <si>
    <t xml:space="preserve">CTy TNHH Tuấn Lực                                                                                                                                                                                     </t>
  </si>
  <si>
    <t xml:space="preserve">449 ấp Trầu - Phước Thiền - Nhơn Trạch - Đồng Nai                                                                                                                                                 </t>
  </si>
  <si>
    <t xml:space="preserve">Tuyeán Phöôùc Thieàn 2                            </t>
  </si>
  <si>
    <t>3600884349</t>
  </si>
  <si>
    <t>CÔNG TY TNHH KIM LỆ CHÂU ÂU</t>
  </si>
  <si>
    <t>Số 186, tổ 7, ấp 1A, Quốc lộ 51</t>
  </si>
  <si>
    <t xml:space="preserve">3600886321                    </t>
  </si>
  <si>
    <t>CÔNG TY TNHH ANSELL VINA</t>
  </si>
  <si>
    <t>Lô số C.II&gt;III -2+5, Đường số 7, Khu Công nghiệp Long Thành</t>
  </si>
  <si>
    <t>3600886346</t>
  </si>
  <si>
    <t xml:space="preserve">Cty TNHH DV TM Thạch Thắng                                                                                                                                                                            </t>
  </si>
  <si>
    <t xml:space="preserve">148 tổ 5 ấp 3 - Bình Sơn - Long Thành - Đồng Nai                                                                                                                                                    </t>
  </si>
  <si>
    <t>3600877983</t>
  </si>
  <si>
    <t>CÔNG TY TNHH MỘT THÀNH VIÊN SẢN XUẤT DANH TIẾN</t>
  </si>
  <si>
    <t>23/1, Khu Bàu Cá</t>
  </si>
  <si>
    <t xml:space="preserve">3600878627                    </t>
  </si>
  <si>
    <t>CÔNG TY TNHH CÔNG NGHỆ NĂNG LƯỢNG CSB (VIỆT NAM)</t>
  </si>
  <si>
    <t>Đường số 4, Khu Công nghiệp Nhơn Trạch 3 - Giai đoạn 2</t>
  </si>
  <si>
    <t>3600886106</t>
  </si>
  <si>
    <t>CÔNG TY TNHH XÂY DỰNG NAM HẢI TIẾN</t>
  </si>
  <si>
    <t>Khu 5, Ấp 8</t>
  </si>
  <si>
    <t>3600890952</t>
  </si>
  <si>
    <t>CÔNG TY TRÁCH NHIỆM HỮU HẠN HYOSUNG VIỆT NAM</t>
  </si>
  <si>
    <t>Đường N2, KCN Nhơn Trạch 5</t>
  </si>
  <si>
    <t xml:space="preserve">3600892822                    </t>
  </si>
  <si>
    <t>Công Ty TNHH  MTV Dịch Vụ Bảo Vệ Sài Gòn Long Hải</t>
  </si>
  <si>
    <t>Số 2, tổ 1, ấp Xóm Gốc, Quốc lộ 51</t>
  </si>
  <si>
    <t>3602015288</t>
  </si>
  <si>
    <t>Công Ty Cổ Phần Thanh Đức Hạnh</t>
  </si>
  <si>
    <t>C304, Ấp Phước Lý</t>
  </si>
  <si>
    <t>3602016919</t>
  </si>
  <si>
    <t>Hội Phụ Nữ Huyện Nhơn Trạch</t>
  </si>
  <si>
    <t>3602044271</t>
  </si>
  <si>
    <t>Trung Tâm Phát Triển Quỹ Đất tỉnh Đồng Nai - Chi nhánh Nhơn Trạch</t>
  </si>
  <si>
    <t>Trung tâm huyện nhơn trạch, xã Phú Hội, huyện Nhơn Trạch</t>
  </si>
  <si>
    <t xml:space="preserve">3602052240                    </t>
  </si>
  <si>
    <t>Công ty TNHH MTV An Phú Tài</t>
  </si>
  <si>
    <t>Tổ 26, ấp Phước Hòa</t>
  </si>
  <si>
    <t>3602056125</t>
  </si>
  <si>
    <t>Hội Nông Dân Huyện Long Thành</t>
  </si>
  <si>
    <t>3602056132</t>
  </si>
  <si>
    <t>Hội Liên Hiệp Phụ Nữ huyện Long Thành</t>
  </si>
  <si>
    <t>3602080456</t>
  </si>
  <si>
    <t>Trường Mầm Non Phú Thạnh</t>
  </si>
  <si>
    <t>3602093021</t>
  </si>
  <si>
    <t>Hạt Kiểm Lâm Nhơn Trạch</t>
  </si>
  <si>
    <t>3602104280</t>
  </si>
  <si>
    <t>Trường Tiểu Học Phú Hội</t>
  </si>
  <si>
    <t>3602137695</t>
  </si>
  <si>
    <t>Ngân Hàng Chính Sách</t>
  </si>
  <si>
    <t xml:space="preserve">3600895157                    </t>
  </si>
  <si>
    <t>CÔNG TY TRÁCH NHIỆM HỮU HẠN BỘT KIM LOẠI JULIEN VIỆT NAM</t>
  </si>
  <si>
    <t>Đường số 6, KCN Nhơn Trạch I</t>
  </si>
  <si>
    <t xml:space="preserve">3600899313                    </t>
  </si>
  <si>
    <t>CÔNG TY TRÁCH NHIỆM HỮU HẠN HEMMAY</t>
  </si>
  <si>
    <t>Đường 7A, Khu Công nghiệp Nhơn Trạch II</t>
  </si>
  <si>
    <t>3600908014</t>
  </si>
  <si>
    <t>HỘ KINH DOANH LÊ THỊ NGỌC GIÀU</t>
  </si>
  <si>
    <t>Số 931, Tổ 06, Ấp Đất Mới, Xã Phú Hội, Huyện Nhơn Trạch, Đồng Nai</t>
  </si>
  <si>
    <t xml:space="preserve">3600909667                    </t>
  </si>
  <si>
    <t>CÔNG TY TNHH PERFECT VISION</t>
  </si>
  <si>
    <t xml:space="preserve">3600915678                    </t>
  </si>
  <si>
    <t>CÔNG TY TNHH JUNGANG VINA</t>
  </si>
  <si>
    <t>Lô B-108, KCN Dệt May Nhơn Trạch</t>
  </si>
  <si>
    <t>3600921738</t>
  </si>
  <si>
    <t>Trạm y tế xã Vĩnh Thanh</t>
  </si>
  <si>
    <t>Ấp Thành Công, xã Vĩnh Thanh, huyện Nhơn Trạch</t>
  </si>
  <si>
    <t>3600921992</t>
  </si>
  <si>
    <t>CÔNG TY CỔ PHẦN AN PHÚ THỊNH</t>
  </si>
  <si>
    <t>Khu 3, Ấp 7</t>
  </si>
  <si>
    <t xml:space="preserve">3600922386                    </t>
  </si>
  <si>
    <t>CÔNG TY TNHH YOUNG WIRE VINA</t>
  </si>
  <si>
    <t>Lô 11, đường N2, KCN Nhơn Trạch 5</t>
  </si>
  <si>
    <t>3600924231</t>
  </si>
  <si>
    <t>CÔNG TY TNHH NHẬT TRUNG</t>
  </si>
  <si>
    <t>Số 704C, Lê Duẩn, tổ 29, Khu Cầu Xéo</t>
  </si>
  <si>
    <t xml:space="preserve">3600933282                    </t>
  </si>
  <si>
    <t>CÔNG TY TNHH OTO VINA</t>
  </si>
  <si>
    <t>Đường N2, KCN Nhơn Trạch V</t>
  </si>
  <si>
    <t xml:space="preserve">3600938788                    </t>
  </si>
  <si>
    <t>CÔNG TY TNHH CÔNG NGHIỆP KING TAI</t>
  </si>
  <si>
    <t>Đường 7A, KCN Nhơn trạch II</t>
  </si>
  <si>
    <t>3600939069</t>
  </si>
  <si>
    <t>CÔNG TY TRÁCH NHIỆM HỮU HẠN OLYMPUS VIỆT NAM</t>
  </si>
  <si>
    <t xml:space="preserve">3600940385                    </t>
  </si>
  <si>
    <t>HTX Đóng Tàu xà Lan Nhơn Trạch</t>
  </si>
  <si>
    <t>Tổ 31, ấp 1</t>
  </si>
  <si>
    <t xml:space="preserve">3600941540                    </t>
  </si>
  <si>
    <t>Công Ty TNHH Phạm Long</t>
  </si>
  <si>
    <t>Số 2/70, ấp Phước Hòa, Quốc lộ 51</t>
  </si>
  <si>
    <t>3600942720</t>
  </si>
  <si>
    <t>CÔNG TY CỔ PHẦN VINA ĐẠI PHƯỚC</t>
  </si>
  <si>
    <t>Dự án Hoa Sen Đại Phước</t>
  </si>
  <si>
    <t xml:space="preserve">3600952341                    </t>
  </si>
  <si>
    <t>Công Ty TNHH Janisset Việt Nam</t>
  </si>
  <si>
    <t>C1-C3, Đường số 1, Khu Công nghiệp Long Thành</t>
  </si>
  <si>
    <t xml:space="preserve">3600955617                    </t>
  </si>
  <si>
    <t>CÔNG TY TNHH NHỰA PUSAN VINA</t>
  </si>
  <si>
    <t>KCN Dệt May Nhơn Trạch</t>
  </si>
  <si>
    <t xml:space="preserve">3600959481                    </t>
  </si>
  <si>
    <t>HTX Dịch Vụ Nông Nghiệp Phú Đông</t>
  </si>
  <si>
    <t>ấp Thị Cầu</t>
  </si>
  <si>
    <t>3600961787</t>
  </si>
  <si>
    <t>Trung Tâm Y Tế Huyện Nhơn Trạch</t>
  </si>
  <si>
    <t>ấp Xóm Hố</t>
  </si>
  <si>
    <t xml:space="preserve">3600241228                    </t>
  </si>
  <si>
    <t>CÔNG TY TNHH U.I.C VIỆT NAM</t>
  </si>
  <si>
    <t xml:space="preserve">3600242888                    </t>
  </si>
  <si>
    <t>CÔNG TY PHÂN BÓN VIỆT NHẬT</t>
  </si>
  <si>
    <t xml:space="preserve">3600249192                    </t>
  </si>
  <si>
    <t>CÔNG TY TRÁCH NHIỆM HỮU HẠN TONGKOOK VIỆT NAM SPINNING</t>
  </si>
  <si>
    <t xml:space="preserve">3602153753                    </t>
  </si>
  <si>
    <t>CÔNG TY TNHH MỘT THÀNH VIÊN THÉP PHÚ THẮNG</t>
  </si>
  <si>
    <t>Tổ 5, KP Mỹ Khoan</t>
  </si>
  <si>
    <t>3602180965</t>
  </si>
  <si>
    <t>CÔNG TY TNHH  LAM PHONG</t>
  </si>
  <si>
    <t>Số 25, tổ 2, ấp 3</t>
  </si>
  <si>
    <t>3602196203</t>
  </si>
  <si>
    <t xml:space="preserve">Công Ty TNHH TM DV&amp;XD Hiệp Phước Anh                                                             </t>
  </si>
  <si>
    <t xml:space="preserve">GD Phước Thái - Phước Thái - Long Thành - Đồng Nai                                            </t>
  </si>
  <si>
    <t>Huyện Xuân Lộc</t>
  </si>
  <si>
    <t>Thị trấn Gia Ray</t>
  </si>
  <si>
    <t xml:space="preserve">3600261552                    </t>
  </si>
  <si>
    <t>CÔNG TY CỔ PHẦN SẢN XUẤT NGƯ CỤ CHING FA</t>
  </si>
  <si>
    <t>Lô 5, KCN Nhơn Trạch II</t>
  </si>
  <si>
    <t>3600261626-003</t>
  </si>
  <si>
    <t>Công ty CP Vinacafe - BH</t>
  </si>
  <si>
    <t>KCN Biên Hòa 1, Biên Hòa, Đồng Nai</t>
  </si>
  <si>
    <t xml:space="preserve">3600964989                    </t>
  </si>
  <si>
    <t>CÔNG TY TRÁCH NHIỆM HỮU HẠN VIỄN THÔNG KINGHIGH.</t>
  </si>
  <si>
    <t>Đường 25B, KCN Nhơn trạch II</t>
  </si>
  <si>
    <t>3600965686</t>
  </si>
  <si>
    <t>CÔNG TY TNHH GIYEON VINA MACHINERY</t>
  </si>
  <si>
    <t>KCN Dệt may Nhơn trạch</t>
  </si>
  <si>
    <t xml:space="preserve">3600967115                    </t>
  </si>
  <si>
    <t>CÔNG TY CỔ PHẦN ĐẦU TƯ VÀ PHÁT TRIỂN VRG LONG THÀNH</t>
  </si>
  <si>
    <t>Lô E, KCN Lộc An-Bình Sơn</t>
  </si>
  <si>
    <t xml:space="preserve">3600975853                    </t>
  </si>
  <si>
    <t>CÔNG TY TNHH MYUNG SUNG CHEMICAL</t>
  </si>
  <si>
    <t>Lô B301-302, KCN Dệt May Nhơn Trạch</t>
  </si>
  <si>
    <t>3600976871-001</t>
  </si>
  <si>
    <t>Chi Nhánh Văn Phòng Luật Sư Phượng</t>
  </si>
  <si>
    <t xml:space="preserve">3600977120                    </t>
  </si>
  <si>
    <t>CÔNG TY CỔ PHẦN CẤP NƯỚC NHƠN TRẠCH</t>
  </si>
  <si>
    <t>Khu công nghiệp Nhơn Trạch, Đường Trần Phú</t>
  </si>
  <si>
    <t>3600984664</t>
  </si>
  <si>
    <t>VŨ THỊ NGỌC LIÊN</t>
  </si>
  <si>
    <t>Khu Văn Hải, Thị trấn Long Thành, Huyện Long Thành, Đồng Nai</t>
  </si>
  <si>
    <t xml:space="preserve">3600993027                    </t>
  </si>
  <si>
    <t>CÔNG TY TNHH ĐIỆN VÀ XÂY DỰNG ĐÔNG GIANG</t>
  </si>
  <si>
    <t>Số 632, đường Lý Thái Tổ, Ấp Phú Mỹ II</t>
  </si>
  <si>
    <t>3600993316</t>
  </si>
  <si>
    <t>CÔNG TY TNHH ILJIN VIỆT NAM</t>
  </si>
  <si>
    <t>Khu Công nghiệp Nhơn Trạch II- Nhơn Phú</t>
  </si>
  <si>
    <t xml:space="preserve">3600999484                    </t>
  </si>
  <si>
    <t>CÔNG TY TNHH NOROO-NANPAO PAINTS &amp; COATINGS (VIỆT NAM).</t>
  </si>
  <si>
    <t>KCN Nhơn trạch II</t>
  </si>
  <si>
    <t>3600267032</t>
  </si>
  <si>
    <t>Công ty TNHH Giống cây ăn trái Đồng nai VACDONA</t>
  </si>
  <si>
    <t>ấp 7, Ngã 3 Thái Lan, QL51</t>
  </si>
  <si>
    <t>3600271159</t>
  </si>
  <si>
    <t>Công Ty TNHH Trạm Xăng Dầu An Phước 2</t>
  </si>
  <si>
    <t>Quốc lộ 51, Khu 13</t>
  </si>
  <si>
    <t>3600271328-001</t>
  </si>
  <si>
    <t>Công Ty TNHH MTV Thảo Thành</t>
  </si>
  <si>
    <t>Ấp Xóm Gò, Xã Long Phước, Huyện Long Thành</t>
  </si>
  <si>
    <t>3601010600</t>
  </si>
  <si>
    <t>Quỹ Tín Dụng Nhân Dân Nhơn Trạch</t>
  </si>
  <si>
    <t>Đường Tôn Đức Thắng</t>
  </si>
  <si>
    <t xml:space="preserve">3601015052                    </t>
  </si>
  <si>
    <t>CÔNG TY TNHH NGỌC HẰNG</t>
  </si>
  <si>
    <t>Khu Chợ Mới, ấp 1C, Quốc lộ 51</t>
  </si>
  <si>
    <t>3601025558</t>
  </si>
  <si>
    <t>Cty TNHH Một Thành Viên Đô Long</t>
  </si>
  <si>
    <t>278, Tổ 2, ấp Cẩm Đường</t>
  </si>
  <si>
    <t>3601037641</t>
  </si>
  <si>
    <t>CÔNG TY TNHH XUÂN BẮC HÀ</t>
  </si>
  <si>
    <t>41/1, Khu Bàu Cá</t>
  </si>
  <si>
    <t>3601038204-066</t>
  </si>
  <si>
    <t>Chi Nhánh Công Ty Cổ Phần Xăng Dầu Tín Nghĩa -trạm Xăng Dầu Hiệp Phước</t>
  </si>
  <si>
    <t>Ấp 1, Đường Nguyễn Ái Quốc, Xã Long Thọ, Huyện Nhơn Trạch, Đồng Nai</t>
  </si>
  <si>
    <t>3601040845</t>
  </si>
  <si>
    <t>Công Ty TNHH Nguyễn Trí</t>
  </si>
  <si>
    <t>Văn phòng giao dịch: 84, Quốc lộ 51B, ấp Hàng Gòn</t>
  </si>
  <si>
    <t xml:space="preserve">3601042747                    </t>
  </si>
  <si>
    <t>CÔNG TY TRÁCH NHIỆM HỮU HẠN CHẾ BIẾN THỰC PHẨM THƯƠNG MẠI PHA LÊ</t>
  </si>
  <si>
    <t>Đường số 2, Khu công nghiệp Nhơn Trạch II-Nhơn Phú</t>
  </si>
  <si>
    <t>3601047713</t>
  </si>
  <si>
    <t>Công Ty TNHH một thành viên Đức Nai</t>
  </si>
  <si>
    <t>235 tổ 10, ấp Chợ</t>
  </si>
  <si>
    <t xml:space="preserve">3601050184                    </t>
  </si>
  <si>
    <t>CÔNG TY TRÁCH NHIỆM HỮU HẠN FRAMAS KOREA VINA</t>
  </si>
  <si>
    <t xml:space="preserve">3601055489                    </t>
  </si>
  <si>
    <t>CÔNG TY TNHH MY SUNG VN</t>
  </si>
  <si>
    <t xml:space="preserve"> Tổ 9, ấp Tập Phước</t>
  </si>
  <si>
    <t>3601123433</t>
  </si>
  <si>
    <t xml:space="preserve">Công ty TNHH MTV Vận Tải Hồng Phú Cường                                                                                                                                                          </t>
  </si>
  <si>
    <t xml:space="preserve">Tổ 11, ấp Bình Lâm, xã Lộc An, Huyện Long Thành, Tỉnh Đồng Nai, Việt Nam                                                                                                                       </t>
  </si>
  <si>
    <t xml:space="preserve">3601271313                    </t>
  </si>
  <si>
    <t>CÔNG TY TNHH MỘT THÀNH VIÊN CÁT MỸ</t>
  </si>
  <si>
    <t>Tổ 17, ấp Bến Cam</t>
  </si>
  <si>
    <t>3600899514</t>
  </si>
  <si>
    <t>CÔNG TY TNHH CÔNG NGHIỆP HỒNG XƯƠNG</t>
  </si>
  <si>
    <t>Số 6B, KCN Nhơn Trạch II</t>
  </si>
  <si>
    <t>3600899747</t>
  </si>
  <si>
    <t xml:space="preserve">Công Ty TNHH Thương Mại Dịch Vụ Tôn Trinh                                                                                                                                                           </t>
  </si>
  <si>
    <t xml:space="preserve">46 Đường Lê Quang Định, Khu Phước Hải, Thị trấn Long Thành, Huyện Long Thành, Đồng Nai                                                                                                         </t>
  </si>
  <si>
    <t>3600908367</t>
  </si>
  <si>
    <t>CÔNG TY CỔ PHẦN CÔNG NGHIỆP Ý MỸ</t>
  </si>
  <si>
    <t>Đường số 8, KCN Nhơn Trạch 2 - Nhơn Phú</t>
  </si>
  <si>
    <t>3600918397</t>
  </si>
  <si>
    <t>CÔNG TY TNHH THƯƠNG MẠI DỊCH VỤ PHÂN PHỐI NGUYỄN THANH PHƯƠNG</t>
  </si>
  <si>
    <t>Số 126, tổ 4, ấp Long phú</t>
  </si>
  <si>
    <t>3601373523</t>
  </si>
  <si>
    <t>LỚP MẪU GIÁO PHƯỚC SANG</t>
  </si>
  <si>
    <t>Khu Phố Phước Lai, Thị Trấn Hiệp Phước, Huyện Nhơn Trạch, Đồng Nai</t>
  </si>
  <si>
    <t>3601382895</t>
  </si>
  <si>
    <t>Công Ty TNHH Đồng Tấn An Phước</t>
  </si>
  <si>
    <t>Số 55B, Khu 1, ấp 7</t>
  </si>
  <si>
    <t xml:space="preserve">3601404757                    </t>
  </si>
  <si>
    <t>CÔNG TY TNHH MỘT THÀNH VIÊN TỨ QUÝ</t>
  </si>
  <si>
    <t xml:space="preserve"> số 79, ấp 3</t>
  </si>
  <si>
    <t>3601442551</t>
  </si>
  <si>
    <t>NGUYỄN THẾ HÙNG - HỘ KINH DOANH NGUYỄN HUY HOÀNG</t>
  </si>
  <si>
    <t>Tổ 3, Khu 13, Xã Long Đức, Huyện Long Thành, Đồng Nai</t>
  </si>
  <si>
    <t xml:space="preserve">3601451549                    </t>
  </si>
  <si>
    <t>LÂM THỊ HỒNG ANH</t>
  </si>
  <si>
    <t>256 Trường Chinh, Khu Phước Hải, Thị Trấn Long Thành, Huyện Long Thành, Đồng Nai</t>
  </si>
  <si>
    <t>3600922682</t>
  </si>
  <si>
    <t>Trung Tâm Y Tế Huyện Long Thành</t>
  </si>
  <si>
    <t>3600924834</t>
  </si>
  <si>
    <t>Công Ty TNHH Một Thành Viên Khách Sạn Hoàng Minh Châu</t>
  </si>
  <si>
    <t>L1 - L2 - L3, đường D1, khu dân cư phố Chợ, ấp 2, Phước Bình</t>
  </si>
  <si>
    <t>3600925789</t>
  </si>
  <si>
    <t xml:space="preserve">Công ty TNHH XD TM DV Đăng Khoa Phát                                                                                                                                                                 </t>
  </si>
  <si>
    <t xml:space="preserve">Đường 769, Số 191, ấp Bình Lâm - Xã Lộc An - Huyện Long Thành - Đồng Nai                                                                                                                       </t>
  </si>
  <si>
    <t>3600929060</t>
  </si>
  <si>
    <t>CÔNG TY TNHH TƯ VẤN - ĐẦU TƯ &amp; XÂY DỰNG HỢP THÀNH PHÁT</t>
  </si>
  <si>
    <t>Quốc lộ 51B</t>
  </si>
  <si>
    <t>3600932923</t>
  </si>
  <si>
    <t>CÔNG TY TNHH KIRBY ĐÔNG NAM Á</t>
  </si>
  <si>
    <t>KCN Nhơn Trạch III - Giai đoạn II</t>
  </si>
  <si>
    <t>3600940681</t>
  </si>
  <si>
    <t>CÔNG TY TNHH HOÀNG HỒNG ANH</t>
  </si>
  <si>
    <t>Số 17, tổ 1, ấp Hàng Gòn</t>
  </si>
  <si>
    <t xml:space="preserve">3600942745                    </t>
  </si>
  <si>
    <t>CÔNG TY TRÁCH NHIỆM HỮU HẠN SAM HWAN VINA</t>
  </si>
  <si>
    <t xml:space="preserve">3600956970                    </t>
  </si>
  <si>
    <t>CÔNG TY TNHH MỘT THÀNH VIÊN THƯƠNG MẠI - DỊCH VỤ MINH KHUÊ</t>
  </si>
  <si>
    <t>Cảng Gò dầu B</t>
  </si>
  <si>
    <t xml:space="preserve">3600958953                    </t>
  </si>
  <si>
    <t>CÔNG TY TNHH QUỐC TẾ XIN GUAN XING VIỆT NAM</t>
  </si>
  <si>
    <t>Ấp 8, Đường 769, Cụm Công nghiệp Bình Sơn</t>
  </si>
  <si>
    <t>3600973905</t>
  </si>
  <si>
    <t>Công Ty Cổ Phần Dịch Vụ Bảo Vệ Bảo Sơn - Đồng Nai</t>
  </si>
  <si>
    <t>Đường 319 B, ấp Bến Cam</t>
  </si>
  <si>
    <t xml:space="preserve">3600974680                    </t>
  </si>
  <si>
    <t>CÔNG TY TNHH MỘT THÀNH VIÊN TRIỆU CHÍ CẢNH</t>
  </si>
  <si>
    <t>Số 9, ấp 6</t>
  </si>
  <si>
    <t>3600975839</t>
  </si>
  <si>
    <t>CÔNG TY CỔ PHẦN ĐẦU TƯ XÂY DỰNG LẮP MÁY IDICO</t>
  </si>
  <si>
    <t>KM 23, Quốc lộ 51, Ấp 1</t>
  </si>
  <si>
    <t>3600980726</t>
  </si>
  <si>
    <t>CÔNG TY TNHH GIẤY HÂN PHÁT</t>
  </si>
  <si>
    <t>Số 29, Tổ 2, KP Phước Mỹ</t>
  </si>
  <si>
    <t>3601799142</t>
  </si>
  <si>
    <t>CÔNG TY TNHH MỘT THÀNH VIÊN NHUẬN LỘC PHÁT</t>
  </si>
  <si>
    <t>Văn phòng giao dịch: 19, Tổ 14, Khu Phố Phước Kiểng</t>
  </si>
  <si>
    <t xml:space="preserve">3601799181                    </t>
  </si>
  <si>
    <t>CÔNG TY TNHH CƠ KHÍ DỊCH VỤ VINH SƠN</t>
  </si>
  <si>
    <t>3601956966</t>
  </si>
  <si>
    <t>Ủy Ban Mặt Trận Huyện Nhơn Trạch</t>
  </si>
  <si>
    <t xml:space="preserve">3601992410                    </t>
  </si>
  <si>
    <t>CÔNG TY CỔ PHẦN TƯ VẤN XÂY DỰNG PHƯỚC HƯNG</t>
  </si>
  <si>
    <t>Văn phòng giao dịch: Lầu 1, Tòa nhà DonaCoop, khu Phước Hải,</t>
  </si>
  <si>
    <t xml:space="preserve">3600993605                    </t>
  </si>
  <si>
    <t>Công Ty TNHH Một Thành Viên Dũng Mạnh</t>
  </si>
  <si>
    <t>3600995218</t>
  </si>
  <si>
    <t>DNTN  Bạch Mai</t>
  </si>
  <si>
    <t>ấp 7</t>
  </si>
  <si>
    <t>3601009323</t>
  </si>
  <si>
    <t>CÔNG TY TNHH MỘT THÀNH VIÊN SX-TM-DV CHÂU BẢO UYÊN</t>
  </si>
  <si>
    <t>Số 2, ấp 6</t>
  </si>
  <si>
    <t xml:space="preserve">3602018377                    </t>
  </si>
  <si>
    <t>CÔNG TY TNHH SUN METALLURGY</t>
  </si>
  <si>
    <t>Đường N4, KCN Dệt May Nhơn Trạch</t>
  </si>
  <si>
    <t xml:space="preserve">3602024162                    </t>
  </si>
  <si>
    <t>Công ty TNHH TM &amp; Vận Tải Rồng Bay</t>
  </si>
  <si>
    <t>Số 064, Tổ 2, ấp Hiền Hòa</t>
  </si>
  <si>
    <t>3601019882</t>
  </si>
  <si>
    <t>Công Ty TNHH Daeyang Vina Precision</t>
  </si>
  <si>
    <t xml:space="preserve">3601022927                    </t>
  </si>
  <si>
    <t>Công Ty TNHH Một Thành Viên Ngọc Minh Anh</t>
  </si>
  <si>
    <t>Khu Phước Hải, Quốc lộ 51B</t>
  </si>
  <si>
    <t xml:space="preserve">3601025389                    </t>
  </si>
  <si>
    <t>DOANH NGHIỆP TƯ NHÂN DUY KHANG</t>
  </si>
  <si>
    <t>Khu 4, ấp 5</t>
  </si>
  <si>
    <t>3601026463</t>
  </si>
  <si>
    <t xml:space="preserve">Cty TNHH 1 TV Hà Thịnh                                                                                                                                                                                 </t>
  </si>
  <si>
    <t xml:space="preserve">Số 122 ấp Long Phú - Phước Thái - Long Thành - Đồng Nai                                                                                                                                          </t>
  </si>
  <si>
    <t>3601038204-049</t>
  </si>
  <si>
    <t>TRẠM XĂNG DẦU NHƠN TRẠCH - CÔNG TY CỔ PHẦN XĂNG DẦU TÍN NGHĨA</t>
  </si>
  <si>
    <t>Tỉnh Lộ 25, KCN Nhơn Trạch 3, Thị trấn Hiệp Phước, Huyện Nhơn Trạch, Đồng Nai</t>
  </si>
  <si>
    <t>3602056157</t>
  </si>
  <si>
    <t>UBMT Tổ Quốc Long Thành</t>
  </si>
  <si>
    <t>3602072656</t>
  </si>
  <si>
    <t>Doanh Nghiệp Tư Nhân Bình Phát</t>
  </si>
  <si>
    <t>Số 28, Tổ 1, ấp 5</t>
  </si>
  <si>
    <t>3602076932</t>
  </si>
  <si>
    <t>Phòng thống kê huyện Nhơn Trạch</t>
  </si>
  <si>
    <t>3602082206</t>
  </si>
  <si>
    <t>Huyện Đoàn Nhơn Trạch</t>
  </si>
  <si>
    <t>Khu TTHC Nhơn Trạch, Xã Phú Hội, Huyện Nhơn Trạch</t>
  </si>
  <si>
    <t>3602082904</t>
  </si>
  <si>
    <t>Hội Cựu Chiến Binh Huyện Nhơn Trạch</t>
  </si>
  <si>
    <t>Khu Trung Tâm Hành Chánh, Xã Phú Hội, Huyện Nhơn Trạch</t>
  </si>
  <si>
    <t>3602101970</t>
  </si>
  <si>
    <t>Trường TH Phước Thiền 1</t>
  </si>
  <si>
    <t>Ấp Chợ, Đường Tôn Đức Thắng, Xã Phước Thiền, Huyện Nhơn Trạch, Đồng Nai</t>
  </si>
  <si>
    <t>Phường Xuân An</t>
  </si>
  <si>
    <t>3602125812</t>
  </si>
  <si>
    <t>CÔNG TY TRÁCH NHIỆM HỮU HẠN SANHER (VIỆT NAM)</t>
  </si>
  <si>
    <t>KCN Nhơn Trạch III - giai đoạn 2</t>
  </si>
  <si>
    <t>3602129119</t>
  </si>
  <si>
    <t>Đảng Ủy Xã Phước An - Huyện Nhơn Trạch</t>
  </si>
  <si>
    <t>Đảng Ủy Xã Phước An, Ấp Bàu Bông, Xã Phước An, Huyện Nhơn Trạch, Đồng Nai</t>
  </si>
  <si>
    <t>3602134870</t>
  </si>
  <si>
    <t>Văn Phòng HĐND &amp; UBND Huyện Nhơn Trạch</t>
  </si>
  <si>
    <t>Số 01, Phạm Văn Thuận, Ấp Xóm Hố, Xã Phú Hội, Huyện Nhơn Trạch, Đồng Nai</t>
  </si>
  <si>
    <t>3602150544</t>
  </si>
  <si>
    <t xml:space="preserve">CTy TNHH Hòang Phương Trang                                                                                                                                                                            </t>
  </si>
  <si>
    <t xml:space="preserve">ấp 1 - Hiệp Phước - Nhơn Trạch - Đồng Nai                                                                                                                                                          </t>
  </si>
  <si>
    <t xml:space="preserve">3600334200                    </t>
  </si>
  <si>
    <t>CÔNG TY CỔ PHẦN NGÔ HAN (CHUYỂN ĐỔI TỪ CÔNG TY TNHH NGÔ HAN, SỐ ĐKKD: 052914, CẤP NGÀY 16/6/1997)</t>
  </si>
  <si>
    <t>Ấp Hiền Đức</t>
  </si>
  <si>
    <t>3600354454</t>
  </si>
  <si>
    <t>Chi cục thi hành án dân sự huyện Long Thành</t>
  </si>
  <si>
    <t>Khu phước hải, TT Long Thành, huyện Long Thành</t>
  </si>
  <si>
    <t>3600354630</t>
  </si>
  <si>
    <t>Ủy Ban Nhân Dân Xã Tam An</t>
  </si>
  <si>
    <t>Ấp 4, Xã Tam An, Huyện Long Thành, Đồng Nai</t>
  </si>
  <si>
    <t>3600354694</t>
  </si>
  <si>
    <t>UBND Xã Tân Hiệp</t>
  </si>
  <si>
    <t>Ấp 6, Xã Tân Hiệp, Huyện Long Thành</t>
  </si>
  <si>
    <t xml:space="preserve">3601065310                    </t>
  </si>
  <si>
    <t>Cty TNHH Phú Tâm</t>
  </si>
  <si>
    <t>K4/220, Khu Văn Hải, QL 51A</t>
  </si>
  <si>
    <t>3601165386</t>
  </si>
  <si>
    <t>HTX Rau Hải Sơn</t>
  </si>
  <si>
    <t>Tổ 21, Khu Kim Sơn</t>
  </si>
  <si>
    <t>3601215975</t>
  </si>
  <si>
    <t xml:space="preserve">Cửa Hàng Lộc An                                                                                  </t>
  </si>
  <si>
    <t xml:space="preserve">227 Tổ 1 - ấp Bình Lâm  - Xã Lộc An - Huyện Long Thành - Đồng Nai                           </t>
  </si>
  <si>
    <t>3601229921</t>
  </si>
  <si>
    <t>Công Ty TNHH Đức Hồng</t>
  </si>
  <si>
    <t>16/8, ấp 4</t>
  </si>
  <si>
    <t>3601233685</t>
  </si>
  <si>
    <t xml:space="preserve">Công ty tnhh Sản Xuất thương mại Tuyền Vi                                                      </t>
  </si>
  <si>
    <t xml:space="preserve">A-9 ấ6 - Tân Hiệp - Long Thành - Đồng Nai                                                      </t>
  </si>
  <si>
    <t>3600355352</t>
  </si>
  <si>
    <t>UBND Xã Bình Sơn</t>
  </si>
  <si>
    <t>3600355391</t>
  </si>
  <si>
    <t>UBND Xã Phước Bình</t>
  </si>
  <si>
    <t>Ấp 01, Xã Phước Bình, Huyện Long Thành, Đồng Nai</t>
  </si>
  <si>
    <t xml:space="preserve">3600360169                    </t>
  </si>
  <si>
    <t>CÔNG TY TRÁCH NHIỆM HỮU HẠN AICA ĐỒNG NAI</t>
  </si>
  <si>
    <t>3601403802</t>
  </si>
  <si>
    <t>Công Ty TNHH Một Thành Viên Phạm Hoàng Tuấn</t>
  </si>
  <si>
    <t>Tổ 20, Ấp Phước Hòa, Quốc lộ 51</t>
  </si>
  <si>
    <t xml:space="preserve">3602196637                    </t>
  </si>
  <si>
    <t>CÔNG TY TNHH MỘT THÀNH VIÊN TRƯƠNG GIA HƯNG</t>
  </si>
  <si>
    <t>72A, ấp 1C</t>
  </si>
  <si>
    <t xml:space="preserve">3602216876                    </t>
  </si>
  <si>
    <t>Công ty TNHH Cao Su, Nhựa &amp; Cơ Khí Bazan</t>
  </si>
  <si>
    <t>3601530021</t>
  </si>
  <si>
    <t>Công Ty TNHH Một Thành Viên Phát Thành Công</t>
  </si>
  <si>
    <t>3601535460</t>
  </si>
  <si>
    <t>Công Ty TNHH Vưu Đức Phát</t>
  </si>
  <si>
    <t>Số 185, ấp 1A, QL 51, Xã Phước Thái</t>
  </si>
  <si>
    <t>3601569910</t>
  </si>
  <si>
    <t>CÔNG TY TNHH PHÚ TÂM PHÁT</t>
  </si>
  <si>
    <t>66/B, ấp 5</t>
  </si>
  <si>
    <t>3601572800</t>
  </si>
  <si>
    <t>NGUYỄN ĐỨC TRÍ</t>
  </si>
  <si>
    <t>Số 84, QL 51b, Ấp Hàng Gòn, Xã Lộc An, Huyện Long Thành, Đồng Nai</t>
  </si>
  <si>
    <t>3601600342-001</t>
  </si>
  <si>
    <t xml:space="preserve">CN Công Ty TNHH Tồn Hồng                                                                                                                                                                            </t>
  </si>
  <si>
    <t xml:space="preserve">Xã Phước Thiền - Huyện Nhơn Trạch - Đồng Nai                                                                                                                                                      </t>
  </si>
  <si>
    <t xml:space="preserve">3602226088                    </t>
  </si>
  <si>
    <t>CÔNG TY TNHH MỘT THÀNH VIÊN CONCORD TEXTILE CORPORATION VIETNAM</t>
  </si>
  <si>
    <t>3602233053</t>
  </si>
  <si>
    <t>CÔNG TY TNHH LÂM PHƯƠNG VIỆT</t>
  </si>
  <si>
    <t>79A, Khu Văn Hải</t>
  </si>
  <si>
    <t>3602237058</t>
  </si>
  <si>
    <t>CÔNG TY TNHH XÂY DỰNG CƠ GIỚI HÙNG MINH</t>
  </si>
  <si>
    <t>Số 612, ấp Bến Cam, Tỉnh Lộ 319</t>
  </si>
  <si>
    <t>3602267503</t>
  </si>
  <si>
    <t>Trường Tiểu Học Trần Quốc Toản</t>
  </si>
  <si>
    <t>Tổ 3 Suối Quýt, Xã Cẩm Đường, Huyện Long Thành</t>
  </si>
  <si>
    <t>3602269998</t>
  </si>
  <si>
    <t>Trường THCS Thị Trấn Long Thành</t>
  </si>
  <si>
    <t>Khu Phước Thuận, Thị trấn Long Thành, Huyện Long Thành, Đồng Nai</t>
  </si>
  <si>
    <t>3602270129</t>
  </si>
  <si>
    <t>Công Ty Tnhh Mtv Dược Phẩm Trung Thu</t>
  </si>
  <si>
    <t>Tổ 32, Khu Cầu Xéo, Tt Long Thành, Huyện Long Thành</t>
  </si>
  <si>
    <t>3602203764</t>
  </si>
  <si>
    <t>CÔNG TY TNHH VĨNH TÙNG</t>
  </si>
  <si>
    <t>Số 54, tổ 15, khu phố Mỹ Khoan</t>
  </si>
  <si>
    <t>3602207776</t>
  </si>
  <si>
    <t xml:space="preserve">CTy TNHH Hồng Linh Thư                                                                                                                                                                                </t>
  </si>
  <si>
    <t xml:space="preserve">Tổ 25 Khu Kim Sơn - TT Long Thành - Long Thành - Đồng Nai                                                                                                                                           </t>
  </si>
  <si>
    <t xml:space="preserve">3602212751                    </t>
  </si>
  <si>
    <t>CÔNG TY TNHH MỘT THÀNH VIÊN THƯƠNG MẠI DỊCH VỤ TRANG HOÀNG PHƯƠNG</t>
  </si>
  <si>
    <t>Số 194, Quốc lộ 51, ấp Hiền Hòa</t>
  </si>
  <si>
    <t>3602213226</t>
  </si>
  <si>
    <t xml:space="preserve">DNTN Cùng Tiến                                                                                                                                                                                        </t>
  </si>
  <si>
    <t xml:space="preserve">Tổ 17 ấp Bến Cam - Phước Thiền - Nhơn Trạch - Đồng Nai                                                                                                                                           </t>
  </si>
  <si>
    <t xml:space="preserve">3602223143                    </t>
  </si>
  <si>
    <t>CÔNG TY TNHH MỘT THÀNH VIÊN HOA ĐỆ NHẤT</t>
  </si>
  <si>
    <t>Số 57B, ấp 7</t>
  </si>
  <si>
    <t>3602228945</t>
  </si>
  <si>
    <t>Công Ty TNHH Thương Mại Dịch Vụ Việt Hưng Phát</t>
  </si>
  <si>
    <t>Tổ 32, Khu Cầu Xéo</t>
  </si>
  <si>
    <t>3602231088</t>
  </si>
  <si>
    <t>DNTN Triệu Lệ</t>
  </si>
  <si>
    <t>Tổ 11, Khu Cầu Xéo</t>
  </si>
  <si>
    <t xml:space="preserve">3602266267                    </t>
  </si>
  <si>
    <t>Trường Tiểu Học Tam Thiện</t>
  </si>
  <si>
    <t>Tổ 1 ấp 3, xã Phước Thái, huyện Long Thành</t>
  </si>
  <si>
    <t xml:space="preserve">3602269099                    </t>
  </si>
  <si>
    <t>Trường Mầm Non Bình Sơn</t>
  </si>
  <si>
    <t>Ấp 7, Xã Bình Sơn, Huyện Long Thành, Đồng Nai</t>
  </si>
  <si>
    <t>3602269885</t>
  </si>
  <si>
    <t>Trường Mầm Non Long Phước</t>
  </si>
  <si>
    <t>Ấp Đất Mới, Xã Long Phước, Huyện Long Thành, Đồng Nai</t>
  </si>
  <si>
    <t>3602270048</t>
  </si>
  <si>
    <t>CÔNG TY TNHH MỘT THÀNH VIÊN ĐỒNG PHÁT TÁM TRÍ</t>
  </si>
  <si>
    <t xml:space="preserve">3602272327                    </t>
  </si>
  <si>
    <t>Doanh Nghiệp Tư Nhân Thanh Tâm Lộc An</t>
  </si>
  <si>
    <t>Số 81, Ấp Hàng Gòn</t>
  </si>
  <si>
    <t xml:space="preserve">3602279474                    </t>
  </si>
  <si>
    <t>Công Ty TNHH Một Thành Viên Chí Hải</t>
  </si>
  <si>
    <t>Tổ 23, ấp Bến Sắn</t>
  </si>
  <si>
    <t>3602283167</t>
  </si>
  <si>
    <t>Công ty TNHH Nam Đông</t>
  </si>
  <si>
    <t>QL51B, Kios số 8, tổ 16, khu Phước Hải</t>
  </si>
  <si>
    <t>3601952915</t>
  </si>
  <si>
    <t>Hội Khuyến Học</t>
  </si>
  <si>
    <t>Ấp Phú Mỹ 1, Xã Phú Hội, Huyện Nhơn Trạch, Đồng Nai</t>
  </si>
  <si>
    <t xml:space="preserve">3601965784                    </t>
  </si>
  <si>
    <t>CÔNG TY TNHH MỘT THÀNH VIÊN TƯỜNG VŨ</t>
  </si>
  <si>
    <t>Tổ 19, ấp Bà Ký</t>
  </si>
  <si>
    <t>3601997948</t>
  </si>
  <si>
    <t>Công Ty TNHH Một Thành Viên Cây Xanh Trang Phương</t>
  </si>
  <si>
    <t>Tổ 2, ấp Bến Cam</t>
  </si>
  <si>
    <t>3602000757</t>
  </si>
  <si>
    <t>Phòng tư pháp huyện Nhơn Trạch</t>
  </si>
  <si>
    <t>3602016884</t>
  </si>
  <si>
    <t>3602025462</t>
  </si>
  <si>
    <t>Liên Đoàn Lao Động Huyện Nhơn Trạch</t>
  </si>
  <si>
    <t>Khu Trung Tâm Hành Chính, Xã Phú Hội, Huyện Nhơn Trạch</t>
  </si>
  <si>
    <t xml:space="preserve">3602029555                    </t>
  </si>
  <si>
    <t>CÔNG TY TNHH TOP SOLVENT (VIỆT NAM)</t>
  </si>
  <si>
    <t>3602044345</t>
  </si>
  <si>
    <t>Công Ty TNHH Daemyung Chemical (Việt Nam)</t>
  </si>
  <si>
    <t>Đường số 5, KCN Long Thành, Xã Tam An, Huyện Long Thành, Đồng Nai</t>
  </si>
  <si>
    <t>3602045966</t>
  </si>
  <si>
    <t>Phòng Giao Dịch Ngân Hàng Chính Sách Xã Hội Huyện Nhơn Trạch</t>
  </si>
  <si>
    <t>Đường Nguyễn Hữu Cảnh, Ấp Xóm Hố, Xã Phú Hội, Huyện Nhơn Trạch, Đồng Nai</t>
  </si>
  <si>
    <t xml:space="preserve">3602046984                    </t>
  </si>
  <si>
    <t>CÔNG TY TRÁCH NHIỆM HỮU HẠN WISE CREATION</t>
  </si>
  <si>
    <t>Cụm Công Nghiệp Bình Sơn</t>
  </si>
  <si>
    <t>3600363402</t>
  </si>
  <si>
    <t>CÔNG TY TNHH SẢN XUẤT THƯƠNG MẠI THÁI QUỐC BẢO</t>
  </si>
  <si>
    <t>Số 75A, ấp 8</t>
  </si>
  <si>
    <t xml:space="preserve">Tuyeán Tam Phöôùc 5                               </t>
  </si>
  <si>
    <t xml:space="preserve">3600364533                    </t>
  </si>
  <si>
    <t>CÔNG TY TNHH MỘT THÀNH VIÊN DỊCH VỤ THƯƠNG MẠI THANH CAO</t>
  </si>
  <si>
    <t>198, đường Lê Duẩn, Quốc lộ 51A, Khu Bàu Cá</t>
  </si>
  <si>
    <t>3600378430</t>
  </si>
  <si>
    <t>CÔNG TY TNHH THIẾT BỊ PHÒNG CHÁY VÀ CHỮA CHÁY THĂNG LONG</t>
  </si>
  <si>
    <t>Số 1, tổ 14, ấp Xóm Gốc, Quốc lộ 51</t>
  </si>
  <si>
    <t>3602294352</t>
  </si>
  <si>
    <t xml:space="preserve">Công Ty TNHH Một Thành Viên Thương Mại Và Dịch Vụ Thiên An An                                                                                                                                   </t>
  </si>
  <si>
    <t xml:space="preserve">116, ấp Hàng Gòn, Quốc Lộ 51B, Xã Lộc An, Huyện Long Thành, Tỉnh Đồng Nai                                                                                                                     </t>
  </si>
  <si>
    <t>3602295980</t>
  </si>
  <si>
    <t>Trường Tiểu Học Cẩm Đường</t>
  </si>
  <si>
    <t>Tổ 7, Xã Cẩm Đường, Huyện Long Thành</t>
  </si>
  <si>
    <t>3602301419</t>
  </si>
  <si>
    <t>Trường Tiểu Học Long Thành A</t>
  </si>
  <si>
    <t>3600411423-002</t>
  </si>
  <si>
    <t>CÔNG TY TNHH OJITEX (VIỆT NAM) – CHI NHÁNH LONG THÀNH</t>
  </si>
  <si>
    <t>Lô H, KCN Lộc An, Xã Bình Sơn, Huyện Long Thành, Đồng Nai</t>
  </si>
  <si>
    <t>3600434452</t>
  </si>
  <si>
    <t>UBND Xã Vĩnh Thanh</t>
  </si>
  <si>
    <t>Ấp Thành Công, Xã Vĩnh Thanh, Huyện Nhơn Trạch</t>
  </si>
  <si>
    <t xml:space="preserve">3600445461-001                </t>
  </si>
  <si>
    <t>Chi Nhánh Công Ty TNHH Vận Tải Phương Nguyễn - Nhà Máy Giết Mổ Gia Súc Tập Trung Phúc An Hưng</t>
  </si>
  <si>
    <t>Ấp 3, Xã Long An, Huyện Long Thành, Đồng Nai</t>
  </si>
  <si>
    <t xml:space="preserve">3602301539                    </t>
  </si>
  <si>
    <t>TRƯỜNG MẦM NON LỘC AN</t>
  </si>
  <si>
    <t>Trường Mầm non Lộc An, Khu tái định cư Lộc An - Bình Sơn, Xã Lộc An, Huyện Long Thành, Đồng Nai</t>
  </si>
  <si>
    <t xml:space="preserve">3602302324                    </t>
  </si>
  <si>
    <t>CÔNG TY TNHH TRANG TRÍ NỘI THẤT PHONG THẢO</t>
  </si>
  <si>
    <t>Ấp Hàng Gòn, Tỉnh lộ 769</t>
  </si>
  <si>
    <t>3602304681</t>
  </si>
  <si>
    <t xml:space="preserve">Cty TNHH MTV Phú Hải Cường                                                                                                                                                                           </t>
  </si>
  <si>
    <t xml:space="preserve">Tổ 7 ấp 1  - Hiệp Phước - Nhơn Trạch - Đồng Nai                                                                                                                                                   </t>
  </si>
  <si>
    <t xml:space="preserve">3602304730                    </t>
  </si>
  <si>
    <t>CÔNG TY TNHH MỘT THÀNH VIÊN SẢN XUẤT - THƯƠNG MẠI - DỊCH VỤ THỊNH TRƯỜNG AN</t>
  </si>
  <si>
    <t>Số 85/52/1, tổ 12, ấp 5</t>
  </si>
  <si>
    <t>3602311801</t>
  </si>
  <si>
    <t>Trạm Y Tế Tam An</t>
  </si>
  <si>
    <t>Ấp 4, Xã Tam An, Huyện Long Thành</t>
  </si>
  <si>
    <t xml:space="preserve">3602331170                    </t>
  </si>
  <si>
    <t>Văn Phòng Công chứng An Hoà</t>
  </si>
  <si>
    <t>QL51 ấp Xóm Gò</t>
  </si>
  <si>
    <t>3602332840</t>
  </si>
  <si>
    <t xml:space="preserve">CTY TNHH 1TV TM và XD Kiến Duyên                                                                 </t>
  </si>
  <si>
    <t xml:space="preserve">44 tổ 6 ấp 5  - Hiệp Phước - Nhơn Trạch - Đồng Nai                                            </t>
  </si>
  <si>
    <t>3600451592</t>
  </si>
  <si>
    <t>CÔNG TY TNHH MỘT THÀNH VIÊN DỊCH VỤ THƯƠNG MẠI BẢY HƯƠNG</t>
  </si>
  <si>
    <t>Số K 1/52, Khu Văn Hải</t>
  </si>
  <si>
    <t xml:space="preserve">3600462308                    </t>
  </si>
  <si>
    <t>CÔNG TY TNHH KHKT TEXHONG NHƠN TRẠCH</t>
  </si>
  <si>
    <t>3600476195-002</t>
  </si>
  <si>
    <t>Chi Nhánh 2 -công Ty TNHH MTV Ngọc Thanh 1</t>
  </si>
  <si>
    <t>275a Tổ 9 Ấp Bến Cam, Xã Phước Thiền, Huyện Nhơn Trạch</t>
  </si>
  <si>
    <t xml:space="preserve">3600492366                    </t>
  </si>
  <si>
    <t>CÔNG TY TNHH ĐÀI ĐẠT</t>
  </si>
  <si>
    <t>3600493031</t>
  </si>
  <si>
    <t>CÔNG TY TNHH VIỆT HÓA</t>
  </si>
  <si>
    <t>Đường Giải Phóng, tổ 5, ấp 3</t>
  </si>
  <si>
    <t xml:space="preserve">3602352438                    </t>
  </si>
  <si>
    <t>Công Ty TNHH Một Thành Viên Khải Mỹ</t>
  </si>
  <si>
    <t>Số 19A, ấp An Lâm, Xã Long An</t>
  </si>
  <si>
    <t>3602363535</t>
  </si>
  <si>
    <t>CÔNG TY TRÁCH NHIỆM HỮU HẠN DONG KWANG VIỆT NAM</t>
  </si>
  <si>
    <t>3602364024</t>
  </si>
  <si>
    <t>Công Ty TNHH  Mạnh Quang</t>
  </si>
  <si>
    <t>Tổ 3, ấp Bến Cam</t>
  </si>
  <si>
    <t xml:space="preserve">3602364916                    </t>
  </si>
  <si>
    <t>CÔNG TY TNHH ZAGRO VIỆT NAM</t>
  </si>
  <si>
    <t>Lô 9, Khu Công nghiệp Long Thành</t>
  </si>
  <si>
    <t>3602056252</t>
  </si>
  <si>
    <t>Tòa Án Nhân Dân Huyện Long Thành</t>
  </si>
  <si>
    <t>187 Lê Duẩn, Khu Phước Hải, Thị trấn Long Thành, Huyện Long Thành, Đồng Nai</t>
  </si>
  <si>
    <t xml:space="preserve">3602072423                    </t>
  </si>
  <si>
    <t xml:space="preserve">TRÖÔØNG THCS PHÖÔÙC KHAÙNH                                                                          </t>
  </si>
  <si>
    <t xml:space="preserve">AÁp 2, Xaõ Phöôùc Khaùnh, Huyeän Nhôn Traïch, Tænh Ñoàng Nai                                                            </t>
  </si>
  <si>
    <t>3602091320</t>
  </si>
  <si>
    <t>CÔNG TY CỔ PHẦN ĐẦU TƯ SEN VIỆT CÔNG THƯƠNG</t>
  </si>
  <si>
    <t>Tổ 45, khu B, đường Lý Thái Tổ, ấp Phước Lý</t>
  </si>
  <si>
    <t xml:space="preserve">3602101811                    </t>
  </si>
  <si>
    <t>Trường Mầm Non Long Thọ</t>
  </si>
  <si>
    <t>Ấp 3, Xã Long Thọ, Huyện Nhơn Trạch, Đồng Nai</t>
  </si>
  <si>
    <t xml:space="preserve">3602136814                    </t>
  </si>
  <si>
    <t>CÔNG TY CỔ PHẦN BÊ TÔNG LY TÂM ĐỒNG NAI</t>
  </si>
  <si>
    <t>Đường số 2, Khu công nghiệp Nhơn Trạch 3</t>
  </si>
  <si>
    <t>3602148707</t>
  </si>
  <si>
    <t>CƠ SỞ CAI NGHIỆN MA TÚY PHƯỚC BÌNH</t>
  </si>
  <si>
    <t>Ấp 04, Xã Phước Bình, Huyện Long Thành, Đồng Nai</t>
  </si>
  <si>
    <t>3602156754</t>
  </si>
  <si>
    <t xml:space="preserve">Công Ty Cổ Phần Xi Măng Hiền Hòa Phát                                                                                                                                                            </t>
  </si>
  <si>
    <t xml:space="preserve">Số 38/15, Quốc Lộ 51, tổ 26B, Thị Trấn Long Thành, huyện Long Thành, tỉnh Đồng Nai, Việt N                                                                                                    </t>
  </si>
  <si>
    <t>3602377094</t>
  </si>
  <si>
    <t>Thanh Tra Huyện Long Thành</t>
  </si>
  <si>
    <t>Khu Phước Hải, Thị Trấn Long Thành, Huyện Long Thành, Đồng Nai</t>
  </si>
  <si>
    <t>3602377111</t>
  </si>
  <si>
    <t>Phòng Văn Hóa Và Thông Tin Huyện Long Thành</t>
  </si>
  <si>
    <t>Ấp 3, Xã An Phước, Huyện Long Thành</t>
  </si>
  <si>
    <t>3602377150</t>
  </si>
  <si>
    <t>CÔNG TY TNHH MỘT THÀNH VIÊN HÓA CẢNH</t>
  </si>
  <si>
    <t>Tổ 6, ấp 1</t>
  </si>
  <si>
    <t xml:space="preserve">3602387166                    </t>
  </si>
  <si>
    <t>CÔNG TY TNHH PEARLCOIN (VIỆT NAM)</t>
  </si>
  <si>
    <t>3602196891</t>
  </si>
  <si>
    <t>CÔNG TY TNHH DỊCH VỤ THƯƠNG MẠI THÀNH ĐIỆP</t>
  </si>
  <si>
    <t>Tổ 6, ấp Hàng Gòn</t>
  </si>
  <si>
    <t xml:space="preserve">3602197944                    </t>
  </si>
  <si>
    <t>CÔNG TY TNHH THƯƠNG MẠI VÀ DỊCH VỤ HOÀNG MINH HUY</t>
  </si>
  <si>
    <t>Số 411, Ấp Bến Sắn</t>
  </si>
  <si>
    <t xml:space="preserve">3602217238                    </t>
  </si>
  <si>
    <t>CÔNG TY CỔ PHẦN SÀI GÒN - ĐỒNG NAI</t>
  </si>
  <si>
    <t>Ấp 5, Quốc lộ 51</t>
  </si>
  <si>
    <t>3602401068</t>
  </si>
  <si>
    <t xml:space="preserve">Công Ty TNHH Một Thành Viên Thương Mại Dịch Vụ Nguồn Sống Xanh                                                                                                                                  </t>
  </si>
  <si>
    <t xml:space="preserve">3602417685                    </t>
  </si>
  <si>
    <t>Công Ty TNHH Thuỷ Triều Phát</t>
  </si>
  <si>
    <t>Tổ 12, ấp 1</t>
  </si>
  <si>
    <t>3602418720</t>
  </si>
  <si>
    <t>CÔNG TY TNHH KHÍ CÔNG NGHIỆP THANH LONG</t>
  </si>
  <si>
    <t>Tổ 19, Khu Phước Thuận</t>
  </si>
  <si>
    <t xml:space="preserve">3600510960                    </t>
  </si>
  <si>
    <t>CÔNG TY CỔ PHẦN DƯỢC PHẨM AMPHARCO U.S.A</t>
  </si>
  <si>
    <t>Khu công nghiệp Nhơn Trạch 3</t>
  </si>
  <si>
    <t>3602446189</t>
  </si>
  <si>
    <t>Công Ty Cổ Phần Tổ Chức Biểu Diễn Bến Nghệ</t>
  </si>
  <si>
    <t>3602458794</t>
  </si>
  <si>
    <t>CÔNG TY TNHH MKTP</t>
  </si>
  <si>
    <t>Đường số 8, KCN Nhơn Trạch III - Giai đoạn II</t>
  </si>
  <si>
    <t>3602463829</t>
  </si>
  <si>
    <t xml:space="preserve">Công Ty TNHH Một Thành Viên Dịch Vụ Thương Mại Phát Kim Thịnh                                                                                                                                    </t>
  </si>
  <si>
    <t xml:space="preserve">Tổ 4 khu phước hải - TT Long Thành - Long Thành - Đồng Nai                                                                                                                                        </t>
  </si>
  <si>
    <t>3602465590</t>
  </si>
  <si>
    <t xml:space="preserve">Cty TNHH Kim Bảo Hân                                                                                                                                                                                  </t>
  </si>
  <si>
    <t xml:space="preserve">tổ 4 khu phước hải - TT Long Thành - Long Thành - Đồng Nai                                                                                                                                        </t>
  </si>
  <si>
    <t>3602222809</t>
  </si>
  <si>
    <t>Công ty TNHH MTV Kiều Thanh Phát 99 K.T</t>
  </si>
  <si>
    <t>Tổ 26, Khu Phước Hải</t>
  </si>
  <si>
    <t xml:space="preserve">3602227860                    </t>
  </si>
  <si>
    <t>CÔNG TY TNHH ĐỨC PHÁT THÀNH</t>
  </si>
  <si>
    <t>Số 259, Tổ 19, ấp Bến Cam</t>
  </si>
  <si>
    <t xml:space="preserve">Tuyeán Phöôùc Thieàn 4                            </t>
  </si>
  <si>
    <t>3602227934</t>
  </si>
  <si>
    <t xml:space="preserve">CTy TNHH MTV Kim Thanh Sơn                                                                                                                                                                              </t>
  </si>
  <si>
    <t xml:space="preserve">Đường Hùng Vương- Tổ 21- ấp 2- Long Thọ- Nhơn Trạch - Đồng Nai                                                                                                                                   </t>
  </si>
  <si>
    <t>Xã Long thọ</t>
  </si>
  <si>
    <t>3602232973</t>
  </si>
  <si>
    <t xml:space="preserve">Công ty TNHH Một Thành Viên Hồng Liêm                                                                                                                                                            </t>
  </si>
  <si>
    <t xml:space="preserve">Tổ 25 - Khu Cầu Xéo - Thị trấn Long Thành - Huyện Long Thành - Đồng Nai - Việt Nam                                                                                                             </t>
  </si>
  <si>
    <t>3602263153</t>
  </si>
  <si>
    <t>Công ty TNHH MTV Tâm Thanh Phát</t>
  </si>
  <si>
    <t>296, tổ 4, Khu 12</t>
  </si>
  <si>
    <t>3602263523</t>
  </si>
  <si>
    <t>Trung Tâm Giáo Dục nghề nghiệp - Giáo dục thường xuyên huyện Long Thành</t>
  </si>
  <si>
    <t>Khu 12</t>
  </si>
  <si>
    <t xml:space="preserve">3602263562                    </t>
  </si>
  <si>
    <t>TRƯỜNG TRUNG HỌC CƠ SỞ TÂN THÀNH</t>
  </si>
  <si>
    <t>Ấp 5, Xã Bàu Cạn, Huyện Long Thành, Đồng Nai</t>
  </si>
  <si>
    <t>3602265312</t>
  </si>
  <si>
    <t>Trường Mầm Non Phước Thái</t>
  </si>
  <si>
    <t>Tổ 8, Ấp Long Phú, Xã Phước Thái, Huyện Long Thành, Đồng Nai</t>
  </si>
  <si>
    <t>3602265344</t>
  </si>
  <si>
    <t>Trường Mầm Non Tân Hiệp</t>
  </si>
  <si>
    <t>Ấp 06, Xã Tân Hiệp, Huyện Long Thành, Đồng Nai</t>
  </si>
  <si>
    <t>3602265351</t>
  </si>
  <si>
    <t>Phòng Giáo Dục Đào Tạo Huyện Long Thành</t>
  </si>
  <si>
    <t xml:space="preserve">3602284153                    </t>
  </si>
  <si>
    <t>DOANH NGHIỆP TƯ NHÂN ĐẠI HOÀNG THỊNH</t>
  </si>
  <si>
    <t>Tổ 16, Ấp 5</t>
  </si>
  <si>
    <t>3602288694</t>
  </si>
  <si>
    <t>Ban quản lý dự án huyện Long Thành</t>
  </si>
  <si>
    <t>3602289218</t>
  </si>
  <si>
    <t>Tòa Án Nhân Dân Huyện Nhơn Trạch</t>
  </si>
  <si>
    <t>3602289521</t>
  </si>
  <si>
    <t>Phòng lao động thương binh xã hội huyện Nhơn Trạch</t>
  </si>
  <si>
    <t>Đường 25B, trung tâm huyện Nhơn Trạch, xã Phú Hội, huyện Nhơn Trạch</t>
  </si>
  <si>
    <t xml:space="preserve">3602295998                    </t>
  </si>
  <si>
    <t xml:space="preserve">TRÖÔØNG TIEÅU HOÏC SUOÁI TRAÀU                                                                      </t>
  </si>
  <si>
    <t xml:space="preserve">Khu taùi ñònh cö Loäc An - Bình Sôn, Xaõ Loäc An, Huyeän Long Thaønh, Tænh Ñoàng Nai, Vieät Nam                         </t>
  </si>
  <si>
    <t>3600514933</t>
  </si>
  <si>
    <t xml:space="preserve">Công Ty TNHH Một Thành Viên Xăng Dầu Long Thọ A                                              </t>
  </si>
  <si>
    <t xml:space="preserve">Số 814, đường Hùng Vương , ấp 2 Xã Long Thọ , Huyện Nhơn Trạch , Tỉnh Đồng Nai , Việt Nam </t>
  </si>
  <si>
    <t>3600520623</t>
  </si>
  <si>
    <t>CÔNG TY TNHH NGỌC NHỚ MINH VƯỢNG</t>
  </si>
  <si>
    <t>Tổ 5, KP Phước Hiệp</t>
  </si>
  <si>
    <t xml:space="preserve">3600521183                    </t>
  </si>
  <si>
    <t>CÔNG TY CỔ PHẦN Ô TÔ ĐÔ THÀNH</t>
  </si>
  <si>
    <t>Ấp Đất Mới, Quốc lộ 51</t>
  </si>
  <si>
    <t xml:space="preserve">3600524554                    </t>
  </si>
  <si>
    <t>CÔNG TY TNHH NHÀ ĐẤT NHƠN TRẠCH A</t>
  </si>
  <si>
    <t>3600525389</t>
  </si>
  <si>
    <t>CÔNG TY TNHH MỘT THÀNH VIÊN TRƯỜNG AN 1</t>
  </si>
  <si>
    <t>số 43, tổ 16, ấp Bà Trường, Hương lộ 19</t>
  </si>
  <si>
    <t xml:space="preserve">3600525741                    </t>
  </si>
  <si>
    <t>CÔNG TY TNHH XĂNG DẦU PHÚ ĐÔNG</t>
  </si>
  <si>
    <t>Tổ 2, ấp Thị Cầu</t>
  </si>
  <si>
    <t>3600525815</t>
  </si>
  <si>
    <t>CÔNG TY TNHH THÀNH PHỐ MỚI</t>
  </si>
  <si>
    <t>Số 397, tổ 5, ấp Thanh Minh, Hương Lộ 19</t>
  </si>
  <si>
    <t xml:space="preserve">3602314520                    </t>
  </si>
  <si>
    <t>Trường Mầm Non Phước Bình</t>
  </si>
  <si>
    <t>Ấp 06, Xã Phước Bình, Huyện Long Thành, Đồng Nai</t>
  </si>
  <si>
    <t>3602332512</t>
  </si>
  <si>
    <t>Công ty TNHH MTV Chung Tuấn</t>
  </si>
  <si>
    <t>Khu 3, ấp Tập Phước</t>
  </si>
  <si>
    <t>3602333435</t>
  </si>
  <si>
    <t>Phòng nội vụ huyện Long Thành</t>
  </si>
  <si>
    <t>3602346970</t>
  </si>
  <si>
    <t>CÔNG TY TNHH THƯƠNG MẠI PHẠM ĐỨC HUY</t>
  </si>
  <si>
    <t>3602347043</t>
  </si>
  <si>
    <t xml:space="preserve">Công Ty TNHH MTV Ngô Dỗn                                                                                                                                                                            </t>
  </si>
  <si>
    <t xml:space="preserve">647/1 Tổ 25 ấp Bến Sắn - Phước Thiền - Nhơn Trạch - Đồng Nai                                                                                                                                    </t>
  </si>
  <si>
    <t>3602356062</t>
  </si>
  <si>
    <t>TRƯỜNG THCS PHƯỚC AN</t>
  </si>
  <si>
    <t>3602363567</t>
  </si>
  <si>
    <t>CÔNG TY TNHH AN ĐẠT</t>
  </si>
  <si>
    <t xml:space="preserve">3600573294                    </t>
  </si>
  <si>
    <t>CÔNG TY TNHH SEO INCHEON VIỆT NAM</t>
  </si>
  <si>
    <t xml:space="preserve">3600585934                    </t>
  </si>
  <si>
    <t>CÔNG TY TRÁCH NHIỆM HỮU HẠN SUPER GAS</t>
  </si>
  <si>
    <t>3600594921</t>
  </si>
  <si>
    <t>Công Ty TNHH Giày LIANN WAN (Việt Nam)</t>
  </si>
  <si>
    <t>3600602315</t>
  </si>
  <si>
    <t xml:space="preserve">Huỳnh Văn Thích                                                                                                                                                                                       </t>
  </si>
  <si>
    <t xml:space="preserve">ấp 4, Hiệp Phước, Nhơn Trạch, Đồng Nai                                                                                                                                                             </t>
  </si>
  <si>
    <t xml:space="preserve">3600603799                    </t>
  </si>
  <si>
    <t>CÔNG TY TRÁCH NHIỆM HỮU HẠN CƠ KHÍ CÔNG TRÌNH CHANG FU.</t>
  </si>
  <si>
    <t>Khu Công Nghiệp Nhơn Trạch II, Ấp Xóm Hố</t>
  </si>
  <si>
    <t xml:space="preserve">3602370211                    </t>
  </si>
  <si>
    <t>CÔNG TY TNHH MỘT THÀNH VIÊN HOÀNG MẠNH</t>
  </si>
  <si>
    <t>Số 333, tổ 7, ấp 5</t>
  </si>
  <si>
    <t>3602377087</t>
  </si>
  <si>
    <t>Huyện ủy Long Thành</t>
  </si>
  <si>
    <t>1 đường Nguyễn Thị Minh Khai khu Phước Hải, TT Long Thành, huyện Long Thành</t>
  </si>
  <si>
    <t>3602379221</t>
  </si>
  <si>
    <t>Công ty TNHH Châu Lâm Hùng</t>
  </si>
  <si>
    <t>46/12, Hương Lộ 19, ấp Bến Đình</t>
  </si>
  <si>
    <t xml:space="preserve">3602386691                    </t>
  </si>
  <si>
    <t>Công Ty TNHH Một Thành Viên Hoàng Minh Hiếu</t>
  </si>
  <si>
    <t>Tổ 37, Khu Cầu Xéo</t>
  </si>
  <si>
    <t>3602394149-002</t>
  </si>
  <si>
    <t>CHI NHÁNH 3- CÔNG TY CỔ PHẦN PHÒNG KHÁM ĐA KHOA ÁI NGHĨA ĐỒNG KHỞI - PKĐK ÁI NGHĨA NHƠN TRẠCH</t>
  </si>
  <si>
    <t>Đường 25b, KCN Nhơn Trạch 1, Xã Phước Thiền, Huyện Nhơn Trạch, Đồng Nai</t>
  </si>
  <si>
    <t>3602397125-001</t>
  </si>
  <si>
    <t>Chi Nhánh 1-Công Ty TNHH Một Thành Viên Hoàng Thông MO RƠ NING</t>
  </si>
  <si>
    <t xml:space="preserve">3602398753                    </t>
  </si>
  <si>
    <t>CÔNG TY CỔ PHẦN CÔNG NGHIỆP TRẦN LONG</t>
  </si>
  <si>
    <t>Đường số 8, KCN Nhơn Trạch 3</t>
  </si>
  <si>
    <t xml:space="preserve">3602400360                    </t>
  </si>
  <si>
    <t>Doanh Nghiệp Tư Nhân Thương Mại Dịch Vụ Lương Đại Phát</t>
  </si>
  <si>
    <t>Tổ 15, Ấp Trầu</t>
  </si>
  <si>
    <t>3602400554-001</t>
  </si>
  <si>
    <t xml:space="preserve">Phạm Văn Dần                                                                                                                                                                                         </t>
  </si>
  <si>
    <t xml:space="preserve">Tổ 26 - Xã Phước Thái - Huyện Long Thành - Đồng Nai                                                                                                                                              </t>
  </si>
  <si>
    <t xml:space="preserve">3602410094                    </t>
  </si>
  <si>
    <t>CÔNG TY TNHH MỘT THÀNH VIÊN CHUNG ĐÔ VI NA</t>
  </si>
  <si>
    <t>Số 49, Ấp 2</t>
  </si>
  <si>
    <t>3602413112</t>
  </si>
  <si>
    <t>CÔNG TY TNHH MỘT THÀNH VIÊN KỸ THUẬT VÀ THƯƠNG MẠI PHỤNG LUẬT</t>
  </si>
  <si>
    <t>Số 02, tổ 21, KP Phước Kiểng</t>
  </si>
  <si>
    <t xml:space="preserve">3602413842                    </t>
  </si>
  <si>
    <t>CÔNG TY TNHH NUMATEC VIỆT NAM</t>
  </si>
  <si>
    <t>32/8, Tổ 14, khu Kim Sơn</t>
  </si>
  <si>
    <t>3602418671</t>
  </si>
  <si>
    <t>CÔNG TY TNHH HÙNG ANH TUẤN 67</t>
  </si>
  <si>
    <t>Số 1356, Quốc lộ 51, Ấp Tập Phước</t>
  </si>
  <si>
    <t>3602469443</t>
  </si>
  <si>
    <t xml:space="preserve">Công ty TNHH MTV Tiến Phát Lộc                                                                                                                                                                      </t>
  </si>
  <si>
    <t xml:space="preserve">Tổ 2 - Khu Cầu Xéo - TT Long Thành - Long Thành - Đồng Nai                                                                                                                                        </t>
  </si>
  <si>
    <t xml:space="preserve">3602469958                    </t>
  </si>
  <si>
    <t>CÔNG TY TNHH CƠ KHÍ GIA NHÂM</t>
  </si>
  <si>
    <t>Tổ 4, Khu A, Ấp 5</t>
  </si>
  <si>
    <t xml:space="preserve">3600609543                    </t>
  </si>
  <si>
    <t>Hợp Tác Xã Dịch Vụ Nông Nghiệp &amp; Xây Dựng Long Hưng</t>
  </si>
  <si>
    <t>Khu Phước Hải, Thị trấn Long Thành</t>
  </si>
  <si>
    <t xml:space="preserve">3600610154                    </t>
  </si>
  <si>
    <t>CÔNG TY TNHH THỰC PHẨM N F C</t>
  </si>
  <si>
    <t xml:space="preserve">3600614818                    </t>
  </si>
  <si>
    <t>CÔNG TY TNHH MYUNG SUNG VINA</t>
  </si>
  <si>
    <t>Ấp Long Phú</t>
  </si>
  <si>
    <t xml:space="preserve">3600622142                    </t>
  </si>
  <si>
    <t>DOANH NGHIỆP TƯ NHÂN LONG ĐÌNH</t>
  </si>
  <si>
    <t>Khu Quảng Ngãi</t>
  </si>
  <si>
    <t>3600629236</t>
  </si>
  <si>
    <t>CÔNG TY TNHH HOÀNG VIỆT HÙNG</t>
  </si>
  <si>
    <t>Tổ 2, Ấp 1</t>
  </si>
  <si>
    <t xml:space="preserve">3600630217                    </t>
  </si>
  <si>
    <t>CÔNG TY TNHH CÔNG NGHIỆP THÔNG THẬT</t>
  </si>
  <si>
    <t>Đường số 3, Khu công nghiệp Nhơn Trạch I</t>
  </si>
  <si>
    <t>3600631041</t>
  </si>
  <si>
    <t>CÔNG TY TRÁCH NHIỆM HỮU HẠN SUNYAD VIỆT NAM TECHNOLOGY</t>
  </si>
  <si>
    <t>3602467686</t>
  </si>
  <si>
    <t>QUẦY THUỐC THANH QUYÊN</t>
  </si>
  <si>
    <t>Ấp 1, Xã Phú Thạnh, Huyện Nhơn Trạch, Đồng Nai</t>
  </si>
  <si>
    <t xml:space="preserve">3602492481                    </t>
  </si>
  <si>
    <t>Công Ty TNHH Gia Long Nguyễn</t>
  </si>
  <si>
    <t>Số 766 (số cũ: 10/9), ấp 1</t>
  </si>
  <si>
    <t>3602494908</t>
  </si>
  <si>
    <t>Doanh Nghiệp Tư Nhân Phúc An An</t>
  </si>
  <si>
    <t>425/1, Tổ 18, Ấp Bến Sắn</t>
  </si>
  <si>
    <t xml:space="preserve">3602496782                    </t>
  </si>
  <si>
    <t>CÔNG TY TNHH KỸ THUẬT SINH SUNG</t>
  </si>
  <si>
    <t>3602499617</t>
  </si>
  <si>
    <t>Công Ty TNHH Một Thành Viên Quốc Tiến Thành</t>
  </si>
  <si>
    <t>3600643262</t>
  </si>
  <si>
    <t>CÔNG TY TNHH GẠCH MEN BÁCH THÀNH</t>
  </si>
  <si>
    <t xml:space="preserve">3600654320                    </t>
  </si>
  <si>
    <t>CÔNG TY TRÁCH NHIỆM HỮU HẠN CÔNG NGHIỆP TAI-TECH (TÊN CŨ LÀ CÔNG TY TRÁCH NHIỆM HỮU HẠN CỔ PHẦN CÔNG</t>
  </si>
  <si>
    <t>Đường số 2, Khu Công Nghiệp Nhơn Trạch 1</t>
  </si>
  <si>
    <t xml:space="preserve">3600661381                    </t>
  </si>
  <si>
    <t>CÔNG TY TNHH CÔNG NGHIỆP TÙNG HÒA VIỆT NAM</t>
  </si>
  <si>
    <t>Đường Tôn Đức Thắng, Khu công nghiệp Nhơn Trạch II</t>
  </si>
  <si>
    <t xml:space="preserve">3600662836                    </t>
  </si>
  <si>
    <t>CÔNG TY TRÁCH NHIỆM HỮU HẠN GIẤY YUEN FOONG YU ĐỒNG NAI</t>
  </si>
  <si>
    <t>Tổ 1, Ấp 8</t>
  </si>
  <si>
    <t xml:space="preserve">3600663854                    </t>
  </si>
  <si>
    <t>CÔNG TY TRÁCH NHIỆM HỮU HẠN PALM PAPER</t>
  </si>
  <si>
    <t>C15, đường 8, KCN Nhơn Trạch III</t>
  </si>
  <si>
    <t xml:space="preserve">3600667383                    </t>
  </si>
  <si>
    <t>CÔNG TY TNHH CHAO HUN (VIỆT NAM)</t>
  </si>
  <si>
    <t>3600672104</t>
  </si>
  <si>
    <t>CÔNG TY TRÁCH NHIỆM HỮU HẠN CÔNG NGHỆ CAO ỨC THÁI (VIỆT NAM)</t>
  </si>
  <si>
    <t xml:space="preserve">3600672150                    </t>
  </si>
  <si>
    <t>CÔNG TY TRÁCH NHIỆM HỮU HẠN QUỐC TẾ KIM BẢO SƠN (VIỆT NAM)</t>
  </si>
  <si>
    <t>Đường số 01, KCN Long Thành</t>
  </si>
  <si>
    <t xml:space="preserve">3600672295                    </t>
  </si>
  <si>
    <t>CÔNG TY TRÁCH NHIỆM HỮU HẠN CHÁNH ĐẠI</t>
  </si>
  <si>
    <t>3602288687</t>
  </si>
  <si>
    <t>Trường Tiểu Học Tân Hiệp</t>
  </si>
  <si>
    <t>3602288775</t>
  </si>
  <si>
    <t>Trường THCS Long Phước</t>
  </si>
  <si>
    <t>3602289169</t>
  </si>
  <si>
    <t>Chi Cục Thi Hành Án Dân Sự Huyện Nhơn Trạch Đồng Nai</t>
  </si>
  <si>
    <t>3602296021</t>
  </si>
  <si>
    <t>Trường Trung Học CS Bình Sơn</t>
  </si>
  <si>
    <t>Xã Bình Sơn, Huyện Long Thành</t>
  </si>
  <si>
    <t xml:space="preserve">3602299946                    </t>
  </si>
  <si>
    <t>Quỹ Tín Dụng Nhân Dân Cơ Sở Phước Thái</t>
  </si>
  <si>
    <t>ấp 1C</t>
  </si>
  <si>
    <t>3602301521</t>
  </si>
  <si>
    <t>Trường Tiểu Học Phước Thái</t>
  </si>
  <si>
    <t xml:space="preserve">3602305269                    </t>
  </si>
  <si>
    <t>TRƯỜNG TRUNG HỌC CƠ SỞ PHƯỚC BÌNH</t>
  </si>
  <si>
    <t>Ấp 05, Xã Phước Bình, Huyện Long Thành, Đồng Nai</t>
  </si>
  <si>
    <t>3602308742</t>
  </si>
  <si>
    <t>Huyện Hội Người Mù Long Thành</t>
  </si>
  <si>
    <t>Hội Người Mù Huyện Long Thành, Đường Nguyễn Hữu Cảnh, Khu Phước Hải,, TT Long Thành, Huyện Long Thành</t>
  </si>
  <si>
    <t>Phường Suối Tre</t>
  </si>
  <si>
    <t>3602311255</t>
  </si>
  <si>
    <t>TRƯỜNG THCS AN PHƯỚC</t>
  </si>
  <si>
    <t>Ấp 6, Xã An Phước, Huyện Long Thành, Đồng Nai</t>
  </si>
  <si>
    <t>3602311294</t>
  </si>
  <si>
    <t>Phòng quản lý đô thị Long Thành</t>
  </si>
  <si>
    <t>3602311311</t>
  </si>
  <si>
    <t>Trung Tâm Phát Triển Quỹ Đất tỉnh Đồng Nai - Chi Nhánh Long Thành</t>
  </si>
  <si>
    <t>Đường Nguyễn Hữu Cảnh, Khu Phước Hải, Thị trấn Long Thành, Huyện Long Thành, Đồng Nai</t>
  </si>
  <si>
    <t xml:space="preserve">3602311696                    </t>
  </si>
  <si>
    <t>DNTN DV - TM  Hoàng Long Long Thành</t>
  </si>
  <si>
    <t>Tổ 36, Khu Cầu Xéo, Thị trấn Long Thành</t>
  </si>
  <si>
    <t>3602312146</t>
  </si>
  <si>
    <t>Trường Mẫu Giáo Cẩm Đường</t>
  </si>
  <si>
    <t>Ấp Cẩm Đường, Xã Cẩm Đường, Huyện Long Thành, Đồng Nai</t>
  </si>
  <si>
    <t xml:space="preserve">Tuyeán Long Phöôùc 5                              </t>
  </si>
  <si>
    <t>3602328185</t>
  </si>
  <si>
    <t>Doanh Nghiệp Tư Nhân Hoàng Khiên</t>
  </si>
  <si>
    <t>281, tổ 5, ấp Hiền Hòa</t>
  </si>
  <si>
    <t xml:space="preserve">3602352678                    </t>
  </si>
  <si>
    <t>CÔNG TY TNHH KYOWA VIỆT NAM</t>
  </si>
  <si>
    <t>Đường số 5, KCN Nhơn Trạch III, Giai đoạn II</t>
  </si>
  <si>
    <t>3602354587</t>
  </si>
  <si>
    <t>Công Ty TNHH Một Thành Viên Hoàng Đô</t>
  </si>
  <si>
    <t>Trường Chinh, Khu Phước Hải</t>
  </si>
  <si>
    <t>3602361337</t>
  </si>
  <si>
    <t>Trường Tiểu Học Lộc An</t>
  </si>
  <si>
    <t>Ấp Bình Lâm, Xã Lộc An, Huyện Long Thành</t>
  </si>
  <si>
    <t>3602367064</t>
  </si>
  <si>
    <t>Công ty TNHH Kiến Trúc Kính Xây Dựng Việt Tường</t>
  </si>
  <si>
    <t>227, khu C, ấp Phước Lý</t>
  </si>
  <si>
    <t xml:space="preserve">3602394815                    </t>
  </si>
  <si>
    <t>Công Ty TNHH Dịch Vụ Bảo Vệ Hà Nội Thăng Long</t>
  </si>
  <si>
    <t>QL 51, ấp Tập Phước</t>
  </si>
  <si>
    <t xml:space="preserve">3602394854                    </t>
  </si>
  <si>
    <t>CÔNG TY TNHH QUANG TRẦN PHÁT</t>
  </si>
  <si>
    <t>Đường số 3, Khu Công nghiệp Nhơn Trạch 3</t>
  </si>
  <si>
    <t>3602401170</t>
  </si>
  <si>
    <t>Công Ty TNHH Một Thành Viên Thương Mại Ánh Lan</t>
  </si>
  <si>
    <t>Tổ 9, ấp Vĩnh Tuy</t>
  </si>
  <si>
    <t xml:space="preserve">3602416829                    </t>
  </si>
  <si>
    <t>Công Ty TNHH Sáng Nhất</t>
  </si>
  <si>
    <t>VPGD: Lầu 2, C8, Hẻm 143, đường Lê Duẩn, Khu Phước Hải</t>
  </si>
  <si>
    <t xml:space="preserve">3602450611                    </t>
  </si>
  <si>
    <t>Công Ty TNHH Tm - Dv Anh Hoằng</t>
  </si>
  <si>
    <t>Số 62, Ấp 1</t>
  </si>
  <si>
    <t>3602457247</t>
  </si>
  <si>
    <t xml:space="preserve">Công Ty TNHH Một Thành Viên Hiệp Sung                                                                                                                                                              </t>
  </si>
  <si>
    <t xml:space="preserve">Số 3, Tổ 3, ấp 5, Xã Hiệp Phước, Huyện Nhơn Trạch, Tỉnh Đồng Nai, Việt Nam                                                                                                                    </t>
  </si>
  <si>
    <t xml:space="preserve">3602468707                    </t>
  </si>
  <si>
    <t>Công Ty TNHH Một Thành Viên Thương Mại Dịch Vụ Đông Dương Tân</t>
  </si>
  <si>
    <t>Số 98, tổ 1, ấp 1</t>
  </si>
  <si>
    <t xml:space="preserve">3602481680                    </t>
  </si>
  <si>
    <t>CÔNG TY TNHH MỘT THÀNH VIÊN DỊCH VỤ BẢO VỆ AN NINH ĐÔNG Á</t>
  </si>
  <si>
    <t>Đường N22 - L23 /59, KDC An Thuận, ấp Xóm Gốc</t>
  </si>
  <si>
    <t xml:space="preserve">3602481835                    </t>
  </si>
  <si>
    <t>CÔNG TY TNHH MỘT THÀNH VIÊN THƯƠNG MẠI DỊCH VỤ HÙNG KỲ PHÁT</t>
  </si>
  <si>
    <t>Tổ 2, Ấp 2</t>
  </si>
  <si>
    <t xml:space="preserve">3602481659                    </t>
  </si>
  <si>
    <t>CÔNG TY TNHH MỘT THÀNH VIÊN DỊCH VỤ BẢO VỆ THÀNH ĐÔ S24</t>
  </si>
  <si>
    <t>Số 22/3E, hẻm 22, đường Lê Duẩn, ấp 1</t>
  </si>
  <si>
    <t xml:space="preserve">3602483670                    </t>
  </si>
  <si>
    <t>CÔNG TY CỔ PHẦN HÓA PHẨM TÙNG VIỆT</t>
  </si>
  <si>
    <t>Đường số 7, khu công nghiệp Nhơn Trạch II - Nhơn Phú</t>
  </si>
  <si>
    <t>3602491946</t>
  </si>
  <si>
    <t xml:space="preserve">Công ty TNHH MTV TMDV Cát Song Tú                                                                                                                                                                    </t>
  </si>
  <si>
    <t xml:space="preserve">Số 555, tổ 23, ấp Long Khánh 2 - Tam Phước - TP Biên Hồ - Đồng Nai                                                                                                                             </t>
  </si>
  <si>
    <t>Xã Tam Phước</t>
  </si>
  <si>
    <t xml:space="preserve">3600679607                    </t>
  </si>
  <si>
    <t>CÔNG TY TRÁCH NHIỆM HỮU HẠN FORMOSA TAFFETA ĐỒNG NAI</t>
  </si>
  <si>
    <t>3600680401</t>
  </si>
  <si>
    <t>Trung Tâm Khoa Học Và Công Nghệ</t>
  </si>
  <si>
    <t>3600681638</t>
  </si>
  <si>
    <t>Công ty TNHH MTV TM-DV-VT Triệu Vy</t>
  </si>
  <si>
    <t>ấp1 xã Bình Sơn</t>
  </si>
  <si>
    <t>3600685093</t>
  </si>
  <si>
    <t>CÔNG TY TNHH BEST SUN TECHNOLOGY.</t>
  </si>
  <si>
    <t xml:space="preserve">3602510437                    </t>
  </si>
  <si>
    <t>CÔNG TY TNHH MỘT THÀNH VIÊN TRỌNG BẢO HUY</t>
  </si>
  <si>
    <t>Tổ 7, ấp 3</t>
  </si>
  <si>
    <t xml:space="preserve">3602548536                    </t>
  </si>
  <si>
    <t>CÔNG TY TRÁCH NHIỆM HỮU HẠN AIZAWA VIỆT NAM</t>
  </si>
  <si>
    <t>Cụm công nghiệp Bình Sơn, ấp 8</t>
  </si>
  <si>
    <t>3602578072</t>
  </si>
  <si>
    <t>Công An Huyện Long Thành</t>
  </si>
  <si>
    <t>3602587662</t>
  </si>
  <si>
    <t>Công An Xã Tân Hiệp</t>
  </si>
  <si>
    <t>UBND Xã Tân Hiệp, Xã Tân Hiệp, Huyện Long Thành</t>
  </si>
  <si>
    <t>3600699811</t>
  </si>
  <si>
    <t>Doanh Nghiệp Tư Nhân Quang Phúc</t>
  </si>
  <si>
    <t>Số 46B, tổ 8, khu 12</t>
  </si>
  <si>
    <t xml:space="preserve">3600702020                    </t>
  </si>
  <si>
    <t>CÔNG TY TNHH XÂY DỰNG - THƯƠNG MẠI - DỊCH VỤ KHỞI LƯƠNG</t>
  </si>
  <si>
    <t>Tổ 3, Ấp Thanh Bình</t>
  </si>
  <si>
    <t xml:space="preserve">3600708294                    </t>
  </si>
  <si>
    <t>CÔNG TY TNHH CHÂU THÀNH ĐẠT</t>
  </si>
  <si>
    <t>Tổ 31, Khu Cầu Xéo, Quốc lộ 51A</t>
  </si>
  <si>
    <t>3600709594</t>
  </si>
  <si>
    <t>HTX TM DV  Vận Tải Nhơn Trạch</t>
  </si>
  <si>
    <t>ấp Chợ</t>
  </si>
  <si>
    <t xml:space="preserve">3602590993                    </t>
  </si>
  <si>
    <t>CÔNG TY TNHH JFE MECHANICAL VIỆT NAM</t>
  </si>
  <si>
    <t>Đường số 02, KCN Nhơn Trạch 3 - giai đoạn 2</t>
  </si>
  <si>
    <t>3602595906</t>
  </si>
  <si>
    <t>Công An Xã Bàu Cạn</t>
  </si>
  <si>
    <t>Ấp 5, Xã Bàu Cạn, Huyện Long Thành</t>
  </si>
  <si>
    <t>3602609122</t>
  </si>
  <si>
    <t>CÔNG TY TNHH MỘT THÀNH VIÊN HỆ THỐNG KIM CẦU</t>
  </si>
  <si>
    <t>Số 36, tổ 32, ấp 3</t>
  </si>
  <si>
    <t>3602629351</t>
  </si>
  <si>
    <t>CÔNG TY TNHH MOA VINA</t>
  </si>
  <si>
    <t>Thửa số 12, KCN Nhơn trạch II - Lộc Khang</t>
  </si>
  <si>
    <t xml:space="preserve">Tuyeán Tam Phöôùc 1                               </t>
  </si>
  <si>
    <t xml:space="preserve">3602632594                    </t>
  </si>
  <si>
    <t>CÔNG TY TNHH ACROWEL VIETNAM</t>
  </si>
  <si>
    <t>Đường Số 7, KCN Long Thành</t>
  </si>
  <si>
    <t xml:space="preserve">3602668618                    </t>
  </si>
  <si>
    <t>Doanh Nghiệp Tư Nhân Vẹn Thành</t>
  </si>
  <si>
    <t>Số 14, Tổ 6, Ấp 4</t>
  </si>
  <si>
    <t>3602692385</t>
  </si>
  <si>
    <t>CÔNG TY TNHH THƯƠNG MẠI DỊCH VỤ GAS AN TOÀN</t>
  </si>
  <si>
    <t>Số 266, Tổ 26, khu Phước Hải</t>
  </si>
  <si>
    <t>3602705242</t>
  </si>
  <si>
    <t xml:space="preserve">Công Ty TNHH Một Thành Viên Sản Xuất Thương Mại Nhất Vân                                                                                                                                       </t>
  </si>
  <si>
    <t xml:space="preserve">248-Khu 2-ấp Cát Lái - Phú Hữu - Nhơn Trạch - Đồng Nai                                                                                                                                           </t>
  </si>
  <si>
    <t>3602715586</t>
  </si>
  <si>
    <t xml:space="preserve">Cty TNHH KT TM Đại Quang (Nguyễn Thùy Dương)                                                                                                                                                         </t>
  </si>
  <si>
    <t xml:space="preserve">Số 12/8 - Quốc Lộ 51B - ấp 2 - Long An - Long Thành - Đồng Nai                                                                                                                                    </t>
  </si>
  <si>
    <t>3602724164</t>
  </si>
  <si>
    <t>Công Ty TNHH Một Thành Viên Cơ Khí Đại Phong</t>
  </si>
  <si>
    <t>Số 8A, Tổ 7, ấp 1</t>
  </si>
  <si>
    <t>3602750238</t>
  </si>
  <si>
    <t xml:space="preserve">Công ty TNHH MTV TM DV Tuấn Lê                                                                                                                                                                       </t>
  </si>
  <si>
    <t xml:space="preserve">Tổ 14 khu Cầu Xéo - TT Long Thành - Long Thành - Đồng Nai                                                                                                                                         </t>
  </si>
  <si>
    <t xml:space="preserve">3602754698                    </t>
  </si>
  <si>
    <t>Công Ty TNHH Một Thành Viên Phùng Lĩnh</t>
  </si>
  <si>
    <t xml:space="preserve">3600716048                    </t>
  </si>
  <si>
    <t>CÔNG TY TNHH CÔNG NGHIỆP PROTEK.</t>
  </si>
  <si>
    <t>Đường số 8, KCN Long Thành,</t>
  </si>
  <si>
    <t xml:space="preserve">3600717820                    </t>
  </si>
  <si>
    <t>CÔNG TY TNHH STELLA LEATHER GOODS (HỒ CHÍ MINH)</t>
  </si>
  <si>
    <t xml:space="preserve">3600718782                    </t>
  </si>
  <si>
    <t>CÔNG TY TNHH DỆT LÝ MINH</t>
  </si>
  <si>
    <t>Lô B410 - B411 - B412, KCN Vinatex - Tân Tạo</t>
  </si>
  <si>
    <t xml:space="preserve">3600719218                    </t>
  </si>
  <si>
    <t>CÔNG TY TNHH CƠ ĐIỆN LẠNH 24H</t>
  </si>
  <si>
    <t>Tổ 15, ấp 3</t>
  </si>
  <si>
    <t>3600723246</t>
  </si>
  <si>
    <t>CÔNG TY TNHH BẢO ĐĂNG HƯNG</t>
  </si>
  <si>
    <t>Đường số 5, KCN An Phước</t>
  </si>
  <si>
    <t xml:space="preserve">3602763759                    </t>
  </si>
  <si>
    <t>Trường Tiểu Học Phước Bình</t>
  </si>
  <si>
    <t xml:space="preserve">3602765227                    </t>
  </si>
  <si>
    <t>CÔNG TY TNHH MỘT THÀNH VIÊN KIM SƠN THÀNH</t>
  </si>
  <si>
    <t>Lô số 9, đường số 7, KCN Nhơn Trạch 2 Nhơn Phú</t>
  </si>
  <si>
    <t>3602784406</t>
  </si>
  <si>
    <t>Bảo hiểm Xã hội Long Thành</t>
  </si>
  <si>
    <t>Đường Lê Duẩn khu Phước Hải, TT Long Thành, huyện Long Thành</t>
  </si>
  <si>
    <t xml:space="preserve">3602787661                    </t>
  </si>
  <si>
    <t>CÔNG TY TRÁCH NHIỆM HỮU HẠN CÔNG NGHIỆP NHÂN ĐỨC VIỆT NAM</t>
  </si>
  <si>
    <t xml:space="preserve">3602789563                    </t>
  </si>
  <si>
    <t>CÔNG TY TNHH KCTC VINA</t>
  </si>
  <si>
    <t>Lô 25B, Đường Tôn Đức Thắng, KCN Nhơn Trạch I</t>
  </si>
  <si>
    <t xml:space="preserve">3602794690                    </t>
  </si>
  <si>
    <t>CÔNG TY TNHH DAIWA LIGHT ALLOY INDUSTRY VIETNAM</t>
  </si>
  <si>
    <t>KCN Nhơn Trạch 3 - Giai đoạn 2</t>
  </si>
  <si>
    <t>3602798286</t>
  </si>
  <si>
    <t xml:space="preserve">Công Ty TNHH Phạm Phương Nhi                                                                                                                                                                          </t>
  </si>
  <si>
    <t xml:space="preserve">Số 17-Tổ 16- ấp 3 - Hiệp Phước - Nhơn Trạch - Đồng Nai                                                                                                                                           </t>
  </si>
  <si>
    <t>3602804130</t>
  </si>
  <si>
    <t>Công Ty TNHH Điện An Thành Phát</t>
  </si>
  <si>
    <t>199, Hương lộ 21, Ấp 5</t>
  </si>
  <si>
    <t xml:space="preserve">3602851765                    </t>
  </si>
  <si>
    <t>Công Ty Trách Nhiệm Hữu Hạn Một Thành Viên A.R.T Huỳnh Gia</t>
  </si>
  <si>
    <t>ấp Hàng Gòn</t>
  </si>
  <si>
    <t>3602857125</t>
  </si>
  <si>
    <t>Phòng Tài Nguyên và Môi Trường huyện Nhơn Trạch</t>
  </si>
  <si>
    <t>Ấp Xóm Hố, xã Phú Hội, huyện Nhơn Trạch</t>
  </si>
  <si>
    <t>3602883767</t>
  </si>
  <si>
    <t xml:space="preserve">Nguyễn Dỗn Doanh                                                                                 </t>
  </si>
  <si>
    <t xml:space="preserve">Tổ 03 Khu 12 - Long Đức - Long Thành - Đồng Nai                                                 </t>
  </si>
  <si>
    <t>3602884217</t>
  </si>
  <si>
    <t xml:space="preserve">CÔNG TY TNHH MộT THàNH VIÊN PHƯớC HợP PHáT                                                                                                                                                       </t>
  </si>
  <si>
    <t xml:space="preserve">ấP 1(0913177843) - Hiệp Phước - Nhơn Trạch - Đồng Nai                                                                                                                                              </t>
  </si>
  <si>
    <t xml:space="preserve">3600725684                    </t>
  </si>
  <si>
    <t>CÔNG TY TNHH QUỐC TẾ GOLD LONG JOHN ĐỒNG NAI VIỆT NAM.</t>
  </si>
  <si>
    <t>Đường 5A, KCN Nhơn trạch II</t>
  </si>
  <si>
    <t xml:space="preserve">3600726575                    </t>
  </si>
  <si>
    <t>CÔNG TY TNHH WHITE GLOVE</t>
  </si>
  <si>
    <t>3600731871</t>
  </si>
  <si>
    <t>CÔNG TY TRÁCH NHIỆM HỮU HẠN DA THUỘC WEI TAI VIỆT NAM</t>
  </si>
  <si>
    <t>3602485269</t>
  </si>
  <si>
    <t>Công Ty TNHH Một Thành Viên Thương Mại Long Thành Nam</t>
  </si>
  <si>
    <t>Tổ 5, ấp 1C</t>
  </si>
  <si>
    <t>3602491738</t>
  </si>
  <si>
    <t>CÔNG TY TNHH SẢN XUẤT VÀ ĐẦU TƯ VẠN THỊNH PHÁT</t>
  </si>
  <si>
    <t>Cụm công nghiệp-TTCN Long Phước 1</t>
  </si>
  <si>
    <t>3602499688</t>
  </si>
  <si>
    <t xml:space="preserve">Cty TNHH MTV TM SX Hồng Vy San                                                                    </t>
  </si>
  <si>
    <t xml:space="preserve">Tổ 12 ấ 4 - Long An - Long Thành - Đồng Nai                                                     </t>
  </si>
  <si>
    <t xml:space="preserve">3602502436                    </t>
  </si>
  <si>
    <t>CÔNG TY CỔ PHẦN DÂY VÀ CÁP SACOM</t>
  </si>
  <si>
    <t>Đường số 4, khu công nghiệp Long Thành</t>
  </si>
  <si>
    <t>3602528145</t>
  </si>
  <si>
    <t>CÔNG TY CỔ PHẦN ĐẦU TƯ ĐIỆN TÍN PHÁT</t>
  </si>
  <si>
    <t>VPDG: Tòa nhà văn phòng KCN Nhơn Trạch 3, đường 25B</t>
  </si>
  <si>
    <t>3602538295</t>
  </si>
  <si>
    <t>CÔNG TY TNHH MỘT THÀNH VIÊN KIM TRANG ANH</t>
  </si>
  <si>
    <t>Số 17, Tổ 10, Khu phố Phước Kiểng</t>
  </si>
  <si>
    <t xml:space="preserve">3600744077                    </t>
  </si>
  <si>
    <t>CỬA HÀNG HỮU SANG</t>
  </si>
  <si>
    <t>Ấp Bến Cam, Xã Phước Thiền, Huyện Nhơn Trạch, Đồng Nai</t>
  </si>
  <si>
    <t xml:space="preserve">3600747293                    </t>
  </si>
  <si>
    <t>CÔNG TY TNHH SẢN XUẤT - THƯƠNG MẠI PHÚ DƯƠNG</t>
  </si>
  <si>
    <t>18/1, Khu 5, Ấp 8</t>
  </si>
  <si>
    <t xml:space="preserve">3600753794                    </t>
  </si>
  <si>
    <t>CÔNG TY TRÁCH NHIỆM HỮU HẠN WHA IL VINA</t>
  </si>
  <si>
    <t xml:space="preserve">3602511328                    </t>
  </si>
  <si>
    <t>CÔNG TY TNHH THƯƠNG MẠI DỊCH VỤ VẬN TẢI THẢO TRANG</t>
  </si>
  <si>
    <t>Tổ 19, ấp Trầu</t>
  </si>
  <si>
    <t>3602558397</t>
  </si>
  <si>
    <t xml:space="preserve">CTy TNHH MTV TM - DV Phúc Kim Phát                                                                                                                                                                    </t>
  </si>
  <si>
    <t xml:space="preserve">Tổ 16 Phước Hải (3501564) - TT Long Thành - Long Thành - Đồng Nai                                                                                                                                 </t>
  </si>
  <si>
    <t>3602578065</t>
  </si>
  <si>
    <t xml:space="preserve">HTX Xếp Dỡ Hàng Hóa Quyết Tiến                                                                                                                                                                    </t>
  </si>
  <si>
    <t xml:space="preserve">458 Tổ 7 ấp 1B - Phước Thái - Long Thành - Đồng Nai                                                                                                                                               </t>
  </si>
  <si>
    <t>3602602021</t>
  </si>
  <si>
    <t>CÔNG TY TNHH MỘT THÀNH VIÊN MÁY MÓC THIẾT BỊ GỐM SỨ KỸ THUẬT CAO</t>
  </si>
  <si>
    <t>Khu Công Nghiệp Nhơn Trạch III</t>
  </si>
  <si>
    <t>3602580392</t>
  </si>
  <si>
    <t>CÔNG TY TNHH MỘT THÀNH VIÊN THƯƠNG MẠI NAM VĨNH PHÁT</t>
  </si>
  <si>
    <t>ấp Bà Ký</t>
  </si>
  <si>
    <t>3602643733</t>
  </si>
  <si>
    <t>CÔNG TY TNHH MỘT THÀNH VIÊN TỰ ĐỘNG HÓA TOÀN LỰC</t>
  </si>
  <si>
    <t>116/3, Tổ 5, Khu Bàu Cá</t>
  </si>
  <si>
    <t>3602624032</t>
  </si>
  <si>
    <t>CÔNG TY TNHH MỘT THÀNH VIÊN LỘC PHƯỚC PHÁT</t>
  </si>
  <si>
    <t>Hẻm 5, tổ 12, Đường Hai Bà Trưng, Khu Phước Hải</t>
  </si>
  <si>
    <t xml:space="preserve">3602666032                    </t>
  </si>
  <si>
    <t>CÔNG TY TNHH MỘT THÀNH VIÊN QUỐC BÌNH AN</t>
  </si>
  <si>
    <t>Số 35, đường Huỳnh Văn Nghệ, KP Phước Kiểng</t>
  </si>
  <si>
    <t>3602677387</t>
  </si>
  <si>
    <t>CÔNG TY TNHH SẢN PHẨM XÂY DỰNG DINGO</t>
  </si>
  <si>
    <t xml:space="preserve">3602694304                    </t>
  </si>
  <si>
    <t>CÔNG TY TNHH SẢN XUẤT THƯƠNG MẠI NHỰA HOÀNG LONG</t>
  </si>
  <si>
    <t>Số 1474, Quốc lộ 51, ấp Phước Hòa</t>
  </si>
  <si>
    <t xml:space="preserve">3602651389                    </t>
  </si>
  <si>
    <t>CÔNG TY TNHH TANAKA SCALE VIỆT NAM</t>
  </si>
  <si>
    <t>Đường số 3, KCN Nhơn Trạch 3, Giai Đoạn 2</t>
  </si>
  <si>
    <t>3602656669</t>
  </si>
  <si>
    <t>UBND Xã Lộc An</t>
  </si>
  <si>
    <t>3602690324</t>
  </si>
  <si>
    <t xml:space="preserve">Trần Trung Hiệp                                                                                                                                                                                       </t>
  </si>
  <si>
    <t xml:space="preserve">Tổ 2 Phước Hải - TT Long Thành - Long Thành - Đồng Nai                                                                                                                                            </t>
  </si>
  <si>
    <t>3602705267</t>
  </si>
  <si>
    <t xml:space="preserve">Công Ty TNHH Một Thành Viên Thương Mại Dịch Vụ Vận Tải Sung Giàu                                                                                                                               </t>
  </si>
  <si>
    <t xml:space="preserve">Khu Phước Long - TT Long Thành - Long Thành - Đồng Nai                                                                                                                                              </t>
  </si>
  <si>
    <t>3602722960</t>
  </si>
  <si>
    <t>Công Ty TNHH Một Thành Viên Dân Long An</t>
  </si>
  <si>
    <t>16/6, ấp 1</t>
  </si>
  <si>
    <t xml:space="preserve">3602727373                    </t>
  </si>
  <si>
    <t>CÔNG TY TNHH SAMIL TEXTILE</t>
  </si>
  <si>
    <t xml:space="preserve">3602695971                    </t>
  </si>
  <si>
    <t>CÔNG TY TNHH CƠ KHÍ TRÍ MINH</t>
  </si>
  <si>
    <t>Khu 15, Tổ 6</t>
  </si>
  <si>
    <t xml:space="preserve">Tuyeán Tam Phöôùc 6                               </t>
  </si>
  <si>
    <t xml:space="preserve">3602700050                    </t>
  </si>
  <si>
    <t>Công Ty TNHH Đại An Lợi</t>
  </si>
  <si>
    <t>ấp Bầu Tre</t>
  </si>
  <si>
    <t>3602705411</t>
  </si>
  <si>
    <t xml:space="preserve">Công Ty TNHH Thiết Bị Điện Công Nghiệp Cơ Khí Anh Tuấn                                                                                                                                            </t>
  </si>
  <si>
    <t xml:space="preserve">ấp Bà Trường - Phước An - Nhơn Trạch - Đồng Nai                                                                                                                                                   </t>
  </si>
  <si>
    <t xml:space="preserve">3602713839                    </t>
  </si>
  <si>
    <t>CÔNG TY CỔ PHẦN CÔNG NGHIỆP QH PLUS</t>
  </si>
  <si>
    <t>3602715353</t>
  </si>
  <si>
    <t>CÔNG TY CỔ PHẦN MÁY VÀ THIẾT BỊ CÔNG NGHIỆP HÓA CHẤT VIỆT NAM</t>
  </si>
  <si>
    <t>Cụm công nghiệp Tam An</t>
  </si>
  <si>
    <t xml:space="preserve">3602724421                    </t>
  </si>
  <si>
    <t>Công Ty TNHH Một Thành Viên Xây Dựng Thương Mại Dịch Vụ Hoàng Đức Phát</t>
  </si>
  <si>
    <t>Số 81, ấp 2</t>
  </si>
  <si>
    <t>3602726940</t>
  </si>
  <si>
    <t xml:space="preserve">Cty TNHH Tồn Quốc Khải                                                                                                                                                                              </t>
  </si>
  <si>
    <t xml:space="preserve">51 Tổ 2 Khu 13 - Long Đức - Long Thành - Đồng Nai                                                                                                                                                   </t>
  </si>
  <si>
    <t>3602768468</t>
  </si>
  <si>
    <t>CÔNG TY TNHH NÔNG NGHIỆP QUỐC TẾ FAU</t>
  </si>
  <si>
    <t>Số 71, đường Hà Huy Giáp, tổ 24, Khu Văn Hải</t>
  </si>
  <si>
    <t xml:space="preserve">3602769599                    </t>
  </si>
  <si>
    <t>Công Ty TNHH Kỹ Thuật Lam Thủy E.M.C</t>
  </si>
  <si>
    <t>Hẻm số 9, đường Trần Nhân Tông, tổ 38, khu cầu xéo</t>
  </si>
  <si>
    <t>3602755645</t>
  </si>
  <si>
    <t xml:space="preserve">Công Ty TNHH MTV DV Bảo vệ Hồng Long Phát                                                                                                                                                         </t>
  </si>
  <si>
    <t xml:space="preserve">Tổ 5- ấp 1 - Long An - Long Thành - Đồng Nai                                                                                                                                                        </t>
  </si>
  <si>
    <t xml:space="preserve">3602814717                    </t>
  </si>
  <si>
    <t>CÔNG TY TNHH MERA VIỆT NAM.</t>
  </si>
  <si>
    <t xml:space="preserve">3602836647                    </t>
  </si>
  <si>
    <t>Công Ty TNHH Một Thành Viên Sản Xuất Thương Mại An Bình Phát</t>
  </si>
  <si>
    <t>503A, khu 4, ấp 8</t>
  </si>
  <si>
    <t>3602839246</t>
  </si>
  <si>
    <t>Công An Xã Long An</t>
  </si>
  <si>
    <t>UBND Xã Long An, Xã Long An, Huyện Long Thành</t>
  </si>
  <si>
    <t>3602807734</t>
  </si>
  <si>
    <t>CÔNG TY TNHH DOANH THƯƠNG PHÁT</t>
  </si>
  <si>
    <t>Số 38, KP 4, ấp 8</t>
  </si>
  <si>
    <t>3602817877</t>
  </si>
  <si>
    <t xml:space="preserve">Công Ty TNHH Một Thành Viên Thương Mại Và Dịch Vụ Vũ Đức                                                                                                                                       </t>
  </si>
  <si>
    <t xml:space="preserve">238/3 Tổ 7 ấp An Lâm - Long An - Long Thành - Đồng Nai                                                                                                                                             </t>
  </si>
  <si>
    <t xml:space="preserve">3602842640                    </t>
  </si>
  <si>
    <t>Công Ty TNHH Một Thành Viên Quốc Bảo Bảo</t>
  </si>
  <si>
    <t>ấp Xóm Gốc, QL 51, Xã Long An</t>
  </si>
  <si>
    <t xml:space="preserve">3602903251                    </t>
  </si>
  <si>
    <t>CÔNG TY TNHH HAYAMIZU VIỆT NAM</t>
  </si>
  <si>
    <t>Số 11, Đường số 5, KCN Long Thành</t>
  </si>
  <si>
    <t>3602917430</t>
  </si>
  <si>
    <t>CÔNG TY TNHH NANKAI KINZOKU VIỆT NAM</t>
  </si>
  <si>
    <t xml:space="preserve">3602922462                    </t>
  </si>
  <si>
    <t>CÔNG TY TNHH SẢN XUẤT THƯƠNG MẠI BÁCH LỢI</t>
  </si>
  <si>
    <t>Nhà văn Phòng KCN Nhơn Trạch 6</t>
  </si>
  <si>
    <t>3600789804</t>
  </si>
  <si>
    <t>Công Ty TNHH Dệt May ECLAT Việt Nam</t>
  </si>
  <si>
    <t>3602920560</t>
  </si>
  <si>
    <t>CÔNG TY TNHH MỘT THÀNH VIÊN PHƯƠNG HẢI DƯƠNG</t>
  </si>
  <si>
    <t>Tổ 4, ấp Bình Lâm</t>
  </si>
  <si>
    <t>3602946865</t>
  </si>
  <si>
    <t>DNTN Kim Long Phát</t>
  </si>
  <si>
    <t>Ấp Bến Cộ, Xã Đại Phước, Huyện Nhơn Trạch</t>
  </si>
  <si>
    <t>3602951262</t>
  </si>
  <si>
    <t>Phòng Quản Lý Đô Thị Huyện Nhơn Trạch</t>
  </si>
  <si>
    <t>3602953541</t>
  </si>
  <si>
    <t>CÔNG TY CỔ PHẦN ĐẦU TƯ LONG THUẬN</t>
  </si>
  <si>
    <t>Tổ 6, ấp 3</t>
  </si>
  <si>
    <t>3600807979</t>
  </si>
  <si>
    <t>Công ty Liên Doanh Thuận Thêm</t>
  </si>
  <si>
    <t>ấp 3, Hương Lộ 19,  Xã Hiệp Phước</t>
  </si>
  <si>
    <t>3600808394</t>
  </si>
  <si>
    <t>Bệnh Viện Đa Khoa Khu Vực Long Thành</t>
  </si>
  <si>
    <t>Quốc lộ 51, Khu Phước Hải, Thị trấn Long Thành, Huyện Long Thành, Đồng Nai</t>
  </si>
  <si>
    <t xml:space="preserve">3600815289                    </t>
  </si>
  <si>
    <t>Công Ty Trách Nhiệm Hữu Hạn Nakagawa Denka Đồng Nai</t>
  </si>
  <si>
    <t>Khu công nghiệp Nhơn Trạch 5</t>
  </si>
  <si>
    <t xml:space="preserve">3600816268                    </t>
  </si>
  <si>
    <t>CÔNG TY TRÁCH NHIỆM HỮU HẠN DA LUEN (VIỆT NAM).</t>
  </si>
  <si>
    <t>3602976436</t>
  </si>
  <si>
    <t xml:space="preserve">Công ty TNHH Lữ Hành Hạnh Phúc                                                                                                                                                                     </t>
  </si>
  <si>
    <t xml:space="preserve">Kios số 01 , Bưu Điện Long Thành, tổ 3, Khu Phước Hải  - TT Long Thành - Long Thành - Đồng                                                                                                     </t>
  </si>
  <si>
    <t xml:space="preserve">3602994756                    </t>
  </si>
  <si>
    <t>CÔNG TY TNHH KOKEN VIỆT NAM</t>
  </si>
  <si>
    <t>Đường số 4, KCN Nhơn Trạch III-Giai đoạn 2</t>
  </si>
  <si>
    <t>3603015227</t>
  </si>
  <si>
    <t xml:space="preserve">Công Ty TNHH MTV Du Lịch Vận Tải Tuấn Hùng                                                                                                                                                         </t>
  </si>
  <si>
    <t xml:space="preserve">Tổ 8, ấp 1C - Phước Thái - Long Thành - Đồng Nai                                                                                                                                                  </t>
  </si>
  <si>
    <t xml:space="preserve">3603027166                    </t>
  </si>
  <si>
    <t>Công Ty TNHH Một Thành Viên Bích Tuyền Phát</t>
  </si>
  <si>
    <t>3603030874</t>
  </si>
  <si>
    <t>Công Ty TNHH Một Thành Viên Kỹ Thuật Xây Dựng Việt Hàn</t>
  </si>
  <si>
    <t>Ấp An Viễng</t>
  </si>
  <si>
    <t>3603042950</t>
  </si>
  <si>
    <t xml:space="preserve">Cty TNHH MTV Xây Lắp và Thương Mại Đức Thắng                                                                                                                                                      </t>
  </si>
  <si>
    <t xml:space="preserve">19 tổ 21 ấp 3 - Hiệp Phước - Nhơn Trạch - Đồng Nai                                                                                                                                                </t>
  </si>
  <si>
    <t>3603043489</t>
  </si>
  <si>
    <t>CÔNG TY TNHH THƯƠNG MẠI DỊCH VỤ XÂY DỰNG VẬN TẢI BẢO NGỌC</t>
  </si>
  <si>
    <t>Tổ 17, Khu Phước Hải</t>
  </si>
  <si>
    <t>3603044676</t>
  </si>
  <si>
    <t>Văn Phòng Đại Diện Toyo Textile Co., Ltd tại Đồng Nai</t>
  </si>
  <si>
    <t>Đường 25B, KCN Nhơn Trạch 3</t>
  </si>
  <si>
    <t xml:space="preserve">3603046539                    </t>
  </si>
  <si>
    <t>CÔNG TY TNHH TAIYO BRUSH VIỆT NAM</t>
  </si>
  <si>
    <t>Đường số 6, khu công nghiệp An Phước</t>
  </si>
  <si>
    <t>3600834556</t>
  </si>
  <si>
    <t>CÔNG TY TNHH HƯNG KHÁNH HUYỀN</t>
  </si>
  <si>
    <t>Tổ 9, Khu 15</t>
  </si>
  <si>
    <t>3600840239-002</t>
  </si>
  <si>
    <t>Chi Nhánh Mới Công Ty TNHH SUHEUNG Việt Nam</t>
  </si>
  <si>
    <t>Đường Số 12, KCN Long Thành, Xã Tam An, Huyện Long Thành, Đồng Nai</t>
  </si>
  <si>
    <t xml:space="preserve">3600840888                    </t>
  </si>
  <si>
    <t>Công Ty TNHH Thương Mại - Dịch Vụ Vận Chuyển Hoàng Anh Tiến</t>
  </si>
  <si>
    <t>ấp 6, Quốc lộ 51</t>
  </si>
  <si>
    <t>3600841264</t>
  </si>
  <si>
    <t xml:space="preserve">CÔNG TY TNHH CÔNG NGHệ TECO ( VIệT NAM                                                                                                                                                              </t>
  </si>
  <si>
    <t xml:space="preserve">Khu Công nghiệp Long Thành, Xã Tam An, Huyện Long Thành, Tỉnh Đồng Nai, Việt Nam                                                                                                                </t>
  </si>
  <si>
    <t xml:space="preserve">3603053649                    </t>
  </si>
  <si>
    <t>Văn Phòng Luật Sư Phương Anh</t>
  </si>
  <si>
    <t>KP 12</t>
  </si>
  <si>
    <t>3603054917</t>
  </si>
  <si>
    <t>Phòng Lao Động Thương Binh Xã Hội Huyện Long Thành</t>
  </si>
  <si>
    <t>3602886655</t>
  </si>
  <si>
    <t xml:space="preserve">Công Ty TNHH TM DV PCCC NAM THĂNG LONG                                                                                                                                                                </t>
  </si>
  <si>
    <t xml:space="preserve">Đường Nguyễn ái Quốc- ấp 1 - Long Thọ - Nhơn Trạch - Đồng Nai                                                                                                                                   </t>
  </si>
  <si>
    <t>3602920190</t>
  </si>
  <si>
    <t>Nguyễn Hải Phượng</t>
  </si>
  <si>
    <t>Số 3/6 QL 51 Ấp 1, Xã Long An, Huyện Long Thành</t>
  </si>
  <si>
    <t>3602936190</t>
  </si>
  <si>
    <t>CÔNG TY TNHH NITEX VINA</t>
  </si>
  <si>
    <t xml:space="preserve">3600855877                    </t>
  </si>
  <si>
    <t>Công ty TNHH IL Sam Việt Nam</t>
  </si>
  <si>
    <t>3600856045</t>
  </si>
  <si>
    <t>HTX  Dịch Vụ Nông Nghiệp Quyết Tiến</t>
  </si>
  <si>
    <t>ấp Bàu Bông</t>
  </si>
  <si>
    <t>3600866212</t>
  </si>
  <si>
    <t>Công Ty TNHH Một Thành Viên Thương Mại Xây Dựng Tân Lợi Phú</t>
  </si>
  <si>
    <t>Số 04, ấp 1C, Quốc lộ 51</t>
  </si>
  <si>
    <t>3602978200</t>
  </si>
  <si>
    <t>Công Ty TNHH Đường Hán</t>
  </si>
  <si>
    <t>C8, Hẻm 143, đường Lê Duẩn, khu Phước Hải</t>
  </si>
  <si>
    <t>3602987766</t>
  </si>
  <si>
    <t>CÔNG TY TNHH IMPACK VIỆT NAM</t>
  </si>
  <si>
    <t>Đường số 6, Khu Công nghiệp Long Thành</t>
  </si>
  <si>
    <t>3603007071</t>
  </si>
  <si>
    <t>Công Ty TNHH Xuất Nhập Khẩu Dương Khang</t>
  </si>
  <si>
    <t>Tổ 12, Khu Phước Long, Đường Hai Bà Trưng</t>
  </si>
  <si>
    <t>3603009819</t>
  </si>
  <si>
    <t>CÔNG TY TNHH MỘT THÀNH VIÊN YẾN SÀO TÂN VIỆT</t>
  </si>
  <si>
    <t>VPGD: Lầu 1, số 704C, đường Lê Duẩn, tổ 29, Khu Cầu Xéo</t>
  </si>
  <si>
    <t xml:space="preserve">3603042291                    </t>
  </si>
  <si>
    <t>CÔNG TY TNHH CƠ KHÍ BẢO KHÁNH</t>
  </si>
  <si>
    <t>318/26 Hùng Vương,Khu Phố Phước Kiểng</t>
  </si>
  <si>
    <t xml:space="preserve">3603043785                    </t>
  </si>
  <si>
    <t>Doanh Nghiệp Tư Nhân Kim Thành Tuấn</t>
  </si>
  <si>
    <t>Số 40, Tổ 18, Ấp 3</t>
  </si>
  <si>
    <t xml:space="preserve">3603049554                    </t>
  </si>
  <si>
    <t>Công Ty TNHH The Support Việt Nam</t>
  </si>
  <si>
    <t>3603050912</t>
  </si>
  <si>
    <t>DOANH NGHIỆP TƯ NHÂN MINH TÂM HIẾU</t>
  </si>
  <si>
    <t>3603051803</t>
  </si>
  <si>
    <t xml:space="preserve">Công Ty TNHH Một Thành Viên Xây Dựng - Thương Mại Dịch Vụ Thiên Phú                                                                                                                           </t>
  </si>
  <si>
    <t xml:space="preserve">ấp 3 - Hiệp Phước - Nhơn Trạch - Đồng Nai                                                                                                                                                          </t>
  </si>
  <si>
    <t xml:space="preserve">3603054138                    </t>
  </si>
  <si>
    <t>CÔNG TY TNHH JUNGWOO VINA</t>
  </si>
  <si>
    <t>3600878232</t>
  </si>
  <si>
    <t>CÔNG TY TNHH CƠ KHÍ VÀ XÂY DỰNG ĐÔNG SƠN</t>
  </si>
  <si>
    <t>Lô B310-311-312, Khu công nghiệp Vinatex-Tân Tạo</t>
  </si>
  <si>
    <t xml:space="preserve">3600881838                    </t>
  </si>
  <si>
    <t>CÔNG TY CỔ PHẦN VIỆT TIẾN ĐÔNG Á</t>
  </si>
  <si>
    <t>KCN Vinatex - Tân Tạo</t>
  </si>
  <si>
    <t xml:space="preserve">3600882782                    </t>
  </si>
  <si>
    <t>CÔNG TY TNHH KỸ THUẬT BUENO</t>
  </si>
  <si>
    <t>Đường 25B, Khu Công nghiệp Nhơn Trạch III-giai đoạn 2</t>
  </si>
  <si>
    <t>3600891032</t>
  </si>
  <si>
    <t>CÔNG TY TNHH TAEYANG SAIGON</t>
  </si>
  <si>
    <t>3603066817</t>
  </si>
  <si>
    <t xml:space="preserve">Công Ty TNHH TMDV Điện Minh Vân                                                                                                                                                                      </t>
  </si>
  <si>
    <t xml:space="preserve">Số 24 - Đường Tôn Đức Thắng - Tổ 18 - ấp 3 - Hiệp Phước - Nhơn Trạch - Đồng Nai                                                                                                              </t>
  </si>
  <si>
    <t xml:space="preserve">3603068892                    </t>
  </si>
  <si>
    <t>CÔNG TY TNHH PARAMOUNT BED VIỆT NAM</t>
  </si>
  <si>
    <t>Lô H1, KCN Long Đức</t>
  </si>
  <si>
    <t xml:space="preserve">3603072419                    </t>
  </si>
  <si>
    <t>CÔNG TY TNHH BAO BÌ NHẬT BẢN ĐỒNG NAI (VN)</t>
  </si>
  <si>
    <t>Lô B1, Đường D2, KCN Long Đức</t>
  </si>
  <si>
    <t>3603072786</t>
  </si>
  <si>
    <t>Công Ty TNHH Một Thành Viên Hoàng Mỹ Long Thành</t>
  </si>
  <si>
    <t>3603073324</t>
  </si>
  <si>
    <t xml:space="preserve">Công ty TNHH Một Thành Viên Mỹ Nghệ Thiên Thảo                                                                                                                                                  </t>
  </si>
  <si>
    <t xml:space="preserve">Khu 14 - Long Đức - Long Thành - Đồng Nai                                                                                                                                                            </t>
  </si>
  <si>
    <t>3603073758</t>
  </si>
  <si>
    <t xml:space="preserve">Cty TNHH MTV TMDV Cơ AZ Vina                                                                                                                                                                            </t>
  </si>
  <si>
    <t xml:space="preserve">ấp 3 - An Phước - Long Thành - Đồng Nai                                                                                                                                                             </t>
  </si>
  <si>
    <t>3602953502</t>
  </si>
  <si>
    <t>CÔNG TY TNHH MỘT THÀNH VIÊN LONG THÀNH PHÚC THỊNH</t>
  </si>
  <si>
    <t>Số 16A1, ấp 2</t>
  </si>
  <si>
    <t xml:space="preserve">3602957962                    </t>
  </si>
  <si>
    <t>Doanh Nghiệp Tư Nhân Phương Điền</t>
  </si>
  <si>
    <t>Tổ 1, ấp Bình Phú</t>
  </si>
  <si>
    <t xml:space="preserve">3602960757                    </t>
  </si>
  <si>
    <t>CÔNG TY TNHH DỊCH VỤ AN TOÀN PHÁT</t>
  </si>
  <si>
    <t>Số 60, Tôn Đức Thắng, Khu phố Phước Khiểng</t>
  </si>
  <si>
    <t>3602968322</t>
  </si>
  <si>
    <t>Công Ty TNHH Sản Xuất Thương Mại Dịch Vụ Bảo Toàn Phát</t>
  </si>
  <si>
    <t>Tổ 5, ấp 1</t>
  </si>
  <si>
    <t>3603008639</t>
  </si>
  <si>
    <t xml:space="preserve">Công Ty TNHH ZEDER VIệT NAM                                                                                                                                                                           </t>
  </si>
  <si>
    <t xml:space="preserve">Đường số 10, Khu Công Nghiệp Long Thành, Xã Tam An, Huyện Long Thành, Đồng Nai, Việt Nam                                                                                                      </t>
  </si>
  <si>
    <t>3603022390</t>
  </si>
  <si>
    <t>CÔNG TY TNHH PHÁT TRIỂN NHÀ THỊNH PHÚ</t>
  </si>
  <si>
    <t>Số 47, đường ấp 8, ấp 8</t>
  </si>
  <si>
    <t xml:space="preserve">3603043746                    </t>
  </si>
  <si>
    <t>CÔNG TY TNHH NHÀ HÀNG XÊ UN VIỆT NAM</t>
  </si>
  <si>
    <t>Tổ 1, Ấp Xóm Gốc</t>
  </si>
  <si>
    <t>3603044563</t>
  </si>
  <si>
    <t>Hợp Tác Xã Thương Mại Dịch Vụ Thanh Niên Nhơn Trạch</t>
  </si>
  <si>
    <t>ấp 3</t>
  </si>
  <si>
    <t>3603044588</t>
  </si>
  <si>
    <t>CÔNG TY TNHH DỊCH VỤ THƯƠNG MẠI MÓN ĂN VIỆT</t>
  </si>
  <si>
    <t>Số K6/272, Tổ 24, Khu Văn Hải</t>
  </si>
  <si>
    <t>3603075554</t>
  </si>
  <si>
    <t>Công Ty TNHH XDTM Chí Toàn An</t>
  </si>
  <si>
    <t>3603077110</t>
  </si>
  <si>
    <t>DNTN Hy Ngọc</t>
  </si>
  <si>
    <t>Ấp 2, Xã Phước Bình, Huyện Long Thành</t>
  </si>
  <si>
    <t xml:space="preserve">3603081283                    </t>
  </si>
  <si>
    <t>CÔNG TY TNHH MỘT THÀNH VIÊN DỊCH VỤ- THƯƠNG MẠI NGUYỄN HỒNG BÍCH</t>
  </si>
  <si>
    <t>Tổ 7, Khu Phước Hải</t>
  </si>
  <si>
    <t>3603082590</t>
  </si>
  <si>
    <t xml:space="preserve">Công Ty TNHH Một Thành Viên Thương Mại Hạnh Thịnh Phát                                       </t>
  </si>
  <si>
    <t xml:space="preserve">Số 11, tổ 14, Khu tái định cư, ấp 3 - Hiệp Phước - Nhơn Trạch - Đồng Nai                    </t>
  </si>
  <si>
    <t>3603083410</t>
  </si>
  <si>
    <t xml:space="preserve">Công Ty TNHH Trí Khải Khánh                                                                                                                                                                          </t>
  </si>
  <si>
    <t xml:space="preserve">1043/12/1 tổ 5 ấp 1  - Long An - Long Thành - Đồng Nai                                                                                                                                              </t>
  </si>
  <si>
    <t>3603064009</t>
  </si>
  <si>
    <t>Công Ty TNHH Một Thành Viên Hữu Hoàng Huy</t>
  </si>
  <si>
    <t>Số 137A, đường Trần Văn Ơn, tổ 10, khu 12</t>
  </si>
  <si>
    <t xml:space="preserve">3603067352                    </t>
  </si>
  <si>
    <t>CÔNG TY TNHH NHỰA MING FENG VIỆT NAM</t>
  </si>
  <si>
    <t>Đường N4, KCN dệt May Nhơn Trạch</t>
  </si>
  <si>
    <t>3603067458</t>
  </si>
  <si>
    <t xml:space="preserve">Công Ty TNHH MTV Bình Phú Hưng                                                                    </t>
  </si>
  <si>
    <t xml:space="preserve">126 - Tổ 2 - ấp Hiền Hòa - Phước Thái - Long Thành - Đồng Nai                               </t>
  </si>
  <si>
    <t>3600892759</t>
  </si>
  <si>
    <t xml:space="preserve">DNTN Vinh Cường Long Thành                                                                                                                                                                            </t>
  </si>
  <si>
    <t xml:space="preserve">133 ấp 5  - An Phước - Long Thành - Đồng Nai                                                                                                                                                        </t>
  </si>
  <si>
    <t xml:space="preserve">3600892847                    </t>
  </si>
  <si>
    <t>CÔNG TY TRÁCH NHIỆM HỮU HẠN VIỆT NAM CENTER POWER TECH.</t>
  </si>
  <si>
    <t>Đường 5C, Khu công nghiệp Nhơn trạch II</t>
  </si>
  <si>
    <t>3600893216</t>
  </si>
  <si>
    <t xml:space="preserve">Tiêu Viết Hồng                                                                                                                                                                                      </t>
  </si>
  <si>
    <t xml:space="preserve">Phú Hà- Mỹ Xuân- Tân Thành - Bà Rịa - Vũng Tàu                                                                                                                                                 </t>
  </si>
  <si>
    <t>3600893569</t>
  </si>
  <si>
    <t>CÔNG TY TNHH AN PHÚC TÍN</t>
  </si>
  <si>
    <t>Số 100, Đường Hùng Vương, KP Mỹ Khoan</t>
  </si>
  <si>
    <t xml:space="preserve">3600897316                    </t>
  </si>
  <si>
    <t>CÔNG TY CỔ PHẦN ĐIỆN LỰC DẦU KHÍ NHƠN TRẠCH 2</t>
  </si>
  <si>
    <t xml:space="preserve">3600899433                    </t>
  </si>
  <si>
    <t>CÔNG TY TNHH MỘT THÀNH VIÊN VẬT LIỆU XÂY DỰNG HÙNG NGỌC</t>
  </si>
  <si>
    <t>Số 15, ấp Long Phú, Quốc lộ 51</t>
  </si>
  <si>
    <t>3600899521</t>
  </si>
  <si>
    <t>CÔNG TY TNHH CÔNG NGHIỆP VIETWIN.</t>
  </si>
  <si>
    <t>Đường 6B, KCN Nhơn Trạch II</t>
  </si>
  <si>
    <t>3600899779</t>
  </si>
  <si>
    <t xml:space="preserve">CTy TNHH Song Long Việt                                                                                                                                                                                </t>
  </si>
  <si>
    <t xml:space="preserve">456-458 Quốc Lộ 51,ấp Hàng Gòn - Lộc An - Long Thành - Đồng Nai                                                                                                                                 </t>
  </si>
  <si>
    <t>3603045976</t>
  </si>
  <si>
    <t xml:space="preserve">3603046088                    </t>
  </si>
  <si>
    <t>CÔNG TY TNHH HOGETSU VIỆT NAM</t>
  </si>
  <si>
    <t>Đường số 4, KCN Nhơn Trạch III- Giai Đoạn 2</t>
  </si>
  <si>
    <t xml:space="preserve">3603048173                    </t>
  </si>
  <si>
    <t>CÔNG TY TNHH NAGAE VIỆT NAM</t>
  </si>
  <si>
    <t>Lô J-10, KCN Long Đức</t>
  </si>
  <si>
    <t>3603048455</t>
  </si>
  <si>
    <t>NGUYỄN THỊ THÙY TRANG (CỬA HÀNG HOA TƯƠI BAM BU)</t>
  </si>
  <si>
    <t>Ấp Đất Mới, Xã Phú Hội, Huyện Nhơn Trạch, Đồng Nai</t>
  </si>
  <si>
    <t xml:space="preserve">3603051218                    </t>
  </si>
  <si>
    <t>Công Ty TNHH Tone Việt Nam</t>
  </si>
  <si>
    <t xml:space="preserve">3603051881                    </t>
  </si>
  <si>
    <t>Công Ty TNHH Thương Mại Xây Dựng Đại Nguyên Phát</t>
  </si>
  <si>
    <t>Tổ 20, ấp Bà Ký</t>
  </si>
  <si>
    <t xml:space="preserve">3603055597                    </t>
  </si>
  <si>
    <t>CÔNG TY TNHH MỘT THÀNH VIÊN TẾ BẰNG</t>
  </si>
  <si>
    <t>Tổ 3, ấp 2</t>
  </si>
  <si>
    <t xml:space="preserve">3603068885                    </t>
  </si>
  <si>
    <t>Trường Mầm Non Phước Hiệp</t>
  </si>
  <si>
    <t>Ấp 5, xã Hiệp Phước, huyện Nhơn Trạch</t>
  </si>
  <si>
    <t xml:space="preserve">Tuyeán Phöôùc Thieàn 3                            </t>
  </si>
  <si>
    <t xml:space="preserve">3603068934                    </t>
  </si>
  <si>
    <t>CÔNG TY TNHH HORY VIỆT NAM</t>
  </si>
  <si>
    <t>Đường D4-1, KCN Long Đức</t>
  </si>
  <si>
    <t>3603075875</t>
  </si>
  <si>
    <t xml:space="preserve">Trần Văn Chiều                                                                                                                                                                                       </t>
  </si>
  <si>
    <t xml:space="preserve">Số 05 - ấp Xóm Gốc - Tổ 3 - Long An - Long Thành - Đồng Nai                                                                                                                                      </t>
  </si>
  <si>
    <t xml:space="preserve">3603078185                    </t>
  </si>
  <si>
    <t>CÔNG TY TNHH CÔNG NGHỆ YUEFA VIỆT NAM</t>
  </si>
  <si>
    <t xml:space="preserve">3603079566                    </t>
  </si>
  <si>
    <t>CÔNG TY TNHH YM TEX VIỆT NAM</t>
  </si>
  <si>
    <t>3603058326</t>
  </si>
  <si>
    <t>CÔNG TY TNHH MỘT THÀNH VIÊN CADIVI ĐỒNG NAI</t>
  </si>
  <si>
    <t>Đường số 1, Khu công nghiệp Long Thành</t>
  </si>
  <si>
    <t>3603068941</t>
  </si>
  <si>
    <t>CÔNG TY TNHH KATOEN NATIE VIỆT NAM</t>
  </si>
  <si>
    <t>KCN An Phước</t>
  </si>
  <si>
    <t>3603073395</t>
  </si>
  <si>
    <t>CÔNG TY TNHH MỘT THÀNH VIÊN MÔ TÔ TRIỆU ĐÔ</t>
  </si>
  <si>
    <t>Tổ 20, KP. Phước Kiểng</t>
  </si>
  <si>
    <t>3603073500</t>
  </si>
  <si>
    <t>DOANH NGHIỆP TƯ NHÂN ĐỨC PHƯƠNG ĐÔNG</t>
  </si>
  <si>
    <t>Số 925, Ấp 2</t>
  </si>
  <si>
    <t>3603074342</t>
  </si>
  <si>
    <t xml:space="preserve">Công ty TNHH Thương mại Vận tải Xuân Quang Long                                                                                                                                                    </t>
  </si>
  <si>
    <t xml:space="preserve">Tổ 7 Khu Bàu Cá - An Phước - Long Thành - Đồng Nai                                                                                                                                                </t>
  </si>
  <si>
    <t>3603074624</t>
  </si>
  <si>
    <t xml:space="preserve">Công ty TNHH MTV Hương Kim Sơn                                                                                                                                                                         </t>
  </si>
  <si>
    <t xml:space="preserve">Tổ 4, Khu Kim Sơn - TT Long Thành - Long Thành - Đồng Nai                                                                                                                                           </t>
  </si>
  <si>
    <t xml:space="preserve">3603078234                    </t>
  </si>
  <si>
    <t>CÔNG TY TNHH ASABA VIET NAM MANUFACTURING</t>
  </si>
  <si>
    <t xml:space="preserve">3603078259                    </t>
  </si>
  <si>
    <t>CÔNG TY TNHH SANWA EGG VIỆT NAM</t>
  </si>
  <si>
    <t>Lô K, KCN Lộc An - Bình Sơn</t>
  </si>
  <si>
    <t>3603080113</t>
  </si>
  <si>
    <t>CÔNG TY TNHH THƯƠNG MẠI KHÍ DẦU MỎ HÓA LỎNG VIỆT ÚC</t>
  </si>
  <si>
    <t>Số 190/TT, ấp An Bình</t>
  </si>
  <si>
    <t>3603080201</t>
  </si>
  <si>
    <t>Công Ty TNHH Thương Mại Xây Dựng Minh Huy Phát</t>
  </si>
  <si>
    <t>Ấp Bến Sắn</t>
  </si>
  <si>
    <t>3603082872</t>
  </si>
  <si>
    <t>CÔNG TY TNHH MỘT THÀNH VIÊN THƯƠNG MẠI HINH NGUYÊN</t>
  </si>
  <si>
    <t>Số 657, đường Hùng Vương, KP Phước Hiệp</t>
  </si>
  <si>
    <t xml:space="preserve">3603093070                    </t>
  </si>
  <si>
    <t>CÔNG TY TRÁCH NHIỆM HỮU HẠN MỘT THÀNH VIÊN CHÂU PHƯƠNG NAM</t>
  </si>
  <si>
    <t>Số 2095/16, tổ 7, ấp 1B</t>
  </si>
  <si>
    <t xml:space="preserve">3603101099                    </t>
  </si>
  <si>
    <t>CÔNG TY TNHH SỢI LONG THÁI TỬ</t>
  </si>
  <si>
    <t xml:space="preserve">3603083869                    </t>
  </si>
  <si>
    <t>CÔNG TY TNHH VŨ NAM GIANG</t>
  </si>
  <si>
    <t>Tổ 16, Ấp Phước Hòa</t>
  </si>
  <si>
    <t>3603088183</t>
  </si>
  <si>
    <t xml:space="preserve">Công Ty TNHH Một Thành Viên Dương Khang Lộc                                                                                                                                                        </t>
  </si>
  <si>
    <t xml:space="preserve">Tổ 16, Đường 319 , ấp Bến Cam  - Phước Thiền - Nhơn Trạch - Đồng Nai                                                                                                                            </t>
  </si>
  <si>
    <t>3603113129</t>
  </si>
  <si>
    <t>Công Ty TNHH MTV TMDV Lộc Hòa Phát</t>
  </si>
  <si>
    <t>108 Tổ 9 Ấp 2 Xã An Phước, Long Thành, Đồng Nai</t>
  </si>
  <si>
    <t xml:space="preserve">3603114115                    </t>
  </si>
  <si>
    <t>CÔNG TY CỔ PHẦN SAM PHÚ</t>
  </si>
  <si>
    <t>Số 199, tổ 8, khu B, ấp 6</t>
  </si>
  <si>
    <t xml:space="preserve">3603116264                    </t>
  </si>
  <si>
    <t>CÔNG TY TNHH  V-STAINLESS STEEL</t>
  </si>
  <si>
    <t>Đường số 4, KCN Nhơn Trạch III, - giai đoạn II</t>
  </si>
  <si>
    <t>3603121176</t>
  </si>
  <si>
    <t xml:space="preserve">Đường Số 10, Khu Công Nghiệp Long Thành, Xã Tam An , Huyện Long Thành, Đồng Nai, Việt Nam                                                                                                     </t>
  </si>
  <si>
    <t>3603123060</t>
  </si>
  <si>
    <t>CÔNG TY CỔ PHẦN ĐẠI PHƯỚC SWANCITY ONE MEA</t>
  </si>
  <si>
    <t>Cù lao Ông Cồn</t>
  </si>
  <si>
    <t xml:space="preserve">3603139991                    </t>
  </si>
  <si>
    <t>CÔNG TY TNHH KUK IL VIỆT NAM</t>
  </si>
  <si>
    <t xml:space="preserve">3603144913                    </t>
  </si>
  <si>
    <t>CÔNG TY TNHH INOUE VIETNAM</t>
  </si>
  <si>
    <t>Đường số 2, KCN Nhơn trạch 3, Giai đoạn 2</t>
  </si>
  <si>
    <t xml:space="preserve">3603150681                    </t>
  </si>
  <si>
    <t>CÔNG TY TNHH TAYCA (VIỆT NAM)</t>
  </si>
  <si>
    <t>KCN Long Đức</t>
  </si>
  <si>
    <t xml:space="preserve">3603151269                    </t>
  </si>
  <si>
    <t>CÔNG TY TNHH MỘT THÀNH VIÊN THƯƠNG MẠI DỊCH VỤ VẬN TẢI ANH KHÔI</t>
  </si>
  <si>
    <t>Số 446/13/10, đường Lý Thái Tổ, ấp Bến Cam</t>
  </si>
  <si>
    <t>3603152181</t>
  </si>
  <si>
    <t xml:space="preserve">Công TyTNHH Anh Thành Công                                                                                                                                                                           </t>
  </si>
  <si>
    <t xml:space="preserve">Số 476 - Tổ 9 - ấp Hiền Hòa - Phước Thái - Long Thành - Đồng Nai                                                                                                                               </t>
  </si>
  <si>
    <t xml:space="preserve">3600919312                    </t>
  </si>
  <si>
    <t>CÔNG TY TNHH SANG GEE ROLL VIỆT NAM</t>
  </si>
  <si>
    <t>Khu Công Nghiệp Dệt May Nhơn Trạch</t>
  </si>
  <si>
    <t>3600920413</t>
  </si>
  <si>
    <t>CÔNG TY TRÁCH NHIỆM HỮU HẠN THƯƠNG MẠI DỊCH VỤ VẬN TẢI HIỆP THUẬN PHÁT</t>
  </si>
  <si>
    <t>Số 562, Ấp 2, Quốc lộ 51</t>
  </si>
  <si>
    <t xml:space="preserve">3600921745                    </t>
  </si>
  <si>
    <t>CÔNG TY TNHH HYUNDAI WELDING VINA.</t>
  </si>
  <si>
    <t xml:space="preserve">3603153435                    </t>
  </si>
  <si>
    <t>CÔNG TY TNHH TORRECID VIỆT NAM</t>
  </si>
  <si>
    <t xml:space="preserve">3603153481                    </t>
  </si>
  <si>
    <t>Công Ty TNHH Một Thành Viên Thành Trí Phát</t>
  </si>
  <si>
    <t>Tổ 3, Ấp 2</t>
  </si>
  <si>
    <t>3603167244</t>
  </si>
  <si>
    <t>DOANH NGHIỆP TƯ NHÂN XOA BÓP HỒNG LOAN</t>
  </si>
  <si>
    <t>Quốc lộ 51, tổ 1, ấp 5</t>
  </si>
  <si>
    <t xml:space="preserve">3603169065                    </t>
  </si>
  <si>
    <t>CÔNG TY TNHH KOVA NANOPRO</t>
  </si>
  <si>
    <t>92h-92g, Đường Nguyễn Hữu Cảnh, Phường 22, Quận Bình Thạnh, TP Hồ Chí Minh</t>
  </si>
  <si>
    <t>3603177757-001</t>
  </si>
  <si>
    <t>Quầy Thuốc Mai Tín</t>
  </si>
  <si>
    <t xml:space="preserve">3603184899                    </t>
  </si>
  <si>
    <t>Công Ty TNHH Một Thành Viên Tm - Xd Sơn Huyền S.Q.H</t>
  </si>
  <si>
    <t>Tổ 15, Khu 13, Quốc Lộ 51</t>
  </si>
  <si>
    <t>3603185204</t>
  </si>
  <si>
    <t>Cửa hàng Vật Liệu Xây Dựng Tổng Hợp An Phước</t>
  </si>
  <si>
    <t>Tổ 1 khu 1 ấp 7, xã An Phước, huyện Long Thành</t>
  </si>
  <si>
    <t>3603189311</t>
  </si>
  <si>
    <t>Công An Xã Phước Khánh</t>
  </si>
  <si>
    <t>Xã Phước Khánh, Huyện Nhơn Trạch</t>
  </si>
  <si>
    <t>3603190596</t>
  </si>
  <si>
    <t>CÔNG TY TNHH YAMASHITA PLASTIC VIET NAM</t>
  </si>
  <si>
    <t>Đường số 6, KCN Nhơn Trạch 3, Giai đoạn 2</t>
  </si>
  <si>
    <t xml:space="preserve">3603195410                    </t>
  </si>
  <si>
    <t>Công Ty TNHH Một Thành Viên Trang Trí Nội Thất Nguyên Minh</t>
  </si>
  <si>
    <t>Số 03, Tổ 12, Ấp 1</t>
  </si>
  <si>
    <t xml:space="preserve">3603196044                    </t>
  </si>
  <si>
    <t>CÔNG TY TNHH FSV INDUSTRY</t>
  </si>
  <si>
    <t>Đường số 6, Khu công nghiệp Nhơn Trạch 3 - giai đoạn 2</t>
  </si>
  <si>
    <t xml:space="preserve">3600925891                    </t>
  </si>
  <si>
    <t>CÔNG TY TRÁCH NHIỆM HỮU HẠN Y.S.P VIỆT NAM</t>
  </si>
  <si>
    <t>Đường số 6, KCN Nhơn Trạch III - Giai đoạn II</t>
  </si>
  <si>
    <t xml:space="preserve">3600929173                    </t>
  </si>
  <si>
    <t>CÔNG TY TNHH SAMMI</t>
  </si>
  <si>
    <t>KCN Nhơn Trạch 3, giai đoạn 2</t>
  </si>
  <si>
    <t xml:space="preserve">3600932680                    </t>
  </si>
  <si>
    <t>CÔNG TY TNHH MỘT THÀNH VIÊN NHƠN THỊNH</t>
  </si>
  <si>
    <t>Số 051, tổ 1, ấp Thanh Minh, Hương lộ 19</t>
  </si>
  <si>
    <t xml:space="preserve">3600938812                    </t>
  </si>
  <si>
    <t>CÔNG TY TNHH CÔNG NGHIỆP KANG YUAN VIỆT NAM</t>
  </si>
  <si>
    <t>Đường số 10, KCN Nhơn Trạch I</t>
  </si>
  <si>
    <t xml:space="preserve">3600942618                    </t>
  </si>
  <si>
    <t>CÔNG TY TNHH TÍN AN</t>
  </si>
  <si>
    <t>Số 366, đường Lê Duẩn, khu Văn Hải</t>
  </si>
  <si>
    <t xml:space="preserve">3600954469                    </t>
  </si>
  <si>
    <t>CÔNG TY TNHH KIM HỒNG LONG</t>
  </si>
  <si>
    <t>Ấp Đất Mới</t>
  </si>
  <si>
    <t>3603205725</t>
  </si>
  <si>
    <t>Trường Trung Học Cơ Sở Phú Hội</t>
  </si>
  <si>
    <t xml:space="preserve">3603207673-002                </t>
  </si>
  <si>
    <t>Chi Nhánh 2 Công Ty TNHH Một Thành Viên Đặng Khả Tú</t>
  </si>
  <si>
    <t>Số 9, Tổ 3, Ấp Thanh Bình, Xã Lộc An, Huyện Long Thành, Đồng Nai</t>
  </si>
  <si>
    <t>3603207881</t>
  </si>
  <si>
    <t>CÔNG TY TNHH APEL VINA</t>
  </si>
  <si>
    <t xml:space="preserve">3603208839                    </t>
  </si>
  <si>
    <t>CÔNG TY TNHH KYC MACHINE INDUSTRY VIỆT NAM</t>
  </si>
  <si>
    <t>3600961667-009</t>
  </si>
  <si>
    <t xml:space="preserve">Bưu Điện KV Long Thành Nhơn Trạch                                                                                                                                                                    </t>
  </si>
  <si>
    <t xml:space="preserve">Tổ 15 Khu Phước Hải - TT Long Thành - Long Thành - Đồng Nai                                                                                                                                       </t>
  </si>
  <si>
    <t xml:space="preserve">3600974465                    </t>
  </si>
  <si>
    <t>CÔNG TY TRÁCH NHIỆM HỮU HẠN DK VINA</t>
  </si>
  <si>
    <t>Lô C.II.I-7, đường 5, Khu Công nghiệp Long Thành</t>
  </si>
  <si>
    <t xml:space="preserve">3603218918                    </t>
  </si>
  <si>
    <t>CÔNG TY TNHH TEXEL-SEIKOW VIỆT NAM</t>
  </si>
  <si>
    <t>3603219277</t>
  </si>
  <si>
    <t>CÔNG TY CỔ PHẦN ĐẦU TƯ XÂY DỰNG THƯƠNG MẠI NHẤT ĐỈNH</t>
  </si>
  <si>
    <t>Số 41, Lô C3, ấp Vũng Gấm</t>
  </si>
  <si>
    <t>3603224196</t>
  </si>
  <si>
    <t xml:space="preserve">Công Ty TNHH Một Thành Viên Thương Mại Dịch Vụ Kỹ Thuật Điện Hồng Dũng                  </t>
  </si>
  <si>
    <t>Số 401, Lý Thái Tổ , Tố 17, ấp Bến Sắn, Xã Phước Thiền, Huyện Nhơn Trạch, Tỉnh Đồng Na</t>
  </si>
  <si>
    <t xml:space="preserve">3603236138                    </t>
  </si>
  <si>
    <t>Công Ty TNHH Một Thành Viên Khang Minh Phát</t>
  </si>
  <si>
    <t xml:space="preserve">3603236787                    </t>
  </si>
  <si>
    <t>CÔNG TY TRÁCH NHIỆM HỮU HẠN DỊCH VỤ ĂN UỐNG HỒNG AN KHANG</t>
  </si>
  <si>
    <t>Tổ 5, Khu 13</t>
  </si>
  <si>
    <t xml:space="preserve">3603110294                    </t>
  </si>
  <si>
    <t>CÔNG TY TNHH SETTSU CARTON VIỆT NAM</t>
  </si>
  <si>
    <t>Đường D4-1, Khu công nghiệp Long Đức</t>
  </si>
  <si>
    <t>3603118399</t>
  </si>
  <si>
    <t>CÔNG TY TNHH MỘT THÀNH VIÊN VỎ XE PHÚC THẠNH LỢI</t>
  </si>
  <si>
    <t>Quốc lộ 51, khu 13</t>
  </si>
  <si>
    <t>3603118487</t>
  </si>
  <si>
    <t>Công Ty TNHH Thương Mại Xây Dựng Hoàng Tuấn Hưng</t>
  </si>
  <si>
    <t>Số 01, Chợ Long Thọ, ấp 1</t>
  </si>
  <si>
    <t xml:space="preserve">3603126978                    </t>
  </si>
  <si>
    <t>CÔNG TY TNHH MARVELOUS LAND INT’L VIỆT NAM</t>
  </si>
  <si>
    <t>3603239241</t>
  </si>
  <si>
    <t>CÔNG TY TNHH THƯƠNG MẠI VÀ DỊCH VỤ KỸ THUẬT THUẬN HOÀNG LÂM</t>
  </si>
  <si>
    <t>Số C6-17, Khu Đô thị Thăng Long Home</t>
  </si>
  <si>
    <t>3603245118</t>
  </si>
  <si>
    <t>CÔNG TY TNHH MỘT THÀNH VIÊN VÀNG BẠC ĐÁ QUÝ KIM KHANH</t>
  </si>
  <si>
    <t>Số 188, đường Tôn Đức Thắng, ấp 3</t>
  </si>
  <si>
    <t xml:space="preserve">3603263251                    </t>
  </si>
  <si>
    <t>CÔNG TY TNHH CƠ KHÍ THƯƠNG MẠI DỊCH VỤ THANH BÌNH PHÁT</t>
  </si>
  <si>
    <t>Số 1149, đường Hùng Vương, ấp 5</t>
  </si>
  <si>
    <t>3603263484</t>
  </si>
  <si>
    <t>Công Ty TNHH Một Thành Viên Thương Mại Dịch Vụ Nhất My</t>
  </si>
  <si>
    <t>Số 102, tổ 9A, Khu 12</t>
  </si>
  <si>
    <t xml:space="preserve">3603266164                    </t>
  </si>
  <si>
    <t>CÔNG TY TNHH CÔNG TRÌNH THÁI NHẤT</t>
  </si>
  <si>
    <t>Tổ 9, ấp 2</t>
  </si>
  <si>
    <t>3603268267</t>
  </si>
  <si>
    <t>Công Ty TNHH Một Thành Viên Thành Quyên Thy</t>
  </si>
  <si>
    <t>Tổ 2, Khu A, ấp 5</t>
  </si>
  <si>
    <t>3603125452</t>
  </si>
  <si>
    <t xml:space="preserve">Nguyễn Anh Tuấn                                                                                                                                                                                       </t>
  </si>
  <si>
    <t xml:space="preserve">ấp Bàu Bông, Phước An, Nhơn Trạch, Đồng Nai                                                                                                                                                       </t>
  </si>
  <si>
    <t>3603125847</t>
  </si>
  <si>
    <t>Công ty TNHH Polycom</t>
  </si>
  <si>
    <t>KCN Long Thành, TT Long Thành, huyện Long Thành</t>
  </si>
  <si>
    <t>3603133622</t>
  </si>
  <si>
    <t>Công ty TNHH STARHARDTECH</t>
  </si>
  <si>
    <t>Đường số 6, KCNNhơn Trạch 3 - Giai đoạn 2</t>
  </si>
  <si>
    <t xml:space="preserve">3603143719                    </t>
  </si>
  <si>
    <t>CÔNG TY TNHH ZEDER VIỆT NAM</t>
  </si>
  <si>
    <t>Đường số 10, Khu Công nghiệp Long Thành</t>
  </si>
  <si>
    <t xml:space="preserve">3603144938                    </t>
  </si>
  <si>
    <t>CÔNG TY TNHH HÓA CHẤT FUJI VIỆT NAM</t>
  </si>
  <si>
    <t>Đường D4-1, Khu Công nghiệp Long Đức</t>
  </si>
  <si>
    <t>3603151043</t>
  </si>
  <si>
    <t xml:space="preserve">CÔNG TY TNHH VI NA HOàNG LONG Vũ                                                                                                                                                                     </t>
  </si>
  <si>
    <t xml:space="preserve">Tổ 2- ấp Hiền Đức- Xã Phước Thái - Huyện Long Thành - Tỉnh Đồng Nai- Việt Nam                                                                                                                </t>
  </si>
  <si>
    <t>3603153523</t>
  </si>
  <si>
    <t xml:space="preserve">Công Ty TNHH Một Thành Viên Hệ Thống Vĩ An                                                                                                                                                        </t>
  </si>
  <si>
    <t xml:space="preserve">628 - Hùng Vương - ấp 5 - Hiệp Phước - Nhơn Trạch - Đồng Nai                                                                                                                                      </t>
  </si>
  <si>
    <t xml:space="preserve">3603155640                    </t>
  </si>
  <si>
    <t>CÔNG TY TNHH MỘT THÀNH VIÊN TRANG HẬU PHƯƠNG</t>
  </si>
  <si>
    <t>Số 230A, Tổ 4, Ấp Hiền Hòa</t>
  </si>
  <si>
    <t>3603158560</t>
  </si>
  <si>
    <t>CÔNG TY TNHH TRẦN HUY GIA</t>
  </si>
  <si>
    <t>Tổ 4, Ấp Bưng Cơ</t>
  </si>
  <si>
    <t>3603175157</t>
  </si>
  <si>
    <t xml:space="preserve">Công ty TNHH Một Thành Viên Nhã An                                                             </t>
  </si>
  <si>
    <t xml:space="preserve">Số 59, Nguyễn Văn Cừ - TT Long Thành - Long Thành - Đồng Nai                                 </t>
  </si>
  <si>
    <t>3603193413</t>
  </si>
  <si>
    <t>Công Ty TNHH Trần Gia Long</t>
  </si>
  <si>
    <t>Số 357D, tổ 3</t>
  </si>
  <si>
    <t>3603202964</t>
  </si>
  <si>
    <t>Công Ty TNHH Một Thành Viên Quốc Min</t>
  </si>
  <si>
    <t>Khu 1, ấp 7</t>
  </si>
  <si>
    <t xml:space="preserve">3603131819                    </t>
  </si>
  <si>
    <t>CÔNG TY TNHH MỘT THÀNH VIÊN KIM BẢO NHI</t>
  </si>
  <si>
    <t>Số 517/17, Tổ 9, ấp 1</t>
  </si>
  <si>
    <t xml:space="preserve">3603132192                    </t>
  </si>
  <si>
    <t>CÔNG TY TNHH KOATSU GAS KOGYO VIỆT NAM</t>
  </si>
  <si>
    <t>3603133157</t>
  </si>
  <si>
    <t>Trường Mầm Non Tri Thức</t>
  </si>
  <si>
    <t xml:space="preserve">3603205637                    </t>
  </si>
  <si>
    <t>Công Ty TNHH Một Thành Viên Vi Tính Hoàng Huy</t>
  </si>
  <si>
    <t>Số 1376, ấp Phước Hòa</t>
  </si>
  <si>
    <t xml:space="preserve">3603212835                    </t>
  </si>
  <si>
    <t>Công Ty TNHH Một Thành Viên Quang Phúc Phát</t>
  </si>
  <si>
    <t>Số 189/4, tổ 3, ấp Hiền Hòa</t>
  </si>
  <si>
    <t xml:space="preserve">3603216043                    </t>
  </si>
  <si>
    <t>CÔNG TY TNHH XÂY DỰNG ANH CHÂU</t>
  </si>
  <si>
    <t>2353/45, Ấp 2</t>
  </si>
  <si>
    <t>3603143710</t>
  </si>
  <si>
    <t xml:space="preserve">Công ty TNHH ZEDER Việt Nam                                                                                                                                                                           </t>
  </si>
  <si>
    <t xml:space="preserve">3603145233                    </t>
  </si>
  <si>
    <t>Công Ty TNHH Một Thành Viên Thương Mại Anh Lê</t>
  </si>
  <si>
    <t>Quốc lộ 51, Ấp Tập Phước</t>
  </si>
  <si>
    <t>3603152689</t>
  </si>
  <si>
    <t>Công Ty TNHH Một Thành Viên Nắng Á Đông</t>
  </si>
  <si>
    <t>Tổ 12, ấp Tập Phước</t>
  </si>
  <si>
    <t>3603154735</t>
  </si>
  <si>
    <t>CÔNG TY TNHH CƠ KHÍ CÔNG TRÌNH TRƯỜNG VINH</t>
  </si>
  <si>
    <t>Số 11, Tổ 13, Khu phố Phước Kiểng</t>
  </si>
  <si>
    <t xml:space="preserve">3603156154                    </t>
  </si>
  <si>
    <t>CÔNG TY TNHH KHÁNH PHONG NGÂN</t>
  </si>
  <si>
    <t>Đường 25C, Khu công nghiệp Nhơn Trạch 3</t>
  </si>
  <si>
    <t>3603157775</t>
  </si>
  <si>
    <t xml:space="preserve">Công Ty TNHH Thương Mại Dịch Vụ Xuất Nhập Khẩu Vương Thái Anh                                                                                                                                    </t>
  </si>
  <si>
    <t xml:space="preserve">Số 17, Tổ 1, ấp Hàng Gòn, Xã Lộc An, Huyện Long Thành, Tỉnh Đồng Nai, Việt Nam                                                                                                               </t>
  </si>
  <si>
    <t xml:space="preserve">3603162253                    </t>
  </si>
  <si>
    <t>Văn Phòng Thừa Phát Lại Long Thành</t>
  </si>
  <si>
    <t>Đường Lê Duẩn, ấp 3</t>
  </si>
  <si>
    <t xml:space="preserve">3603226806                    </t>
  </si>
  <si>
    <t>Doanh Nghiệp Tư Nhân Vũ Thanh Nhàn</t>
  </si>
  <si>
    <t>Số 730, ấp 1</t>
  </si>
  <si>
    <t>3603228867</t>
  </si>
  <si>
    <t xml:space="preserve">Công Ty TNHH Một Thành Viên Thương Mại Dịch Vụ In ấn Điện Máy Bảy Hương                   </t>
  </si>
  <si>
    <t xml:space="preserve">QL 51B - Tô 34 - Khu Cầu Xéo - TT Long Thành - Long Thành - Đồng Nai                          </t>
  </si>
  <si>
    <t>3603231556</t>
  </si>
  <si>
    <t>CÔNG TY TNHH MỘT THÀNH VIÊN VẬN TẢI HOÀNG PHÚ LONG</t>
  </si>
  <si>
    <t>Số 216, Tổ 4, Ấp 7</t>
  </si>
  <si>
    <t>3603234469</t>
  </si>
  <si>
    <t>Công Ty TNHH Một Thành Viên Thương Mại Việt Hồng Phát</t>
  </si>
  <si>
    <t>Tổ 4, ấp An Lâm</t>
  </si>
  <si>
    <t>3603236346</t>
  </si>
  <si>
    <t>CÔNG TY TNHH DA THUỘC TAI YU</t>
  </si>
  <si>
    <t xml:space="preserve">3603238262                    </t>
  </si>
  <si>
    <t>CÔNG TY TNHH CÔNG NGHIỆP TÍN AN</t>
  </si>
  <si>
    <t>Số 125B, đường Cây Dầu, tổ 4, ấp Xóm Hố</t>
  </si>
  <si>
    <t>3603239139</t>
  </si>
  <si>
    <t>Công Ty TNHH Một Thành Viên Ngọc Linh Thịnh Phát</t>
  </si>
  <si>
    <t>Số 1866/27, tổ 7, ấp 1C</t>
  </si>
  <si>
    <t>3603164109</t>
  </si>
  <si>
    <t>CÔNG TY TNHH MỘT THÀNH VIÊN PHÒNG KHÁM ĐA KHOA THÀNH TÂM</t>
  </si>
  <si>
    <t>Tổ 14, Khu 3, ấp 7</t>
  </si>
  <si>
    <t xml:space="preserve">3603166233                    </t>
  </si>
  <si>
    <t>Công Ty Trách Nhiệm Hữu Hạn Cơ Khí Đại Á</t>
  </si>
  <si>
    <t>Tổ 7, Quốc lộ 51, ấp Đất Mới</t>
  </si>
  <si>
    <t xml:space="preserve">3603166755                    </t>
  </si>
  <si>
    <t>Trường Mầm Non Hương Sen</t>
  </si>
  <si>
    <t xml:space="preserve">3603167251                    </t>
  </si>
  <si>
    <t>CÔNG TY TNHH TƯ VẤN ĐẦU TƯ VÀ THƯƠNG MẠI VĨNH SINH</t>
  </si>
  <si>
    <t>Số 02, đường Lê Duẩn, tổ 7, khu 12</t>
  </si>
  <si>
    <t>3603171466</t>
  </si>
  <si>
    <t xml:space="preserve">Công Ty TNHH Fusin - Dragon                                                                                                                                                                            </t>
  </si>
  <si>
    <t xml:space="preserve">Số 9- Tổ 19-ấp 3- Hiệp Phước - Nhơn Trạch - Đồng Nai                                                                                                                                             </t>
  </si>
  <si>
    <t xml:space="preserve">3603176697                    </t>
  </si>
  <si>
    <t>CÔNG TY TRÁCH NHIỆM HỮU HẠN DONG-IL VIỆT NAM</t>
  </si>
  <si>
    <t>Lô F, KCN Lộc An - Bình Sơn</t>
  </si>
  <si>
    <t xml:space="preserve">3603186423                    </t>
  </si>
  <si>
    <t>CÔNG TY TNHH HIKARI VIỆT NAM</t>
  </si>
  <si>
    <t xml:space="preserve">3603189255                    </t>
  </si>
  <si>
    <t>CÔNG TY TNHH  VOLCAFE VIỆT NAM</t>
  </si>
  <si>
    <t>3603194047</t>
  </si>
  <si>
    <t>CÔNG TY TNHH MỘT THÀNH VIÊN TÍN ĐỨC THIỆN</t>
  </si>
  <si>
    <t>Số 459, Tổ 8, Ấp Hiền Hòa</t>
  </si>
  <si>
    <t xml:space="preserve">3603198394                    </t>
  </si>
  <si>
    <t>CÔNG TY TNHH KOSA VINA</t>
  </si>
  <si>
    <t>Đường D2, Khu công nghiệp Dệt May Nhơn Trạch</t>
  </si>
  <si>
    <t>3603200318</t>
  </si>
  <si>
    <t>CÔNG TY TNHH CITY FOCUS LIGHTING</t>
  </si>
  <si>
    <t>Đường Tôn Đức Thắng, KCN Nhơn Trạch II</t>
  </si>
  <si>
    <t xml:space="preserve">3603205210                    </t>
  </si>
  <si>
    <t>CÔNG TY TNHH ELITE LONG THÀNH</t>
  </si>
  <si>
    <t>Lô D, KCN Lộc An - Bình Sơn</t>
  </si>
  <si>
    <t xml:space="preserve">3603211302                    </t>
  </si>
  <si>
    <t>CÔNG TY TNHH SOLUNA</t>
  </si>
  <si>
    <t>Đường số 4, KCN Nhơn Trạch 3 - Giai đoạn 2</t>
  </si>
  <si>
    <t>3603240166</t>
  </si>
  <si>
    <t>CÔNG TY TNHH TAHARA VIỆT NAM</t>
  </si>
  <si>
    <t>Đường số 5, Khu Công Nghiệp An Phước</t>
  </si>
  <si>
    <t>3603240423</t>
  </si>
  <si>
    <t>Công Ty TNHH Một Thành Viên Hoàng Việt Thành</t>
  </si>
  <si>
    <t>Số 01B, Phạm Văn Đồng, tổ 8, khu Cầu Xéo</t>
  </si>
  <si>
    <t>3603262547</t>
  </si>
  <si>
    <t>CÔNG TY TNHH ISHIKAWAKASEI VIỆT NAM</t>
  </si>
  <si>
    <t>Đường 6, KCN Nhơn Trạch 3 - Giai đoạn 2</t>
  </si>
  <si>
    <t>3603263974</t>
  </si>
  <si>
    <t>CÔNG TY TNHH ILJIN AUTRA VIỆT NAM</t>
  </si>
  <si>
    <t>Đường số 10, KCN Long Thành</t>
  </si>
  <si>
    <t xml:space="preserve">3600975620                    </t>
  </si>
  <si>
    <t>CÔNG TY TNHH TOWA VIỆT NAM</t>
  </si>
  <si>
    <t xml:space="preserve">3600979061                    </t>
  </si>
  <si>
    <t>CÔNG TY TNHH DAE-DO PAPER TUBE VIỆT NAM</t>
  </si>
  <si>
    <t>Đường Võ Văn Tần, KCN Nhơn Trạch 3 - giai đoạn 2</t>
  </si>
  <si>
    <t xml:space="preserve">3600979368                    </t>
  </si>
  <si>
    <t>CÔNG TY TNHH THƯƠNG MẠI - DỊCH VỤ ĐA PHƯƠNG</t>
  </si>
  <si>
    <t>Tổ 14, Khu 12</t>
  </si>
  <si>
    <t>3600994447</t>
  </si>
  <si>
    <t>Công Ty TNHH Một Thành Viên Phòng Khám Đa Khoa Lê Thành</t>
  </si>
  <si>
    <t>76/7, Khu Phước Thuận</t>
  </si>
  <si>
    <t>3603269292</t>
  </si>
  <si>
    <t>CÔNG TY TNHH MỘT THÀNH VIÊN CUNG CẤP SUẤT ĂN CÔNG NGHIỆP TUẤN PHÁT</t>
  </si>
  <si>
    <t>Số 57, khu 3, ấp 7</t>
  </si>
  <si>
    <t>3603277021</t>
  </si>
  <si>
    <t>CÔNG TY TRÁCH NHIỆM HỮU HẠN HYOSUNG ĐỒNG NAI</t>
  </si>
  <si>
    <t>Đường N3, KCN Nhơn Trạch 5</t>
  </si>
  <si>
    <t>3603279068</t>
  </si>
  <si>
    <t>CÔNG TY TNHH MỘT THÀNH VIÊN HỒNG PHÚC HÂN</t>
  </si>
  <si>
    <t>Đường Số 7, KDC Hiệp Phước</t>
  </si>
  <si>
    <t xml:space="preserve">3601018800                    </t>
  </si>
  <si>
    <t>Công Ty TNHH Một Thành Viên Boo Seong Vina.</t>
  </si>
  <si>
    <t xml:space="preserve">3601018977                    </t>
  </si>
  <si>
    <t>Công Ty TNHH Một Thành Viên Phan Kim</t>
  </si>
  <si>
    <t>ấp Long Phú, xã Phước Thái,</t>
  </si>
  <si>
    <t xml:space="preserve">3601020006                    </t>
  </si>
  <si>
    <t>CÔNG TY TNHH ĐỘNG CƠ SÔNG MÊ KÔNG</t>
  </si>
  <si>
    <t>66-68 Lê Duẩn, Ấp 1</t>
  </si>
  <si>
    <t>3601026329</t>
  </si>
  <si>
    <t>Công Ty TNHH Đại Tuấn Thành</t>
  </si>
  <si>
    <t>Ấp Trầu, Xã Phước Thiền, Huyện Nhơn Trạch</t>
  </si>
  <si>
    <t xml:space="preserve">3603274493                    </t>
  </si>
  <si>
    <t>CÔNG TY TNHH MARSHALL AMPLIFICATION (VIỆT NAM).</t>
  </si>
  <si>
    <t>Đường 5A, Khu công nghiệp Nhơn trạch II</t>
  </si>
  <si>
    <t xml:space="preserve">3603280289                    </t>
  </si>
  <si>
    <t>CÔNG TY TNHH BUCHEON VIỆT NAM ĐỒNG NAI</t>
  </si>
  <si>
    <t xml:space="preserve">3603280715                    </t>
  </si>
  <si>
    <t>CÔNG TY CỔ PHẦN BAO BÌ VIỆT HƯNG SÀI GÒN</t>
  </si>
  <si>
    <t>3603281490</t>
  </si>
  <si>
    <t>CÔNG TY TNHH TRƯỜNG CHI LÂM VN</t>
  </si>
  <si>
    <t>3601031600</t>
  </si>
  <si>
    <t>CÔNG TY TNHH ĐỨC VIỆT THÀNH</t>
  </si>
  <si>
    <t>88/1, khu I, ấp 7, Quốc lộ 51</t>
  </si>
  <si>
    <t>3601036479</t>
  </si>
  <si>
    <t xml:space="preserve">Công ty TNHH Quý Sơn Hà                                                                                                                                                                              </t>
  </si>
  <si>
    <t xml:space="preserve">Số 10, ấp 1, đường 25B - Long An - Long Thành - Đồng Nai                                                                                                                                           </t>
  </si>
  <si>
    <t>3601038204-059</t>
  </si>
  <si>
    <t>Trạm Xăng Dầu Phước Bình - Công Ty CP Xăng Dầu Tín Nghĩa</t>
  </si>
  <si>
    <t>Km37+100, Quốc Lộ 51, Xã Phước Bình, Huyện Long Thành, Đồng Nai</t>
  </si>
  <si>
    <t>3601038204-087</t>
  </si>
  <si>
    <t>Công Ty Cổ Phần Xăng Dầu Tín Nghĩa - Chi Nhánh Trạm Xăng Dầu Phú Đông</t>
  </si>
  <si>
    <t>2294 Đường Trần Văn Trà, Ấp Bến Đình, Xã Phú Đông, Huyện Nhơn Trạch, Đồng Nai</t>
  </si>
  <si>
    <t xml:space="preserve">3601039462                    </t>
  </si>
  <si>
    <t>Công Ty TNHH Hiệp Thành Lợi</t>
  </si>
  <si>
    <t>Số 05, tổ 4, khu 1, ấp 3, Quốc lộ 51A</t>
  </si>
  <si>
    <t xml:space="preserve">3601045297                    </t>
  </si>
  <si>
    <t>CÔNG TY TRÁCH NHIỆM HỮU HẠN CÔNG NGHỆ HÓA CHẤT HAEIN</t>
  </si>
  <si>
    <t>Lô 10, đường 3, KCN Gò Dầu</t>
  </si>
  <si>
    <t>3601056524-001</t>
  </si>
  <si>
    <t>Trạm Xăng Dầu Thịnh Minh Phát 1- Công Ty TNHH Thương Mại Dịch Vụ Vận Tải Thịnh Minh Phát</t>
  </si>
  <si>
    <t>Ấp 1, Xã Bàu Cạn, Huyện Long Thành</t>
  </si>
  <si>
    <t>3601164495</t>
  </si>
  <si>
    <t>CÔNG TY CỔ PHẦN VẬT LIỆU XÂY DỰNG THẾ GIỚI NHÀ</t>
  </si>
  <si>
    <t>Số 1, KCN Nhơn Trạch 2, Đường 25B</t>
  </si>
  <si>
    <t>Phường Phước Tân</t>
  </si>
  <si>
    <t>3603216491</t>
  </si>
  <si>
    <t xml:space="preserve">Công Ty Tnhh Vĩnh Vũ Vương                                                                                                                                                                            </t>
  </si>
  <si>
    <t xml:space="preserve">31A QL51, Tổ 7 Khu 12  - Xã Long Đức - Huyện Long Thành - Tĩnh Đồng Nai                                                                                                                           </t>
  </si>
  <si>
    <t>Phường Tam Hiệp</t>
  </si>
  <si>
    <t xml:space="preserve">3603220480                    </t>
  </si>
  <si>
    <t>CÔNG TY TNHH THƯƠNG MẠI DỊCH VỤ Ô TÔ HOÀNG THỊNH PHÁT</t>
  </si>
  <si>
    <t>522, Tổ 13, Khu 12</t>
  </si>
  <si>
    <t>3603225760</t>
  </si>
  <si>
    <t>CÔNG TY TNHH CƠ KHÍ THƯƠNG MẠI DỊCH VỤ TƯƠNG LAI VIỆT</t>
  </si>
  <si>
    <t>Tổ 15, Ấp Bến Sắn</t>
  </si>
  <si>
    <t>3603227052</t>
  </si>
  <si>
    <t xml:space="preserve">Công Ty TNHH Thương Mại Dịch Vụ Hân Lập                                                                                                                                                            </t>
  </si>
  <si>
    <t xml:space="preserve">133 Đường Trần Phú, ấp Bến Cam , Xã Phước Thiền , Huyện Nhơn Trạch ,Tỉnh Đồng Nai,Việt N                                                                                                    </t>
  </si>
  <si>
    <t>3603235825</t>
  </si>
  <si>
    <t>Công Ty TNHH Một Thành Viên Xây Dựng Nhật Quang Huy</t>
  </si>
  <si>
    <t>Số 1015A, tổ 21, ấp Trầu</t>
  </si>
  <si>
    <t>3603239153</t>
  </si>
  <si>
    <t xml:space="preserve">Công ty TNHH MTV TM DV Gas Tấn Phong                                                                                                                                                                  </t>
  </si>
  <si>
    <t xml:space="preserve">Tổ 02, ấp An Viễng - Bình An - Long Thành - Đồng Nai                                                                                                                                               </t>
  </si>
  <si>
    <t>3603241811</t>
  </si>
  <si>
    <t xml:space="preserve">Võ Văn Lâm                                                                                                                                                                                           </t>
  </si>
  <si>
    <t xml:space="preserve">ấp 1 - Xã An Phước - Huyện Long Thành - Đồng Nai                                                                                                                                                  </t>
  </si>
  <si>
    <t xml:space="preserve">3603260250                    </t>
  </si>
  <si>
    <t>CÔNG TY CỔ PHẦN AN THÀNH BIÊN</t>
  </si>
  <si>
    <t>Số 38, Ấp 7</t>
  </si>
  <si>
    <t xml:space="preserve">3603262307                    </t>
  </si>
  <si>
    <t>CÔNG TY TNHH DASHENG ENTERPRISE VIỆT NAM</t>
  </si>
  <si>
    <t xml:space="preserve">3603288337                    </t>
  </si>
  <si>
    <t>CÔNG TY TNHH MỘT THÀNH VIÊN DỤNG CỤ MÀI TÂN ĐẠI THÀNH</t>
  </si>
  <si>
    <t>Số 55 Ấp Bưng Cơ</t>
  </si>
  <si>
    <t>3603289299</t>
  </si>
  <si>
    <t>CÔNG TY TNHH MỘT THÀNH VIÊN HÀ TẤN HƯNG</t>
  </si>
  <si>
    <t>Tổ 15, KP 13</t>
  </si>
  <si>
    <t xml:space="preserve">3603289877                    </t>
  </si>
  <si>
    <t>CÔNG TY TNHH THƯƠNG MẠI SẢN XUẤT VINA HOÀNG DŨNG LONG THÀNH</t>
  </si>
  <si>
    <t>Số 1087, tổ 14, ấp Xóm Gốc, Quốc lộ 51</t>
  </si>
  <si>
    <t>3603291234</t>
  </si>
  <si>
    <t>Trung Tâm Ngoại Ngữ Việt Sáng</t>
  </si>
  <si>
    <t>16-B5 Khu Chợ Mới Long Thành, Khu Cầu Xéo</t>
  </si>
  <si>
    <t xml:space="preserve">3603293619                    </t>
  </si>
  <si>
    <t>Công Ty TNHH Một Thành Viên Dịch Vụ Vận Tải Trọng Khanh</t>
  </si>
  <si>
    <t>Số 10, ấp Bến Sắn</t>
  </si>
  <si>
    <t>3603294122</t>
  </si>
  <si>
    <t>CÔNG TY TNHH THƯƠNG MẠI THIẾT BỊ AN NINH ĐÔNG Á</t>
  </si>
  <si>
    <t>Số 103, đường Lê Duẩn, tổ 7, Khu 12</t>
  </si>
  <si>
    <t xml:space="preserve">3603295006                    </t>
  </si>
  <si>
    <t>CÔNG TY CỔ PHẦN ĐÔ THỊ AMATA LONG THÀNH</t>
  </si>
  <si>
    <t>Khu Công Nghiệp Công Nghệ Cao Long Thành</t>
  </si>
  <si>
    <t xml:space="preserve">3603302479                    </t>
  </si>
  <si>
    <t>CÔNG TY TNHH PHÒNG KHÁM ĐA KHOA TÂM BÌNH AN</t>
  </si>
  <si>
    <t>Số 52, Tổ 12, Đường Hùng Vương, KP. Phước Hiệp</t>
  </si>
  <si>
    <t>3603304532</t>
  </si>
  <si>
    <t>CÔNG TY CỔ PHẦN VẬN TẢI TAXI LONG THÀNH</t>
  </si>
  <si>
    <t>Số 98, Tổ 17, Khu Cầu Xéo</t>
  </si>
  <si>
    <t>3603306610</t>
  </si>
  <si>
    <t xml:space="preserve">Công Ty TNHH MTV Cường Mạnh Thắng                                                                                                                                                                   </t>
  </si>
  <si>
    <t xml:space="preserve">Tổ 20 - ấp 3 - Xã Long Thọ - Huyện Nhơn Trạch - Tỉnh Đồng Nai                                                                                                                                    </t>
  </si>
  <si>
    <t>3603313110</t>
  </si>
  <si>
    <t>Công Ty TNHH Một Thành Viên Thương Mại Dịch Vụ Phong Cửu</t>
  </si>
  <si>
    <t>Số 15/19, ấp 4</t>
  </si>
  <si>
    <t xml:space="preserve">3603313495                    </t>
  </si>
  <si>
    <t>CÔNG TY TNHH TENTAC (HỒ CHÍ MINH)</t>
  </si>
  <si>
    <t xml:space="preserve"> Đường D4-2, KCN Long Đức</t>
  </si>
  <si>
    <t xml:space="preserve">3603321672                    </t>
  </si>
  <si>
    <t>CÔNG TY TNHH CÔNG NGHỆ ẮC QUY HENG LI (VIỆT NAM)</t>
  </si>
  <si>
    <t xml:space="preserve">3603323895                    </t>
  </si>
  <si>
    <t>CÔNG TY TNHH VIÊN NGỌC RÒNG</t>
  </si>
  <si>
    <t>Số 300/1, đường Lý Thái Tổ, ấp Bến Sắn</t>
  </si>
  <si>
    <t>3603324810</t>
  </si>
  <si>
    <t>CÔNG TY TNHH KINH DOANH VÀNG BẠC ANH THI</t>
  </si>
  <si>
    <t>Đường Lý Thái Tổ, tổ 1, KP Mỹ Khoan</t>
  </si>
  <si>
    <t xml:space="preserve">3603265675                    </t>
  </si>
  <si>
    <t>CÔNG TY TRÁCH NHIỆM HỮU HẠN VINA SUNWOO</t>
  </si>
  <si>
    <t>Lô L, KCN Lộc An-Bình Sơn</t>
  </si>
  <si>
    <t xml:space="preserve">3603269486                    </t>
  </si>
  <si>
    <t>CÔNG TY TNHH VIỆT NAM KANEKO</t>
  </si>
  <si>
    <t>Khu Công nghiệp Nhơn Trạch III-Giai đoạn 2</t>
  </si>
  <si>
    <t>3603276878</t>
  </si>
  <si>
    <t>CÔNG TY TNHH THI CÔNG CƠ GIỚI TANICO</t>
  </si>
  <si>
    <t>Tổ 54, ấp 5</t>
  </si>
  <si>
    <t>3603282215</t>
  </si>
  <si>
    <t>CÔNG TY TNHH THIẾT BỊ CÔNG NGHỆ THIÊN PHÚC QUÝ</t>
  </si>
  <si>
    <t>Số 179, Đường Trần Văn Ơn, Tổ 10, Khu 12</t>
  </si>
  <si>
    <t>3603286604</t>
  </si>
  <si>
    <t xml:space="preserve">Công Ty TNHH Thương Mại Và Dịch Vụ Uyên Đức Trân                                                                                                                                                 </t>
  </si>
  <si>
    <t xml:space="preserve">Số 2409-Đường Hùng Vương-ấp Thành Công - Vĩnh Thanh - Nhơn Trạch - Đồng Nai                                                                                                                     </t>
  </si>
  <si>
    <t xml:space="preserve">3603287277                    </t>
  </si>
  <si>
    <t>CÔNG TY TNHH JOIL VINA</t>
  </si>
  <si>
    <t>Lô K, Đường N2, Khu Công nghiệp Lộc An-Bình Sơn</t>
  </si>
  <si>
    <t>3603290110</t>
  </si>
  <si>
    <t xml:space="preserve">Phòng Dân tộc huyện Long Thành                                                                 </t>
  </si>
  <si>
    <t xml:space="preserve">( Dương Thị Ngọc) khu Phước Hải - TT Long Thành - Long Thành - Đồng Nai                       </t>
  </si>
  <si>
    <t>3603291890</t>
  </si>
  <si>
    <t>CÔNG TY TNHH MỘT THÀNH VIÊN THƯƠNG MẠI DỊCH VỤ THIẾT BỊ CÂN HUA QUY</t>
  </si>
  <si>
    <t>Đường Hùng Vương, ấp 2</t>
  </si>
  <si>
    <t>3603296634</t>
  </si>
  <si>
    <t>CÔNG TY TNHH MỘT THÀNH VIÊN NGỌC SONG ANH</t>
  </si>
  <si>
    <t>số 68, Quốc lộ 51, ấp 1</t>
  </si>
  <si>
    <t xml:space="preserve">3603305335                    </t>
  </si>
  <si>
    <t>Công Ty TNHH Một Thành Viên Sản Xuất Thương Mại Tường Huy Phát</t>
  </si>
  <si>
    <t>Tổ 12, ấp Xóm Gò- Bà Ký</t>
  </si>
  <si>
    <t>3603307283</t>
  </si>
  <si>
    <t xml:space="preserve">Công Ty TNHH Một Thành Viên Vận Tải Hồng Quốc Anh                                                                                                                                              </t>
  </si>
  <si>
    <t xml:space="preserve">Tổ 1 ấp 2 - Phước Bình - Long Thành - Đồng Nai                                                                                                                                                     </t>
  </si>
  <si>
    <t>3603314393</t>
  </si>
  <si>
    <t>CÔNG TY TNHH TM XNK TẤN TRƯỜNG PHÁT</t>
  </si>
  <si>
    <t>Lầu 1, Số 1910, Tổ 1, Ấp 1C</t>
  </si>
  <si>
    <t>3603350401</t>
  </si>
  <si>
    <t xml:space="preserve">Công Ty TNHH Một Thành Viên Vận Tải Nguyễn Thành Phát                                                                                                                                          </t>
  </si>
  <si>
    <t xml:space="preserve">Tổ 9 - ấp Long Phú - Phước Thái - Long Thành - Đồng Nai                                                                                                                                          </t>
  </si>
  <si>
    <t xml:space="preserve">3603357213                    </t>
  </si>
  <si>
    <t>CÔNG TY TNHH WEB-PRO (VIETNAM)</t>
  </si>
  <si>
    <t>Đường số 8, KCN Nhơn Trạch III - Giai đoạn 2</t>
  </si>
  <si>
    <t xml:space="preserve">3603359228                    </t>
  </si>
  <si>
    <t>Công Ty TNHH Một Thành Viên Liệu Nhung Anh</t>
  </si>
  <si>
    <t>Số 78, Đường Bưng Môn, ấp 2</t>
  </si>
  <si>
    <t>3603360671</t>
  </si>
  <si>
    <t>Trung tâm văn hóa thông tin và thể thao huyện Long Thành ( Tổ phát thanh )</t>
  </si>
  <si>
    <t>Ấp 3, Xã An Phước, Huyện Long Thành, Đồng Nai</t>
  </si>
  <si>
    <t xml:space="preserve">3603361812                    </t>
  </si>
  <si>
    <t>CÔNG TY TNHH KOIKEYA VIỆT NAM</t>
  </si>
  <si>
    <t>Đường N3-2, KCN Long Đức</t>
  </si>
  <si>
    <t>3603314604</t>
  </si>
  <si>
    <t>TRƯỜNG TRUNG HỌC CƠ SỞ LONG ĐỨC</t>
  </si>
  <si>
    <t>Khu 13, Xã Long Đức, Huyện Long Thành, Đồng Nai</t>
  </si>
  <si>
    <t>3603317309</t>
  </si>
  <si>
    <t>Công Ty TNHH Một Thành Viên Đỗ Huỳnh Phát</t>
  </si>
  <si>
    <t>Số 119, tổ 9, ấp 2</t>
  </si>
  <si>
    <t xml:space="preserve">3603325620                    </t>
  </si>
  <si>
    <t>CÔNG TY TNHH TÂM PHƯỚC LONG</t>
  </si>
  <si>
    <t>Tổ 4, Khu A, ấp 5</t>
  </si>
  <si>
    <t>3603329008</t>
  </si>
  <si>
    <t>CÔNG TY TNHH GIẤY BÌNH SƠN</t>
  </si>
  <si>
    <t>Số 29, tổ 3, ấp 8</t>
  </si>
  <si>
    <t>3603344782</t>
  </si>
  <si>
    <t>CÔNG TY TNHH MỘT THÀNH VIÊN XÂY DỰNG PHÚC AN NHIÊN</t>
  </si>
  <si>
    <t>Tổ 14, Khu Văn Hải</t>
  </si>
  <si>
    <t xml:space="preserve">3603347215                    </t>
  </si>
  <si>
    <t>CÔNG TY TNHH DAIWA TECHNO VIỆT NAM</t>
  </si>
  <si>
    <t>Khu công nghiệp Nhơn Trạch 3 - Giai đoạn 2</t>
  </si>
  <si>
    <t>3603350391</t>
  </si>
  <si>
    <t>Công Ty TNHH Một Thành Viên Thương Mại Dịch Vụ An Khải Nguyên</t>
  </si>
  <si>
    <t>Số 53, tổ 13, đường Võ Thị Sáu, khu 12</t>
  </si>
  <si>
    <t xml:space="preserve">3603366916                    </t>
  </si>
  <si>
    <t>Công Ty TNHH Thương Mại Dịch Vụ Long Thành Ru By</t>
  </si>
  <si>
    <t>Số 79A, tổ 8, Khu Văn Hải</t>
  </si>
  <si>
    <t xml:space="preserve">3603368670                    </t>
  </si>
  <si>
    <t>CÔNG TY TNHH KANEFUSA VIỆT NAM</t>
  </si>
  <si>
    <t xml:space="preserve">3603374787                    </t>
  </si>
  <si>
    <t>CÔNG TY TNHH TOA MUSEN VIỆT NAM</t>
  </si>
  <si>
    <t>Khu Công Nghiệp An Phước</t>
  </si>
  <si>
    <t>3603291114</t>
  </si>
  <si>
    <t>Công Ty TNHH Một Thành Viên Thương Mại Dịch Vụ Vận Tải Quang Minh Phát</t>
  </si>
  <si>
    <t>Tổ 4, ấp Đất Mới</t>
  </si>
  <si>
    <t xml:space="preserve">3603294570                    </t>
  </si>
  <si>
    <t>CÔNG TY TRÁCH NHIỆM HỮU HẠN SEOGWANG VIỆT NAM</t>
  </si>
  <si>
    <t>K1, K2, KCN An Phước</t>
  </si>
  <si>
    <t>3603299931</t>
  </si>
  <si>
    <t>Công Ty TNHH Một Thành Viên Chính Thuận Phát</t>
  </si>
  <si>
    <t>Số 106, tổ 22, ấp 1C</t>
  </si>
  <si>
    <t xml:space="preserve">3603303708                    </t>
  </si>
  <si>
    <t>CÔNG TY CỔ PHẦN TIẾP VẬN HÀNG HẢI SAO MAI</t>
  </si>
  <si>
    <t>Số 160A-162A, Ấp Thanh Bình</t>
  </si>
  <si>
    <t xml:space="preserve">3603303930                    </t>
  </si>
  <si>
    <t>CÔNG TY TNHH DAERIM PRECISION VINA</t>
  </si>
  <si>
    <t xml:space="preserve">3603304606                    </t>
  </si>
  <si>
    <t>CÔNG TY TNHH THƯƠNG MẠI XUẤT NHẬP KHẨU THẾ GIỚI ĐỒ CÂU</t>
  </si>
  <si>
    <t>Tổ 5, ấp 3</t>
  </si>
  <si>
    <t>3603310416</t>
  </si>
  <si>
    <t>Công Ty TNHH Xây Dựng Thương Mại Dịch Vụ Nghĩa Bình</t>
  </si>
  <si>
    <t>Số 2353/41, ấp 2</t>
  </si>
  <si>
    <t>3603310568</t>
  </si>
  <si>
    <t>CÔNG TY TNHH DUROCOLOUR VIỆT NAM</t>
  </si>
  <si>
    <t>Nhà xưởng số 37, đường số 7, Khu công nghiệp Long Thành</t>
  </si>
  <si>
    <t>3603359443</t>
  </si>
  <si>
    <t xml:space="preserve">Công ty TNHH Một Thành Viên Thanh Nhàn Phát                                                                                                                                                       </t>
  </si>
  <si>
    <t xml:space="preserve">A1-1, Khu phố Chợ Quản Thủ, đường Lê Duẩn - TT Long Thành - Long Thành - Đồng Nai                                                                                                             </t>
  </si>
  <si>
    <t>3603361481</t>
  </si>
  <si>
    <t xml:space="preserve">Công Ty TNHH MTV Thương Mại - Vận Tải Huy Thành Đạt                                                                                                                                               </t>
  </si>
  <si>
    <t xml:space="preserve">1770/26 tổ 10 ấp long phú - Phước Thái - Long Thành - Đồng Nai                                                                                                                                   </t>
  </si>
  <si>
    <t>3603365486</t>
  </si>
  <si>
    <t>Doanh Nghiệp Tư Nhân Xoa Bóp Ngọc Lan Phát</t>
  </si>
  <si>
    <t>Số 453/62, Ấp 5</t>
  </si>
  <si>
    <t xml:space="preserve">3603366507                    </t>
  </si>
  <si>
    <t>CÔNG TY TNHH KALMIA VINA</t>
  </si>
  <si>
    <t>Số 287, ấp 1</t>
  </si>
  <si>
    <t>3603366634</t>
  </si>
  <si>
    <t>Khu trung tâm Hành Chánh, Ấp Xóm Hố, Xã Phú Hội, Huyện Nhơn Trạch, Đồng Nai</t>
  </si>
  <si>
    <t>3603369730</t>
  </si>
  <si>
    <t>Công Ty TNHH Một Thành Viên Sản Xuất Thương Mại Mi Mắt Mi Trang</t>
  </si>
  <si>
    <t>Số 92, đường Bưng Môn, ấp 2</t>
  </si>
  <si>
    <t>3603315566</t>
  </si>
  <si>
    <t xml:space="preserve">Công Ty Cổ Phần Xi Măng Hiền Hòa                                                                                                                                                                  </t>
  </si>
  <si>
    <t xml:space="preserve">Số 38/15, Quốc Lộ 51, Tổ 26B, Khu Phước Hải, Thị trấn Long Thành, Huyện Long Thành, Tỉnh Đ                                                                                                    </t>
  </si>
  <si>
    <t xml:space="preserve">3603315693                    </t>
  </si>
  <si>
    <t>CÔNG TY TNHH DỊCH VỤ THƯƠNG MẠI ĐỈNH DIỆU</t>
  </si>
  <si>
    <t>Đường Nguyễn Ái Quốc, Khu Công nghiệp Nhơn Trạch III - Giai</t>
  </si>
  <si>
    <t xml:space="preserve">3603316464                    </t>
  </si>
  <si>
    <t>CÔNG TY TNHH JINYANG</t>
  </si>
  <si>
    <t>3603321993</t>
  </si>
  <si>
    <t>CÔNG TY TNHH SƠN OCEAN (VIỆT NAM)</t>
  </si>
  <si>
    <t>Số 9-7 (đường nội bộ cụm xưởng giai đoạn 3), KCN Long Thành</t>
  </si>
  <si>
    <t>3603325282</t>
  </si>
  <si>
    <t>CÔNG TY TNHH ÂM THANH - ÁNH SÁNG HOÀNG PHI</t>
  </si>
  <si>
    <t>Số 609, đường Trường Chinh, khu Cầu Xéo</t>
  </si>
  <si>
    <t xml:space="preserve">3603325356                    </t>
  </si>
  <si>
    <t>Công Ty TNHH Kim Tân Phú</t>
  </si>
  <si>
    <t>Số 2625, đường Lý Thái Tổ, ấp Phước Lý</t>
  </si>
  <si>
    <t>3603373310</t>
  </si>
  <si>
    <t>Công Ty TNHH Thương Mại Dịch Vụ Heli Vina</t>
  </si>
  <si>
    <t>Số 29, khu 2, ấp 7</t>
  </si>
  <si>
    <t>3603375011</t>
  </si>
  <si>
    <t>Công Ty TNHH Một Thành Viên Thương Mại Dịch Vụ Xây Dựng Châu Hoa Phát</t>
  </si>
  <si>
    <t>Số 67, tổ 25, ấp Bến Sắn</t>
  </si>
  <si>
    <t>3603375212</t>
  </si>
  <si>
    <t>CÔNG TY TNHH SHINTO TOA VIỆT NAM</t>
  </si>
  <si>
    <t>Đường D4-2, Nhà xưởng cho thuê A-2, KCN Long Đức</t>
  </si>
  <si>
    <t xml:space="preserve">3603376287                    </t>
  </si>
  <si>
    <t>Công Ty TNHH Tm Dv Kỹ Thuật Thiên Thuận Phát</t>
  </si>
  <si>
    <t>Số 725B, tổ 29, Khu Phước Hải</t>
  </si>
  <si>
    <t xml:space="preserve">3603381833                    </t>
  </si>
  <si>
    <t>CÔNG TY TNHH MỘT THÀNH VIÊN ASIA LCD SERVICE</t>
  </si>
  <si>
    <t>Đường số 6, Khu Công nghiệp Nhơn Trạch 3 - Giai đoạn 2</t>
  </si>
  <si>
    <t xml:space="preserve">3603384707                    </t>
  </si>
  <si>
    <t>CÔNG TY TNHH KYOKUTO VIỆT NAM</t>
  </si>
  <si>
    <t>Đường số 3, KCN Nhơn Trạch III, giai đoạn 2</t>
  </si>
  <si>
    <t xml:space="preserve">3603328290                    </t>
  </si>
  <si>
    <t>CÔNG TY TNHH THỜI TRANG G&amp;G VIỆT NAM</t>
  </si>
  <si>
    <t>Lô C, KCN Lộc An-Bình Sơn</t>
  </si>
  <si>
    <t xml:space="preserve">3603331864                    </t>
  </si>
  <si>
    <t>CÔNG TY CỔ PHẦN ĐẦU TƯ NAM AN VIỆT</t>
  </si>
  <si>
    <t>Lô H, đường số 6, KCN An Phước</t>
  </si>
  <si>
    <t>3603337489</t>
  </si>
  <si>
    <t>CÔNG TY CỔ PHẦN XÂY LẮP VÀ THƯƠNG MẠI KỸ THUẬT LONG THÀNH</t>
  </si>
  <si>
    <t>Hẻm 27, đường Lê Quang Định, tổ 15, khu 12</t>
  </si>
  <si>
    <t>3603354798</t>
  </si>
  <si>
    <t xml:space="preserve">Công ty TNHH Một thành viên xăng dầu Bảo Uyên                                                                                                                                                   </t>
  </si>
  <si>
    <t xml:space="preserve">154 ấp 3, Bàu Sen - Phú Thạnh - Nhơn Trạch - Đồng Nai                                                                                                                                             </t>
  </si>
  <si>
    <t>3603358640</t>
  </si>
  <si>
    <t>CÔNG TY TNHH MTV THƯƠNG MẠI DỊCH VỤ TRUNG PHẠM</t>
  </si>
  <si>
    <t>Tổ 4, ấp Thanh Bình</t>
  </si>
  <si>
    <t xml:space="preserve">3603360110                    </t>
  </si>
  <si>
    <t>CÔNG TY TNHH DK SUNGSHIN VINA</t>
  </si>
  <si>
    <t>Đường số 4, KCN Nhơn Trạch 3</t>
  </si>
  <si>
    <t>3603360488</t>
  </si>
  <si>
    <t>Văn Phòng Công Chứng Nguyễn Thanh Tùng</t>
  </si>
  <si>
    <t>Ấp 7</t>
  </si>
  <si>
    <t xml:space="preserve">3601409804                    </t>
  </si>
  <si>
    <t>CÔNG TY TNHH TÔ THIÊN KIM</t>
  </si>
  <si>
    <t>A5-13-14-15-16-17 Khu phố Chợ, Khu Cầu Xéo</t>
  </si>
  <si>
    <t>3601431567</t>
  </si>
  <si>
    <t>CÔNG TY TNHH MỘT THÀNH VIÊN CÔNG THUẬN LẬP</t>
  </si>
  <si>
    <t>10B/1, khu Bàu Cá</t>
  </si>
  <si>
    <t>3603385436</t>
  </si>
  <si>
    <t>Công Ty TNHH Xếp Dỡ Vận Tải Trí Khang</t>
  </si>
  <si>
    <t>Số 2047/4/22, tổ 5, ấp 1B</t>
  </si>
  <si>
    <t xml:space="preserve">3603390919                    </t>
  </si>
  <si>
    <t>CÔNG TY CỔ PHẦN SẢN XUẤT THƯƠNG MẠI NỘI THẤT VĂN PHÒNG TAV</t>
  </si>
  <si>
    <t xml:space="preserve">3603392264                    </t>
  </si>
  <si>
    <t>CÔNG TY TNHH SOWELL VIỆT NAM</t>
  </si>
  <si>
    <t>Đường số 6, KCN Nhơn trạch III - Giai đoạn 2</t>
  </si>
  <si>
    <t>3603392930</t>
  </si>
  <si>
    <t xml:space="preserve">Doanh Nghiệp Tư Nhân Kinh Doanh Vàng Bạc Mỹ Nga                                                                                                                                                    </t>
  </si>
  <si>
    <t xml:space="preserve">Số 418, Lý Thái Tổ , ấp Bến Cam - Phước Thiền - Nhơn Trạch - Đồng Nai                                                                                                                         </t>
  </si>
  <si>
    <t xml:space="preserve">3603395025                    </t>
  </si>
  <si>
    <t>CÔNG TY TNHH SAMHWA-VH</t>
  </si>
  <si>
    <t>Lô B-13, đường D2, KCN Long Đức</t>
  </si>
  <si>
    <t>3603396854-001</t>
  </si>
  <si>
    <t>CÔNG TY TNHH DỊCH VỤ Y TẾ TAM PHƯỚC - CHI NHÁNH NHƠN TRẠCH</t>
  </si>
  <si>
    <t>Đường Lý Thái Tổ, Ấp Bến Cam, Xã Phước Thiền, Huyện Nhơn Trạch, Đồng Nai</t>
  </si>
  <si>
    <t xml:space="preserve">3603377717                    </t>
  </si>
  <si>
    <t>CÔNG TY TNHH MTV CƠ KHÍ XĂNG DẦU ĐỒNG NAI</t>
  </si>
  <si>
    <t>Lô 108-109-110, KCN Dệt May Nhơn Trạch</t>
  </si>
  <si>
    <t xml:space="preserve">3603380660                    </t>
  </si>
  <si>
    <t>CÔNG TY TRÁCH NHIỆM HỮU HẠN NHƯ Ý NGỌC THỊNH</t>
  </si>
  <si>
    <t>Số 969/8, ấp 1</t>
  </si>
  <si>
    <t>3603384760</t>
  </si>
  <si>
    <t>Trường Mầm Non Phước Long</t>
  </si>
  <si>
    <t>Đường Nguyễn Văn Ký, Ấp 1, Xã Long Thọ, Huyện Nhơn Trạch, Đồng Nai</t>
  </si>
  <si>
    <t>3603392634</t>
  </si>
  <si>
    <t>CÔNG TY TNHH THƯƠNG MẠI VÀ DỊCH VỤ DẦU NHỜN THỊNH PHÁT</t>
  </si>
  <si>
    <t>Số 047, tổ 1, ấp Hiền Đức</t>
  </si>
  <si>
    <t xml:space="preserve">3603395071                    </t>
  </si>
  <si>
    <t>CÔNG TY TNHH SEJIN OPTICAL</t>
  </si>
  <si>
    <t>Lô A.V-5, Đường số 11, Khu công nghiệp Long Thành</t>
  </si>
  <si>
    <t xml:space="preserve">3603396854                    </t>
  </si>
  <si>
    <t>CÔNG TY TNHH DỊCH VỤ Y TẾ TAM PHƯỚC</t>
  </si>
  <si>
    <t>113 Phùng Hưng, ấp 8</t>
  </si>
  <si>
    <t xml:space="preserve">3603405315                    </t>
  </si>
  <si>
    <t>CÔNG TY TNHH SẢN XUẤT CHÍNH XÁC YUAN YUE</t>
  </si>
  <si>
    <t>3603412802</t>
  </si>
  <si>
    <t>Công Ty TNHH Một Thành Viên JHS Võ Nguyễn</t>
  </si>
  <si>
    <t>Số 18 Đường Ngô Hà Thành, Tổ 40, Khu Cầu Xéo, Thị Trấn Long Thành, Huyện Long Thành, Đồng Nai</t>
  </si>
  <si>
    <t xml:space="preserve">3603413348                    </t>
  </si>
  <si>
    <t>CÔNG TY TNHH SẢN XUẤT THƯƠNG MẠI DỊCH VỤ AN MINH PHÁT</t>
  </si>
  <si>
    <t>Khu Công nghiệp Nhơn Trạch I</t>
  </si>
  <si>
    <t>3603413965</t>
  </si>
  <si>
    <t>CÔNG TY TNHH RỒNG THIÊN PHÚC</t>
  </si>
  <si>
    <t>Hẻm 45, Tôn Đức Thắng, ấp 4</t>
  </si>
  <si>
    <t>3603416003</t>
  </si>
  <si>
    <t>CÔNG TY TNHH VẬN TẢI DU LỊCH PHƯỚC DŨNG</t>
  </si>
  <si>
    <t>Số 43B, tổ 10, khu Cầu Xéo</t>
  </si>
  <si>
    <t>3603419653</t>
  </si>
  <si>
    <t xml:space="preserve">Công ty TNHH Thương Mại Dịch Vụ Tin Học Vạn Xuân                                                                                                                                                  </t>
  </si>
  <si>
    <t xml:space="preserve">Đường Tôn Đức Thắng- ấp 3 - Xã Hiệp Phước - Huyện Nhơn Trạch - Tỉnh Đồng Nai - Việt Nam                                                                                                     </t>
  </si>
  <si>
    <t xml:space="preserve">3603423868                    </t>
  </si>
  <si>
    <t>CÔNG TY TNHH SỬA CHỮA Ô TÔ THÀNH LONG PHÁT</t>
  </si>
  <si>
    <t>Đường Lê Quang Định</t>
  </si>
  <si>
    <t>3603425181</t>
  </si>
  <si>
    <t>CÔNG TY TNHH ĐỐI TÁC PHÁT TRIỂN M2</t>
  </si>
  <si>
    <t>Khu trung tâm điều hành khu công nghiệp Long Đức</t>
  </si>
  <si>
    <t>3603426971</t>
  </si>
  <si>
    <t>CÔNG TY TNHH IN VĨNH THÀNH</t>
  </si>
  <si>
    <t>Số 9, ấp Chính Nghĩa</t>
  </si>
  <si>
    <t xml:space="preserve">3603432453                    </t>
  </si>
  <si>
    <t>CÔNG TY TNHH GST VIỆT NAM</t>
  </si>
  <si>
    <t>Nhà xưởng 27, đường 9-7 (cụm xưởng giai đoạn 3), KCN Long Th</t>
  </si>
  <si>
    <t xml:space="preserve">3603363009                    </t>
  </si>
  <si>
    <t>CÔNG TY TNHH DỊCH VỤ BẢO VỆ CHUYÊN NGHIỆP VINASE</t>
  </si>
  <si>
    <t>Tổ 7, ấp 7</t>
  </si>
  <si>
    <t xml:space="preserve">3603364637                    </t>
  </si>
  <si>
    <t>CÔNG TY TNHH GLOTEC VINA</t>
  </si>
  <si>
    <t>Nhà xưởng số 32-33, Đường số 9-7, KCN Long Thành</t>
  </si>
  <si>
    <t>3603366698</t>
  </si>
  <si>
    <t>CÔNG TY TNHH MỘT THÀNH VIÊN THƯƠNG MẠI MINH HẢI VY</t>
  </si>
  <si>
    <t>Tổ 3, ấp Thanh Bình</t>
  </si>
  <si>
    <t>3603369917</t>
  </si>
  <si>
    <t>CÔNG TY CỔ PHẦN SAVIO VIỆT NAM</t>
  </si>
  <si>
    <t>Đường 5B, KCN Nhơn Trạch 3, Giai đoạn 2</t>
  </si>
  <si>
    <t xml:space="preserve">3603371948                    </t>
  </si>
  <si>
    <t>CÔNG TY TNHH JC VINA</t>
  </si>
  <si>
    <t>Đường số 6, Khu Công nghiệp An Phước</t>
  </si>
  <si>
    <t xml:space="preserve">3603376551                    </t>
  </si>
  <si>
    <t>CÔNG TY TNHH OHMI KAKO VIỆT NAM</t>
  </si>
  <si>
    <t>Đường N3-2, nhà xưởng cho thuê 5-6, KCN Long Đức</t>
  </si>
  <si>
    <t>3603380519</t>
  </si>
  <si>
    <t xml:space="preserve">CÔNG TY TNHH THƯƠNG MạI DịCH Vụ VậN CHUYểN LÊN TRUNG                                                                                                                                              </t>
  </si>
  <si>
    <t xml:space="preserve">Tổ 1, ấp Trầu, Xã Phước Thiền, Huyện Nhơn Trạch, Tỉnh Đồng Nai, Việt Nam                                                                                                                      </t>
  </si>
  <si>
    <t xml:space="preserve">3603386817                    </t>
  </si>
  <si>
    <t>CÔNG TY TNHH THƯƠNG MẠI LUCKY SKY</t>
  </si>
  <si>
    <t>Số 8/A, tổ 4,ấp An LÂm</t>
  </si>
  <si>
    <t xml:space="preserve">3603389247                    </t>
  </si>
  <si>
    <t>CÔNG TY TNHH KHAI SHENG VN</t>
  </si>
  <si>
    <t>Thuê nhà xưởng của Công ty Cổ phần Khải Toàn, đường C2, KCN</t>
  </si>
  <si>
    <t>3603392384</t>
  </si>
  <si>
    <t>Doanh Nghiệp Tư Nhân Dịch Vụ Ăn Uống Tấn Phát</t>
  </si>
  <si>
    <t>tổ 11, ấp 8</t>
  </si>
  <si>
    <t>3603392539</t>
  </si>
  <si>
    <t>CÔNG TY TNHH DỊCH VỤ KỸ THUẬT AM PHA. NDT</t>
  </si>
  <si>
    <t>Tổ 15, ấp Bến Sắn</t>
  </si>
  <si>
    <t>3603393765</t>
  </si>
  <si>
    <t>CÔNG TY TNHH Y TẾ ĐÔNG SÀI GÒN - PHÒNG KHÁM ĐA KHOA ĐẠI PHƯỚC</t>
  </si>
  <si>
    <t>D295A, đường Lý Thái Tổ, ấp Phước Lý</t>
  </si>
  <si>
    <t>3603396893</t>
  </si>
  <si>
    <t>CÔNG TY CỔ PHẦN KHAI THÁC CẢNG CHÂU ÂU</t>
  </si>
  <si>
    <t>Số 222, đường Lý Thái Tổ, tổ 9, ấp 3</t>
  </si>
  <si>
    <t>3603402473</t>
  </si>
  <si>
    <t>CÔNG TY TNHH CỬA THÉP QUANG HUY</t>
  </si>
  <si>
    <t>Số 25, tổ 1, ấp 4</t>
  </si>
  <si>
    <t xml:space="preserve">3603402730                    </t>
  </si>
  <si>
    <t>Trung Tâm Dịch Vụ Công Ích Huyện Long Thành</t>
  </si>
  <si>
    <t>3603409912</t>
  </si>
  <si>
    <t>Tổng Công Ty Tín Nghĩa</t>
  </si>
  <si>
    <t>Tòa Nhà Văn Phòng, KCN Nhơn Trạch 3, Xã Hiệp Phước, Huyện Nhơn Trạch, Đồng Nai</t>
  </si>
  <si>
    <t>Phường Quyết Thắng</t>
  </si>
  <si>
    <t>3603416437</t>
  </si>
  <si>
    <t>CÔNG TY TNHH HSPOLYTECH</t>
  </si>
  <si>
    <t xml:space="preserve">3603416878                    </t>
  </si>
  <si>
    <t>CÔNG TY TNHH THƯƠNG MẠI DỊCH VỤ NHƠN TRẠCH</t>
  </si>
  <si>
    <t>Tổ 6, ấp Vĩnh Tuy</t>
  </si>
  <si>
    <t xml:space="preserve">3603418850                    </t>
  </si>
  <si>
    <t>CÔNG TY CỔ PHẦN KHO BÃI VÀ LOGISTIC LONG THÀNH</t>
  </si>
  <si>
    <t>Km 23+170 (P), Quốc lộ 51, Tổ 7, Ấp 1</t>
  </si>
  <si>
    <t>3603419325</t>
  </si>
  <si>
    <t>CÔNG TY TNHH WOOSUNG P&amp;M VINA</t>
  </si>
  <si>
    <t>Lô đất số L4, đường N3, Khu Công nghiệp Lộc An - Bình Sơn</t>
  </si>
  <si>
    <t>3603421557</t>
  </si>
  <si>
    <t>CÔNG TY TNHH SẢN XUẤT SẢN PHẨM KIM LOẠI PU ZHOU VIỆT NAM</t>
  </si>
  <si>
    <t xml:space="preserve">3603424244                    </t>
  </si>
  <si>
    <t>CÔNG TY TNHH THƯƠNG MẠI QUỐC TẾ THỊNH VƯỢNG</t>
  </si>
  <si>
    <t>Đường số 1, KCN Nhơn trạch 1</t>
  </si>
  <si>
    <t xml:space="preserve">3603425174                    </t>
  </si>
  <si>
    <t>CÔNG TY CỔ PHẦN CÀ PHÊ TÍN NGHĨA</t>
  </si>
  <si>
    <t>Đường số 1, KCN Nhơn Trạch 3 - Giai đoạn 2</t>
  </si>
  <si>
    <t>3601517711</t>
  </si>
  <si>
    <t>Công ty TNHH MTV Nguyên Phước</t>
  </si>
  <si>
    <t>D9, ấp 6</t>
  </si>
  <si>
    <t>3601578256</t>
  </si>
  <si>
    <t>Dntn Giao Nhận &amp; Vận Tải Ngọc Hải Phát</t>
  </si>
  <si>
    <t>3601582799</t>
  </si>
  <si>
    <t xml:space="preserve">Công Ty CP Tư Vấn Xây Dựng Đăng Việt                                                                                                                                                              </t>
  </si>
  <si>
    <t xml:space="preserve">Số 49, Tổ 7, Khu 12, QL51A  - Long Đức - Long Thành - Đồng Nai                                                                                                                                     </t>
  </si>
  <si>
    <t xml:space="preserve">3601627577                    </t>
  </si>
  <si>
    <t>Công Ty TNHH Kim Nhật</t>
  </si>
  <si>
    <t>Ấp 1A</t>
  </si>
  <si>
    <t>3603396452</t>
  </si>
  <si>
    <t>CÔNG TY TNHH ĐẦU TƯ DỊCH VỤ VÕ GIA</t>
  </si>
  <si>
    <t>Tổ 13, ấp 1</t>
  </si>
  <si>
    <t>3603399407</t>
  </si>
  <si>
    <t>CÔNG TY TNHH XÂY DỰNG VÀ KỸ THUẬT CƠ KHÍ THÀNH ĐẠT</t>
  </si>
  <si>
    <t>Số 52, tổ 16, KP 1</t>
  </si>
  <si>
    <t>3603404103</t>
  </si>
  <si>
    <t>CÔNG TY TNHH MỘT THÀNH VIÊN CÂY XANH TƯ TÙNG</t>
  </si>
  <si>
    <t>3603409528</t>
  </si>
  <si>
    <t>CÔNG TY TRÁCH NHIỆM HỮU HẠN KINH DOANH VÀNG BẠC TRANG SỨC KIM LIÊN</t>
  </si>
  <si>
    <t xml:space="preserve">3601713642                    </t>
  </si>
  <si>
    <t>CÔNG TY TNHH MỘT THÀNH VIÊN NHÂN TRÂN</t>
  </si>
  <si>
    <t>Đường D3, Khu Tái Định Cư Thái Lạc, Ấp 2</t>
  </si>
  <si>
    <t xml:space="preserve">3603416469                    </t>
  </si>
  <si>
    <t>CÔNG TY CỔ PHẦN THƯƠNG MẠI DỊCH VỤ IP VIỆT NAM</t>
  </si>
  <si>
    <t>Đường Nguyễn Ái Quốc, KCN Nhơn Trạch 3-Giai đoạn 2</t>
  </si>
  <si>
    <t>3603417737</t>
  </si>
  <si>
    <t>CÔNG TY TNHH SHIN HEUNG ĐỒNG NAI</t>
  </si>
  <si>
    <t>Lô K, Đường N3, KCN Lộc An - Bình Sơn</t>
  </si>
  <si>
    <t>3603417769</t>
  </si>
  <si>
    <t>CÔNG TY TNHH FUKUDA GLOVE VIỆT NAM</t>
  </si>
  <si>
    <t>Đường số 6, Khu Công nghiệp Nhơn Trạch III - Giai đoạn 2</t>
  </si>
  <si>
    <t xml:space="preserve">3603418635                    </t>
  </si>
  <si>
    <t>CÔNG TY TNHH MTV THƯƠNG MẠI DỊCH VỤ TƯ VẤN MÔI TRƯỜNG LONG PHƯỚC</t>
  </si>
  <si>
    <t>Tổ 15, ấp Tập Phước</t>
  </si>
  <si>
    <t>3603419237</t>
  </si>
  <si>
    <t>CÔNG TY TNHH SẢN XUẤT THƯƠNG MẠI DỊCH VỤ HA MINH</t>
  </si>
  <si>
    <t xml:space="preserve">3603421412                    </t>
  </si>
  <si>
    <t>CÔNG TY TNHH THÉP KIM VŨ</t>
  </si>
  <si>
    <t>Tổ 21, khu Kim Sơn</t>
  </si>
  <si>
    <t>3603421973</t>
  </si>
  <si>
    <t xml:space="preserve">Công Ty TNHH Thương Mại Dịch Vụ Xây Dựng Phước Bảo Ngọc                                     </t>
  </si>
  <si>
    <t xml:space="preserve">Tổ 2, ấp 1C - Phước Thái - Long Thành - Đồng Nai                                              </t>
  </si>
  <si>
    <t xml:space="preserve">3603423233                    </t>
  </si>
  <si>
    <t>CÔNG TY TNHH TRANSTECH VIỆT NAM</t>
  </si>
  <si>
    <t>Nhà xưởng 26, đường 9-7 (đường nội bộ cụm nhà xưởng cho thuê</t>
  </si>
  <si>
    <t xml:space="preserve">3603426650                    </t>
  </si>
  <si>
    <t>CÔNG TY TNHH SẢN XUẤT THƯƠNG MẠI DỊCH VỤ KIM BẢO LỢI</t>
  </si>
  <si>
    <t>Số 18, tổ 6, ấp Bưng Môn</t>
  </si>
  <si>
    <t>3601737837</t>
  </si>
  <si>
    <t>CÔNG TY TNHH TM- DV-XD KHỞI QUANG</t>
  </si>
  <si>
    <t>Lô Y3-14, khu tái định cư Long An, ấp 4</t>
  </si>
  <si>
    <t xml:space="preserve">3601941416                    </t>
  </si>
  <si>
    <t>CÔNG TY TNHH SẢN XUẤT THƯƠNG MẠI THÉP CƯỜNG THU</t>
  </si>
  <si>
    <t>Số 017, ấp 1C</t>
  </si>
  <si>
    <t>3603435084</t>
  </si>
  <si>
    <t>CÔNG TY TRÁCH NHIỆM HỮU HẠN KINH DOANH VÀNG BẠC TRANG SỨC DIỄM KIỀU 2</t>
  </si>
  <si>
    <t>Tổ 14, ấp 4</t>
  </si>
  <si>
    <t>3603437155</t>
  </si>
  <si>
    <t xml:space="preserve">Công TY TNHH Dịch Vụ Vận Tải An Minh Phát                                                                                                                                                          </t>
  </si>
  <si>
    <t xml:space="preserve">Số 506B Tổ 10 -  ấp Long Phú - Phước Thái - Long Thành - Đồng Nai                                                                                                                               </t>
  </si>
  <si>
    <t xml:space="preserve">3603446456                    </t>
  </si>
  <si>
    <t>CÔNG TY TNHH VẬT LIỆU XANH VI NA</t>
  </si>
  <si>
    <t>Số 15, Đường Hùng Vương, Khu Phố Mỹ Khoan</t>
  </si>
  <si>
    <t xml:space="preserve">3603446914                    </t>
  </si>
  <si>
    <t>CÔNG TY TNHH THIẾT BỊ ĐIỆN QUỐC VIỆT</t>
  </si>
  <si>
    <t>Tổ 18, ấp Xóm Gò - Bà Ký</t>
  </si>
  <si>
    <t>3603457994</t>
  </si>
  <si>
    <t>CÔNG TY TNHH PHÒNG CHÁY TRUNG THỊNH</t>
  </si>
  <si>
    <t>Số 22/17, ấp 1</t>
  </si>
  <si>
    <t xml:space="preserve">3603458010                    </t>
  </si>
  <si>
    <t>CÔNG TY TNHH DỊCH VỤ XẾP DỠ HÀNG HÓA VẠN PHÚC</t>
  </si>
  <si>
    <t>Tổ 5, ấp 2</t>
  </si>
  <si>
    <t>3602000997</t>
  </si>
  <si>
    <t>Trung Tâm Giáo Dục Thường Xuyên Huyện Nhơn Trạch</t>
  </si>
  <si>
    <t>Đường D4 KDC Long Thọ Phước An, Xã Phước An, Huyện Nhơn Trạch</t>
  </si>
  <si>
    <t>3602017246</t>
  </si>
  <si>
    <t>Thanh Tra Huyện Nhơn Trạch</t>
  </si>
  <si>
    <t>3603466565</t>
  </si>
  <si>
    <t>CÔNG TY TNHH MỘT THÀNH VIÊN KIỆT NGỌC PHÁT</t>
  </si>
  <si>
    <t>Số 86, tổ 25, khu Kim Sơn</t>
  </si>
  <si>
    <t>3603472456</t>
  </si>
  <si>
    <t xml:space="preserve">Công Ty TNHH DV Huy Tiến Phạm                                                                                                                                                                        </t>
  </si>
  <si>
    <t xml:space="preserve">110 Lý Thái Tổ- ấp Trầu - Phước Thiền - Nhơn Trạch - Đồng Nai                                                                                                                                  </t>
  </si>
  <si>
    <t xml:space="preserve">3603473523                    </t>
  </si>
  <si>
    <t>CÔNG TY TNHH KHÍ CÔNG NGHIỆP NGÂN AN</t>
  </si>
  <si>
    <t>Số 166/9/1, tổ 20, ấp Xóm Gò Bà Ký</t>
  </si>
  <si>
    <t xml:space="preserve">3603474929                    </t>
  </si>
  <si>
    <t>CÔNG TY TNHH TK P&amp;S VINA</t>
  </si>
  <si>
    <t>Lô N1, Khu Công nghiệp Lộc An - Bình Sơn</t>
  </si>
  <si>
    <t>3603484934</t>
  </si>
  <si>
    <t>CÔNG TY TNHH DỆT NHUỘM QIAOTAIXING VIỆT NAM</t>
  </si>
  <si>
    <t>Đường N3, Phân khu công nghiệp Nhơn Trạch 6A, KCN Nhơn Trạch</t>
  </si>
  <si>
    <t>3603485511</t>
  </si>
  <si>
    <t xml:space="preserve">Công ty TNHH Sắt Thép Hà Nam                                                                                                                                                                        </t>
  </si>
  <si>
    <t xml:space="preserve">Số 151, Tổ 18, Khu Cầu Xéo, Thị Trấn Long Thành - Huyện Long Thành, Tỉnh Đồng Nai, Việt Na                                                                                                    </t>
  </si>
  <si>
    <t>3603492477</t>
  </si>
  <si>
    <t>CÔNG TY CỔ PHẦN VIỆT RẠNG ĐÔNG NHƠN TRẠCH</t>
  </si>
  <si>
    <t>Số 2195A, đường Quách Thị Trang</t>
  </si>
  <si>
    <t>3603497972-002</t>
  </si>
  <si>
    <t>CHI NHÁNH CÔNG TY CỔ PHẦN SIÊU THỊ VẬT LIỆU XÂY DỰNG THẾ GIỚI NHÀ TẠI NHƠN TRẠCH</t>
  </si>
  <si>
    <t>Lô 17 , Tỉnh Lộ 25B, KCN Nhơn Trạch 2, Xã Phú Hội, Huyện Nhơn Trạch, Đồng Nai</t>
  </si>
  <si>
    <t>3603502534</t>
  </si>
  <si>
    <t>CÔNG TY TNHH THƯƠNG MẠI VÀ DỊCH VỤ NGỌC NHƯ QUỲNH</t>
  </si>
  <si>
    <t>Tổ 8, ấp 3</t>
  </si>
  <si>
    <t xml:space="preserve">3603504771                    </t>
  </si>
  <si>
    <t>CÔNG TY TNHH AND SYSTEM VINA</t>
  </si>
  <si>
    <t>Số C36 , Tổ 2 , Hẻm 143/10 đường Lê Duẩn , khu Phước Hải</t>
  </si>
  <si>
    <t>3603504958</t>
  </si>
  <si>
    <t>HỘ KINH DOANH TUYẾT AN</t>
  </si>
  <si>
    <t>Ấp Vĩnh Tuy, Xã Long Tân, Huyện Nhơn Trạch, Đồng Nai</t>
  </si>
  <si>
    <t xml:space="preserve">3603507282                    </t>
  </si>
  <si>
    <t>CÔNG TY TNHH KHÔI THỊNH</t>
  </si>
  <si>
    <t>Số nhà 238/20/4, Tổ 4, Thôn 6</t>
  </si>
  <si>
    <t xml:space="preserve">3603509931                    </t>
  </si>
  <si>
    <t>CÔNG TY TNHH SẢN XUẤT THƯƠNG MẠI DỊCH VỤ XUẤT NHẬP KHẨU TIẾN TRIỂN</t>
  </si>
  <si>
    <t>Số 171, Đường 769, Ấp Bình Lâm</t>
  </si>
  <si>
    <t>3603514071</t>
  </si>
  <si>
    <t>CÔNG TY TNHH CÔNG NGHỆ NA NO THẾ HỆ MỚI</t>
  </si>
  <si>
    <t>Tổ 8, ấp 6</t>
  </si>
  <si>
    <t xml:space="preserve">3603529857                    </t>
  </si>
  <si>
    <t>CÔNG TY TNHH HI KNIT</t>
  </si>
  <si>
    <t>Phân KCN Nhơn Trạch 6A, KCN Nhơn Trạch 6</t>
  </si>
  <si>
    <t xml:space="preserve">3603531119                    </t>
  </si>
  <si>
    <t>CÔNG TY TNHH SOPEX VIỆT NAM</t>
  </si>
  <si>
    <t>KCN An Phước (Thuê nhà xưởng Công ty TNHH Katoen Natie Việt</t>
  </si>
  <si>
    <t>3603531944</t>
  </si>
  <si>
    <t>CÔNG TY TNHH K-WON VIỆT NAM</t>
  </si>
  <si>
    <t>Đường Tôn Đức Thắng - KCN Nhơn Trạch 3 - Giai đoạn 1</t>
  </si>
  <si>
    <t>3603533691</t>
  </si>
  <si>
    <t>CÔNG TY CỔ PHẦN TẬP ĐOÀN ĐẦU TƯ MINH DƯƠNG</t>
  </si>
  <si>
    <t>tổ 12, ấp Phước Lương</t>
  </si>
  <si>
    <t xml:space="preserve">3603539478                    </t>
  </si>
  <si>
    <t>CÔNG TY TNHH HANLIM ĐỒNG NAI</t>
  </si>
  <si>
    <t>Lô L, KCN Lộc An - Bình Sơn</t>
  </si>
  <si>
    <t xml:space="preserve">3603550538                    </t>
  </si>
  <si>
    <t>CÔNG TY TNHH TƯ VẤN THIẾT KẾ XÂY DỰNG TRẦN THỰC</t>
  </si>
  <si>
    <t>Số 13, Khu 12</t>
  </si>
  <si>
    <t xml:space="preserve">3603435207                    </t>
  </si>
  <si>
    <t>CÔNG TY TNHH NASAN HCM VIỆT NAM</t>
  </si>
  <si>
    <t>Đường số 6, KCN An Phước</t>
  </si>
  <si>
    <t xml:space="preserve">3603436169                    </t>
  </si>
  <si>
    <t>CÔNG TY TNHH MỘT THÀNH VIÊN THỊNH THỌ PHÁT</t>
  </si>
  <si>
    <t>Số 11/72, tổ 2, ấp 4</t>
  </si>
  <si>
    <t xml:space="preserve">3603444191                    </t>
  </si>
  <si>
    <t>CÔNG TY TNHH UENO TEKKO VIỆT NAM</t>
  </si>
  <si>
    <t>Khu Công nghiệp An Phước</t>
  </si>
  <si>
    <t>3603444804</t>
  </si>
  <si>
    <t>CÔNG TY TNHH PHƯƠNG PHÚ BÌNH</t>
  </si>
  <si>
    <t>Số 301, ấp Hiền Hòa</t>
  </si>
  <si>
    <t xml:space="preserve">3603426957                    </t>
  </si>
  <si>
    <t>CÔNG TY TNHH CƠ KHÍ MẠ NHƠN TRẠCH</t>
  </si>
  <si>
    <t>Lô số 1, đường số 9, Khu Công nghiệp Nhơn Trạch II - Nhơn Ph</t>
  </si>
  <si>
    <t>3603432037</t>
  </si>
  <si>
    <t>CÔNG TY TNHH MTV SẢN XUẤT THƯƠNG MẠI SĨ BÌNH QUÂN</t>
  </si>
  <si>
    <t>Tổ 3, ấp 1</t>
  </si>
  <si>
    <t xml:space="preserve">3603438751                    </t>
  </si>
  <si>
    <t>CÔNG TY TNHH SẢN XUẤT THƯƠNG MẠI DỊCH VỤ MAI LỢI</t>
  </si>
  <si>
    <t xml:space="preserve"> số 1065 , Quốc lộ 51, ấp 1</t>
  </si>
  <si>
    <t xml:space="preserve">3603439730                    </t>
  </si>
  <si>
    <t>CÔNG TY TNHH QUANG THU LONG THÀNH</t>
  </si>
  <si>
    <t>Số 04, ấp 6, đường Lê Duẩn</t>
  </si>
  <si>
    <t xml:space="preserve">3603443215                    </t>
  </si>
  <si>
    <t>CÔNG TY TNHH PHAN HOÀNG MINH</t>
  </si>
  <si>
    <t>Số 29A, tổ 6, ấp 3</t>
  </si>
  <si>
    <t xml:space="preserve">3603444586                    </t>
  </si>
  <si>
    <t>CÔNG TY TNHH DULON VINA</t>
  </si>
  <si>
    <t>Giao lộ 319B, Đường 25C, Khu Công nghiệp Nhơn Trạch III</t>
  </si>
  <si>
    <t>3603447040</t>
  </si>
  <si>
    <t xml:space="preserve">Công Ty TNHH MTV Dịch Vụ Bảo Vệ Hồng Long Phát                                                                                                                                                   </t>
  </si>
  <si>
    <t xml:space="preserve">Tổ 5- ấp 1 - Xã Long An - Huyện Long Thành - Tỉnh Đồng Nai- Việt Nam                                                                                                                             </t>
  </si>
  <si>
    <t xml:space="preserve">3603448735                    </t>
  </si>
  <si>
    <t>CÔNG TY TNHH ĐẦU TƯ THƯƠNG PHÚC</t>
  </si>
  <si>
    <t>Số 4, Quốc lộ 51, Ấp 5</t>
  </si>
  <si>
    <t>3603454619</t>
  </si>
  <si>
    <t>CÔNG TY TNHH THƯƠNG MẠI DỊCH VỤ HOÀNG PHONG VŨ</t>
  </si>
  <si>
    <t>Số 219/26, Lý Thái Tổ, ấp Trầu</t>
  </si>
  <si>
    <t xml:space="preserve">3603466572                    </t>
  </si>
  <si>
    <t>CÔNG TY TNHH HAMAGUCHI PRECISION VIỆT NAM</t>
  </si>
  <si>
    <t xml:space="preserve">3603450156                    </t>
  </si>
  <si>
    <t>CÔNG TY TNHH THÉP ĐẠT THỊNH PHÁT</t>
  </si>
  <si>
    <t xml:space="preserve"> ổ 1, ấp Xóm Gốc</t>
  </si>
  <si>
    <t>3603461736-001</t>
  </si>
  <si>
    <t>Nguyễn Lương Khôi</t>
  </si>
  <si>
    <t>Số 05, Tổ 5, Đường Lê Duẩn, Khu Cầu Xéo, Thị Trấn Long Thành, Huyện Long Thành, Đồng Nai</t>
  </si>
  <si>
    <t>3603461817</t>
  </si>
  <si>
    <t>CÔNG TY TNHH MỘT THÀNH VIÊN ĐẠT VINH GIA</t>
  </si>
  <si>
    <t>số 188, đường Lý Thái Tổ, ấp Trầu</t>
  </si>
  <si>
    <t xml:space="preserve">3603462088                    </t>
  </si>
  <si>
    <t>CÔNG TY TNHH BAO BÌ TÂM DƯƠNG</t>
  </si>
  <si>
    <t>Số 542/8, đường Lý Thái Tổ, tổ 1, ấp Bến Cam</t>
  </si>
  <si>
    <t>3603470561</t>
  </si>
  <si>
    <t>CÔNG TY TNHH BÙI TÂN MINH ĐẠT</t>
  </si>
  <si>
    <t>Tổ 6, ấp 4, khu phố Phước Lai</t>
  </si>
  <si>
    <t xml:space="preserve">3603467720                    </t>
  </si>
  <si>
    <t>CÔNG TY TNHH DỆT SỢI QUANG HÙNG</t>
  </si>
  <si>
    <t>3603469005</t>
  </si>
  <si>
    <t>CÔNG TY TNHH CƠ KHÍ THƯƠNG MẠI DỊCH VỤ THÀNH CÔNG PHÁT</t>
  </si>
  <si>
    <t>tổ 9, ấp 10</t>
  </si>
  <si>
    <t>3603469661</t>
  </si>
  <si>
    <t>NHÀ THUỐC PHÚC NGUYÊN 94</t>
  </si>
  <si>
    <t>Lý Thái Tổ, Tổ 25, Ấp Bến Sắn, Xã Phước Thiền, Huyện Nhơn Trạch, Đồng Nai</t>
  </si>
  <si>
    <t xml:space="preserve">3603470603                    </t>
  </si>
  <si>
    <t>CÔNG TY TNHH NEW CHEMICAL VIỆT NAM</t>
  </si>
  <si>
    <t xml:space="preserve">3603472417                    </t>
  </si>
  <si>
    <t>CÔNG TY TNHH SAITE POWER SOURCE VIỆT NAM</t>
  </si>
  <si>
    <t>Đường số 6, Khu công nghiệp An Phước</t>
  </si>
  <si>
    <t>3603475094</t>
  </si>
  <si>
    <t xml:space="preserve">CÔNG TY TNHH Kỹ THUậT AN PHƯớC                                                                                                                                                                      </t>
  </si>
  <si>
    <t xml:space="preserve">Tổ 4, ấp 5 - An Phước - Long Thành - Đồng Nai - Việt Nam                                                                                                                                          </t>
  </si>
  <si>
    <t xml:space="preserve">3603478352                    </t>
  </si>
  <si>
    <t>CÔNG TY TNHH THƯƠNG MẠI ĐẦU TƯ XÂY DỰNG HƯNG HOÀNG PHÁT</t>
  </si>
  <si>
    <t>164/23, tổ 7, ấp 1</t>
  </si>
  <si>
    <t>3603483585</t>
  </si>
  <si>
    <t>CÔNG TY TNHH THƯƠNG MẠI TUẤN HIỀN PHÁT</t>
  </si>
  <si>
    <t>Số 18E, Nguyễn Đình Chiểu, Khu Phước Hải</t>
  </si>
  <si>
    <t>3603484388</t>
  </si>
  <si>
    <t>CÔNG TY TNHH KOVA VINA</t>
  </si>
  <si>
    <t>3603487607</t>
  </si>
  <si>
    <t>CÔNG TY TNHH SẢN XUẤT THƯƠNG MẠI DỊCH VỤ DONG SIM</t>
  </si>
  <si>
    <t>Tổ 2, Đường Hùng Vương, Ấp 4</t>
  </si>
  <si>
    <t>3603487692</t>
  </si>
  <si>
    <t xml:space="preserve">Công Ty TNHH Thương Mại Dịch Vụ Quốc Tế Thái Minh Anh                                         </t>
  </si>
  <si>
    <t xml:space="preserve">Số 17, Tổ 1, ấp Hàng Gòn, Xã Lộc An, Huyện Long Thành, Tỉnh Đồng Nai, Việt Nam           </t>
  </si>
  <si>
    <t>3603489315</t>
  </si>
  <si>
    <t>CÔNG TY CỔ PHẦN VITAJEAN SÀI GÒN 3</t>
  </si>
  <si>
    <t>Phân khu công nghiệp Nhơn Trạch 6A, KCN Nhơn Trạch 6</t>
  </si>
  <si>
    <t xml:space="preserve">3602026265                    </t>
  </si>
  <si>
    <t>CÔNG TY TNHH XÂY DỰNG XANH</t>
  </si>
  <si>
    <t>Tổ 12, Khu Phố Phước Kiểng</t>
  </si>
  <si>
    <t>3603502446</t>
  </si>
  <si>
    <t>CÔNG TY TNHH MTV XÂY DỰNG THIẾT BỊ TRƯỜNG HỌC NHƠN TRẠCH</t>
  </si>
  <si>
    <t>Tổ 14, Ấp 1</t>
  </si>
  <si>
    <t>3603504147</t>
  </si>
  <si>
    <t>CÔNG TY TNHH ĐIỆN LẠNH NGỌC PHÁT</t>
  </si>
  <si>
    <t>Số 1B, Đường Phạm Văn Đồng, Tổ 29, Khu Cầu Xéo</t>
  </si>
  <si>
    <t xml:space="preserve">3603513494                    </t>
  </si>
  <si>
    <t>CÔNG TY TNHH SPARKLIN VIỆT NAM</t>
  </si>
  <si>
    <t>Lô số 31 và 34, đường D2, KCN Nhơn Trạch 6</t>
  </si>
  <si>
    <t>3603515124</t>
  </si>
  <si>
    <t>CÔNG TY CỔ PHẦN NHỰA VIỄN THÔNG LONG THÀNH</t>
  </si>
  <si>
    <t>Khu 1, Ấp 7</t>
  </si>
  <si>
    <t>3603500022</t>
  </si>
  <si>
    <t>CÔNG TY TNHH PRETEC WORLD</t>
  </si>
  <si>
    <t>Nhà xưởng cho thuê 3-1, đường N3-2, KCN Long Đức</t>
  </si>
  <si>
    <t xml:space="preserve">3603500576                    </t>
  </si>
  <si>
    <t>CÔNG TY TRÁCH NHIỆM HỮU HẠN ĐẦU TƯ TK VINA</t>
  </si>
  <si>
    <t xml:space="preserve">3603504115                    </t>
  </si>
  <si>
    <t>CÔNG TY TNHH THÀNH PHỐ CÔNG NGHIỆP MỚI NHƠN TRẠCH</t>
  </si>
  <si>
    <t>Đường số 7, Khu Đô Thị Đông Sài Gòn</t>
  </si>
  <si>
    <t xml:space="preserve">3603520029                    </t>
  </si>
  <si>
    <t>CÔNG TY TNHH CHỈ MAY AMERICAN &amp; EFIRD VIỆT NAM</t>
  </si>
  <si>
    <t>Lô số 32-33, Khu Công Nghiệp Nhơn Trạch 6</t>
  </si>
  <si>
    <t xml:space="preserve">3603520886                    </t>
  </si>
  <si>
    <t>CÔNG TY TNHH CÔNG TY TNHH VẬN TẢI HOA TRINH</t>
  </si>
  <si>
    <t>Số 678, Ấp 2</t>
  </si>
  <si>
    <t>3603520117</t>
  </si>
  <si>
    <t xml:space="preserve">Công Ty TNHH Cơ Khí Xây Dựng Nguyễn Lâm                                                                                                                                                            </t>
  </si>
  <si>
    <t xml:space="preserve">Số 67 Tổ 8 - ấp 2 - Phước Bình - Long Thành - Đồng Nai                                                                                                                                            </t>
  </si>
  <si>
    <t>3603525002</t>
  </si>
  <si>
    <t>CÔNG TY TNHH THƯƠNG MẠI DỊCH VỤ XÂY DỰNG - BẤT ĐỘNG SẢN VÂN THẢO</t>
  </si>
  <si>
    <t>Tổ 4, Ấp Tập Phước</t>
  </si>
  <si>
    <t xml:space="preserve">3603525066                    </t>
  </si>
  <si>
    <t>CÔNG TY TNHH CƠ KHÍ THẾ TÀI</t>
  </si>
  <si>
    <t>Số 651/2, ấp Phú Mỹ 2</t>
  </si>
  <si>
    <t xml:space="preserve">3603529705                    </t>
  </si>
  <si>
    <t>CÔNG TY TNHH SHILLA INJECTION VINA</t>
  </si>
  <si>
    <t>Đường số 10, KCN Nhơn Trạch 1</t>
  </si>
  <si>
    <t xml:space="preserve">3603530387                    </t>
  </si>
  <si>
    <t>CÔNG TY TNHH THƯƠNG MẠI DỊCH VỤ VÀ XÂY DỰNG HỢP HÒA PHÁT</t>
  </si>
  <si>
    <t>Số 117, tổ 1, QL 51, ấp Hiền Đức</t>
  </si>
  <si>
    <t xml:space="preserve">3603533349                    </t>
  </si>
  <si>
    <t>CÔNG TY TNHH HẢI BĂNG</t>
  </si>
  <si>
    <t>Tổ 2, Ấp An Lâm</t>
  </si>
  <si>
    <t>3603548190</t>
  </si>
  <si>
    <t>CÔNG TY TNHH MTV ĐẦU TƯ XÂY DỰNG AN PHONG</t>
  </si>
  <si>
    <t>Số 29, tổ 16, Ấp Xóm Gốc</t>
  </si>
  <si>
    <t>3603550471</t>
  </si>
  <si>
    <t>CÔNG TY TRÁCH NHIỆM HỮU HẠN THƯƠNG MẠI DỊCH VỤ TÂM VẠN THỊNH</t>
  </si>
  <si>
    <t>Số 84/36, Hẻm 84, ấp 3</t>
  </si>
  <si>
    <t>3603522756</t>
  </si>
  <si>
    <t xml:space="preserve">Công ty TNHH Cơ Khí &amp; Xây Dựng Dương Gia Phát                                                                                                                                                       </t>
  </si>
  <si>
    <t xml:space="preserve">Số 28, Tổ 14, Khu 12, Đường Tôn Đức Thắng, Xã Long Đức, Huyện Long Thành, Tỉnh Đồng Nai,                                                                                                     </t>
  </si>
  <si>
    <t xml:space="preserve">3603530771                    </t>
  </si>
  <si>
    <t>CÔNG TY TNHH PHONG PHÚ SƠN</t>
  </si>
  <si>
    <t>Số 79, tổ 16, ấp Trầu</t>
  </si>
  <si>
    <t xml:space="preserve">3603534776                    </t>
  </si>
  <si>
    <t>CÔNG TY TNHH ASIA INDUSTRY VIỆT NAM</t>
  </si>
  <si>
    <t>Đường số 6, KCN Nhơn Trạch III - Giai đoạn 2</t>
  </si>
  <si>
    <t xml:space="preserve">3603539608                    </t>
  </si>
  <si>
    <t>CÔNG TY TNHH YIDA SẢN PHẨM CAO SU CHÍNH XÁC VN</t>
  </si>
  <si>
    <t>Nhà xưởng số 02, đường số 08, KCN Nhơn Trạch 1</t>
  </si>
  <si>
    <t xml:space="preserve">3603541879                    </t>
  </si>
  <si>
    <t>CÔNG TY TNHH SHENGHONG PRECISION (VIỆT NAM)</t>
  </si>
  <si>
    <t>3603547101</t>
  </si>
  <si>
    <t>CÔNG TY TNHH CÔNG NGHỆ LÊ TRỊNH</t>
  </si>
  <si>
    <t>Số 422, Đường Hùng Vương, Tổ 19, Ấp 4</t>
  </si>
  <si>
    <t xml:space="preserve">3603548384                    </t>
  </si>
  <si>
    <t>CÔNG TY TNHH KHẢI LỘC PHÁT</t>
  </si>
  <si>
    <t>Tổ 6, Ấp 3</t>
  </si>
  <si>
    <t xml:space="preserve">3603558463                    </t>
  </si>
  <si>
    <t>CÔNG TY TNHH BALEM VINA</t>
  </si>
  <si>
    <t>Đường số 1, KCN Nhơn Trạch 1</t>
  </si>
  <si>
    <t xml:space="preserve">3603559805                    </t>
  </si>
  <si>
    <t>CÔNG TY TNHH KUGIL VINA</t>
  </si>
  <si>
    <t>Lô D, KCN Lộc An- Bình Sơn</t>
  </si>
  <si>
    <t xml:space="preserve">3603562519                    </t>
  </si>
  <si>
    <t>CÔNG TY TNHH SANKI VIỆT NAM</t>
  </si>
  <si>
    <t xml:space="preserve">3603563551                    </t>
  </si>
  <si>
    <t>CÔNG TY TNHH SOLEMAX VINA</t>
  </si>
  <si>
    <t>Nhà xưởng số 38 và 39, Đường số 10, KCN Long Thành</t>
  </si>
  <si>
    <t xml:space="preserve">3603564749                    </t>
  </si>
  <si>
    <t>CÔNG TY TNHH ANGLOMOIL VIỆT NAM</t>
  </si>
  <si>
    <t>Đường Số 1, Khu Công Nghiệp Nhơn Trạch 1</t>
  </si>
  <si>
    <t>3603559241</t>
  </si>
  <si>
    <t>CÔNG TY TNHH HỒNG PHƯƠNG TRANG</t>
  </si>
  <si>
    <t>Số 88, Ấp Xóm Gốc</t>
  </si>
  <si>
    <t xml:space="preserve">3603561226                    </t>
  </si>
  <si>
    <t>CÔNG TY TNHH DH LOGISTIC PROPERTY VIỆT NAM</t>
  </si>
  <si>
    <t>Lô I, KCN Lộc An - Bình Sơn</t>
  </si>
  <si>
    <t xml:space="preserve">3603565044                    </t>
  </si>
  <si>
    <t>CÔNG TY TNHH MTV CÔNG TRÌNH TOÀN CẦU</t>
  </si>
  <si>
    <t>Tổ 27, Ấp Bến Sắn</t>
  </si>
  <si>
    <t>3603571922</t>
  </si>
  <si>
    <t>CÔNG TY TNHH THƯƠNG MẠI XUẤT NHẬP KHẨU QUỐC TẾ PHÚ GIA PHÁT</t>
  </si>
  <si>
    <t>Số 68, Hẻm 9, Tổ 38, Đường Trần Nhân Tông, Khu Cầu Xéo</t>
  </si>
  <si>
    <t xml:space="preserve">3603575042                    </t>
  </si>
  <si>
    <t>CÔNG TY TNHH VIỆT NAM UMANO</t>
  </si>
  <si>
    <t>(Trong khuôn viên Công ty TNHH Vĩnh Cường) Đường số 5, KCN A</t>
  </si>
  <si>
    <t>3603576039</t>
  </si>
  <si>
    <t>CÔNG TY TNHH LAMIPEL VIỆT NAM</t>
  </si>
  <si>
    <t>Block A, đường số 6, KCN Nhơn Trạch 6</t>
  </si>
  <si>
    <t xml:space="preserve">3603578861                    </t>
  </si>
  <si>
    <t>CÔNG TY TNHH GWANGJIN VINA HCM</t>
  </si>
  <si>
    <t>Đường số 6, KCN An Phước (Thuê lại nhà xưởng của CÔNG TY TNH</t>
  </si>
  <si>
    <t>3603579368</t>
  </si>
  <si>
    <t>CÔNG TY TNHH XÂY DỰNG THƯƠNG MẠI HIỀN NGỌC BÍCH</t>
  </si>
  <si>
    <t>Tổ 3, Ấp Xóm Gốc</t>
  </si>
  <si>
    <t>3603580740</t>
  </si>
  <si>
    <t xml:space="preserve">Công ty TNHH Tư Vấn Thiết Kế Xây Dựng Hồng Kim Architecture                                                                                                                                     </t>
  </si>
  <si>
    <t xml:space="preserve">Tổ 12, ấp 5, Xã An Phước, Huyện Long Thành, Tỉnh Đồng Nai, Việt Nam                                                                                                                             </t>
  </si>
  <si>
    <t>3602042517</t>
  </si>
  <si>
    <t>Trung Tâm Văn Hóa, Thông Tin Và Thể Thao Huyện Nhơn Trạch (Truyền thanh)</t>
  </si>
  <si>
    <t xml:space="preserve">3602043648                    </t>
  </si>
  <si>
    <t>Công Ty TNHH Một Thành Viên Thành Quang</t>
  </si>
  <si>
    <t>Số 13, tổ 14, ấp 5</t>
  </si>
  <si>
    <t>3602053413</t>
  </si>
  <si>
    <t>Công Ty TNHH Trí Thành Hải</t>
  </si>
  <si>
    <t>Số 34, Tổ 9, Khu B</t>
  </si>
  <si>
    <t>3602056245</t>
  </si>
  <si>
    <t>Liên Đoàn Lao Động Long Thành</t>
  </si>
  <si>
    <t>3602056277</t>
  </si>
  <si>
    <t>Viện Kiểm Sát Nhân Dân Huyện Long Thành</t>
  </si>
  <si>
    <t>3603580797</t>
  </si>
  <si>
    <t>CÔNG TY TNHH MỘT THÀNH VIÊN PHÁT TRIỂN THÀNH THÀNH ĐẠT</t>
  </si>
  <si>
    <t>3603583741</t>
  </si>
  <si>
    <t>CÔNG TY CỔ PHẦN DỊCH VỤ KHOA HỌC KỸ THUẬT VÀ SẢN XUẤT GỐM SỨ KIM TRÚC ĐỒNG NAI</t>
  </si>
  <si>
    <t>Khu Công Nghiệp Nhơn Trạch 1</t>
  </si>
  <si>
    <t xml:space="preserve">3603586767                    </t>
  </si>
  <si>
    <t>CÔNG TY TNHH ACTION COMPOSITES HIGHTECH INDUSTRIES</t>
  </si>
  <si>
    <t>Đường số 4, KCN Nhơn Trạch III - Giai đoạn 2</t>
  </si>
  <si>
    <t>3603591492</t>
  </si>
  <si>
    <t>CÔNG TY TNHH HỒNG Y THUẦN</t>
  </si>
  <si>
    <t>Số 365, Khu 12</t>
  </si>
  <si>
    <t xml:space="preserve">3603593348                    </t>
  </si>
  <si>
    <t>CÔNG TY TNHH LI CHENG ENTERPRISE VIỆT NAM</t>
  </si>
  <si>
    <t>KCN Nhơn Trạch 6</t>
  </si>
  <si>
    <t xml:space="preserve">3603598681                    </t>
  </si>
  <si>
    <t>CÔNG TY TNHH FLEX SHIN-EI</t>
  </si>
  <si>
    <t>(Trong khuôn viên của CT TNHH SETTSU CARTON VIỆT NAM) Đường</t>
  </si>
  <si>
    <t xml:space="preserve">3603599607                    </t>
  </si>
  <si>
    <t>CÔNG TY TNHH AM INDUSTRIES VIỆT NAM</t>
  </si>
  <si>
    <t>Lô K, Đường số 6, KCN An Phước</t>
  </si>
  <si>
    <t>3603601951</t>
  </si>
  <si>
    <t>CÔNG TY TNHH HWASEUNG CHEMICAL VIỆT NAM</t>
  </si>
  <si>
    <t>Đường Số 8, KCN Nhơn Trạch 1</t>
  </si>
  <si>
    <t>3603602793</t>
  </si>
  <si>
    <t>CÔNG TY TNHH TRINOX SÀI GÒN</t>
  </si>
  <si>
    <t>Đường 3B, KCN Nhơn Trạch 1</t>
  </si>
  <si>
    <t>3603605515</t>
  </si>
  <si>
    <t>Bưu Điện Huyện Nhơn Trạch - Bưu Điện Tỉnh Đồng Nai</t>
  </si>
  <si>
    <t>Đường Tôn Đức Thắng, Xã Phú Hội, Huyện Nhơn Trạch, Đồng Nai</t>
  </si>
  <si>
    <t xml:space="preserve">3603611798                    </t>
  </si>
  <si>
    <t>CÔNG TY TNHH TM DV XNK THIÊN PHƯƠNG NAM</t>
  </si>
  <si>
    <t>Số 291, Đường Lý Thái Tổ, Ấp Bến Sắn</t>
  </si>
  <si>
    <t>3603613770</t>
  </si>
  <si>
    <t>CÔNG TY TNHH JNJ IND</t>
  </si>
  <si>
    <t>Đường N4, Lô L, KCN Lộc An - Bình Sơn</t>
  </si>
  <si>
    <t xml:space="preserve">3603618391                    </t>
  </si>
  <si>
    <t>CÔNG TY TNHH UZIN METAL</t>
  </si>
  <si>
    <t>Nhà xưởng số 12, Đường số 3, KCN Nhơn Trạch 2, Nhơn Phú</t>
  </si>
  <si>
    <t>3602056608</t>
  </si>
  <si>
    <t>Hội Nạn Nhân Chất Độc Da Cam Dioxin</t>
  </si>
  <si>
    <t>Khu Phước Thuận, TT Long Thành, Huyện Long Thành</t>
  </si>
  <si>
    <t>3602057584</t>
  </si>
  <si>
    <t>Hạt Kiểm Lâm Long Thành</t>
  </si>
  <si>
    <t>3602091747</t>
  </si>
  <si>
    <t>Phòng Y Tế Nhơn Trạch</t>
  </si>
  <si>
    <t>3602095501</t>
  </si>
  <si>
    <t>Phòng kinh tế huyện Nhơn Trạch</t>
  </si>
  <si>
    <t>xã Phú Hội, huyện Nhơn Trạch</t>
  </si>
  <si>
    <t>3602105333</t>
  </si>
  <si>
    <t xml:space="preserve">CTy TNHH MTV Phú Quý                                                                                                                                                                                  </t>
  </si>
  <si>
    <t xml:space="preserve">189 tổ 5 ấp 1 - Phước Bình - Long Thành - Đồng Nai                                                                                                                                                 </t>
  </si>
  <si>
    <t>3602105710</t>
  </si>
  <si>
    <t>CÔNG TY TNHH MỘT THÀNH VIÊN THIÊN CẦM</t>
  </si>
  <si>
    <t>60, hẻm số 84/37, đường Hùng Vương, KP Mỹ Khoan</t>
  </si>
  <si>
    <t>3602123759</t>
  </si>
  <si>
    <t>Trường Tiểu Học Phước Thiền 2</t>
  </si>
  <si>
    <t>Ấp Bến Sắn, Xã Phước Thiền, Huyện Nhơn Trạch</t>
  </si>
  <si>
    <t>3602142328</t>
  </si>
  <si>
    <t xml:space="preserve">Hồng Quang Sáu                                                                                                                                                                                       </t>
  </si>
  <si>
    <t xml:space="preserve">704 Tổ 18 Đường 319 Bến Cam - Phước Thiền - Nhơn Trạch - Đồng Nai                                                                                                                                </t>
  </si>
  <si>
    <t xml:space="preserve">3603622454                    </t>
  </si>
  <si>
    <t>CÔNG TY TNHH GAME DAY APPAREL VIETNAM</t>
  </si>
  <si>
    <t>Đường Số 6, Khu Công Nghiệp Nhơn Trạch III - Giai đoạn 2</t>
  </si>
  <si>
    <t xml:space="preserve">3603624606                    </t>
  </si>
  <si>
    <t>CÔNG TY TNHH OKUGAWA VIỆT NAM</t>
  </si>
  <si>
    <t>Trong khuôn viên nhà xưởng Công ty TNHH Vĩnh Cường, KCN An P</t>
  </si>
  <si>
    <t xml:space="preserve">3603633350                    </t>
  </si>
  <si>
    <t>CÔNG TY TNHH JYJ WALLCOVERINGS</t>
  </si>
  <si>
    <t>3603635573</t>
  </si>
  <si>
    <t>CÔNG TY TNHH CHÂU THẢO VÂN</t>
  </si>
  <si>
    <t>Số 27/326, ấp 6</t>
  </si>
  <si>
    <t>3603635686</t>
  </si>
  <si>
    <t>CÔNG TY TNHH TƯ VẤN BẤT ĐỘNG SẢN PHÚ HÀO</t>
  </si>
  <si>
    <t>Tổ 1, Ấp Đại Thắng</t>
  </si>
  <si>
    <t xml:space="preserve">3603639031                    </t>
  </si>
  <si>
    <t>CÔNG TY TNHH CÔNG NGHỆ CHANTING VIỆT NAM</t>
  </si>
  <si>
    <t xml:space="preserve">3603640157                    </t>
  </si>
  <si>
    <t>CÔNG TY TNHH HANG NAM VINA</t>
  </si>
  <si>
    <t>Đường số 10, KCN Nhơn Trạch 6</t>
  </si>
  <si>
    <t xml:space="preserve">3603641898                    </t>
  </si>
  <si>
    <t>CÔNG TY TNHH FURSYS VN</t>
  </si>
  <si>
    <t>Đường số 6, Phân KCN Nhơn Trạch 6B, KCN Nhơn Trạch</t>
  </si>
  <si>
    <t xml:space="preserve">3603652025                    </t>
  </si>
  <si>
    <t>CÔNG TY TNHH OPTIMA POWER TOOLS VIỆT NAM</t>
  </si>
  <si>
    <t xml:space="preserve">3603652184                    </t>
  </si>
  <si>
    <t>CÔNG TY TNHH THƯƠNG MẠI DỊCH VỤ LÊ THIÊN HOÀNG</t>
  </si>
  <si>
    <t>Tổ 10, Khu 14</t>
  </si>
  <si>
    <t xml:space="preserve">3603656189                    </t>
  </si>
  <si>
    <t>CÔNG TY TNHH TRAN - Q</t>
  </si>
  <si>
    <t>Đường Trần Phú, KCN Nhơn Trạch 3 - giai đoạn 1</t>
  </si>
  <si>
    <t xml:space="preserve">3603659101                    </t>
  </si>
  <si>
    <t>CÔNG TY TNHH WOOSHIN ĐỒNG NAI</t>
  </si>
  <si>
    <t>Lô M, KCN Lộc An - Bình Sơn</t>
  </si>
  <si>
    <t>3603659535</t>
  </si>
  <si>
    <t>CÔNG TY TNHH NHÔM-KÍNH-XÂY DỰNG TRÍ DŨNG</t>
  </si>
  <si>
    <t>1910, ấp 1C</t>
  </si>
  <si>
    <t>3603660717</t>
  </si>
  <si>
    <t>CÔNG TY TNHH GIAO DỊCH QUỐC TẾ HONGYE</t>
  </si>
  <si>
    <t>Tổ 19, ấp 7</t>
  </si>
  <si>
    <t xml:space="preserve">3603665497                    </t>
  </si>
  <si>
    <t>CÔNG TY TNHH THƯƠNG MẠI THUỐC LÁ HOÀNG GIA ĐÔNG NAM Á</t>
  </si>
  <si>
    <t>Số 2 Hương Lộ 12, Ấp Xóm Gò – Bà Ký</t>
  </si>
  <si>
    <t>3603666116</t>
  </si>
  <si>
    <t>VĂN PHÒNG CÔNG CHỨNG NGUYỄN DUY TÂM</t>
  </si>
  <si>
    <t>Số 684 QL.51, ấp 2</t>
  </si>
  <si>
    <t>3603672663</t>
  </si>
  <si>
    <t>Trung Tâm Văn Hóa, Thông Tin Và Thể Thao Huyện Long Thành</t>
  </si>
  <si>
    <t xml:space="preserve">3603682848                    </t>
  </si>
  <si>
    <t>CÔNG TY TNHH  HK LASER VINA</t>
  </si>
  <si>
    <t>Đường Trần Phú, Khu Công Nghiệp Nhơn Trạch II</t>
  </si>
  <si>
    <t>3603685239</t>
  </si>
  <si>
    <t>CÔNG TY TNHH YIN HWA SHOES LASTS VIỆT NAM</t>
  </si>
  <si>
    <t>3602168559</t>
  </si>
  <si>
    <t>CÔNG TY TNHH MỘT THÀNH VIÊN KHÁNH VY TRẦN</t>
  </si>
  <si>
    <t>3602169753</t>
  </si>
  <si>
    <t>Công Ty TNHH Thương Mại - Dịch Vụ Hòa Bình Phát</t>
  </si>
  <si>
    <t>3602178035</t>
  </si>
  <si>
    <t>CÔNG TY TNHH MỘT THÀNH VIÊN QUẢNG CÁO CÁT KIM SA</t>
  </si>
  <si>
    <t>Tổ 1, đường Hùng Vương, Khu phố Mỹ KHoan</t>
  </si>
  <si>
    <t>3602183719</t>
  </si>
  <si>
    <t>Công ty TNHH Lam Thành</t>
  </si>
  <si>
    <t>Tổ 7, ấp An Lâm</t>
  </si>
  <si>
    <t>3602196362</t>
  </si>
  <si>
    <t>CÔNG TY CỔ PHẦN SẢN XUẤT VÀ ĐẦU TƯ ROYAL HOUSE</t>
  </si>
  <si>
    <t>Đường số 8, Khu Công Nghiệp Nhơn Trạch II - Nhơn Phú</t>
  </si>
  <si>
    <t xml:space="preserve">3602224563                    </t>
  </si>
  <si>
    <t>Công ty TNHH MTV Phạm Công Bình</t>
  </si>
  <si>
    <t xml:space="preserve">3603573045                    </t>
  </si>
  <si>
    <t>CÔNG TY TNHH VẬT LIỆU MÀNG SINOMA VIỆT NAM</t>
  </si>
  <si>
    <t>Đường song hành 1, KCN Nhơn Trạch 6</t>
  </si>
  <si>
    <t xml:space="preserve">3603579343                    </t>
  </si>
  <si>
    <t>CÔNG TY TNHH KCC (VIỆT NAM NHƠN TRẠCH)</t>
  </si>
  <si>
    <t xml:space="preserve">3603580726                    </t>
  </si>
  <si>
    <t>CÔNG TY TNHH  MIDORITOSOU VIỆT NAM</t>
  </si>
  <si>
    <t>Đường số 05, KCN An Phước</t>
  </si>
  <si>
    <t>3603581744</t>
  </si>
  <si>
    <t>CÔNG TY TNHH MTV SUẤT ĂN CÔNG NGHIỆP MÓN NGON</t>
  </si>
  <si>
    <t xml:space="preserve">3603581871                    </t>
  </si>
  <si>
    <t>CÔNG TY TNHH PHÒNG KHÁM ĐA KHOA THANH SANG</t>
  </si>
  <si>
    <t>Số 193, Tôn Đức Thắng, tổ 14, khu 12</t>
  </si>
  <si>
    <t xml:space="preserve">3603582709                    </t>
  </si>
  <si>
    <t>CÔNG TY TNHH THƯƠNG MẠI DỊCH VỤ ÚT CẬN</t>
  </si>
  <si>
    <t>Số 261, Đường Bưng Môn, Ấp An Lâm</t>
  </si>
  <si>
    <t xml:space="preserve">3603588387                    </t>
  </si>
  <si>
    <t>CÔNG TY TNHH SAMYANG EP VIỆT NAM</t>
  </si>
  <si>
    <t>Đường Song Hành 1, KCN Nhơn Trạch 6</t>
  </si>
  <si>
    <t>3603588725</t>
  </si>
  <si>
    <t>CÔNG TY TNHH XÂY DỰNG THƯƠNG MẠI KIM PHÚ PHÁT</t>
  </si>
  <si>
    <t>Tổ 1, Ấp Hàng Gòn</t>
  </si>
  <si>
    <t xml:space="preserve">3603591044                    </t>
  </si>
  <si>
    <t>CÔNG TY TNHH DONG-A INDUSTRIAL VINA</t>
  </si>
  <si>
    <t xml:space="preserve">3603592739                    </t>
  </si>
  <si>
    <t>CÔNG TY TRÁCH NHIỆM HỮU HẠN IN HOA LÊ XI VIỆT NAM</t>
  </si>
  <si>
    <t>Đường số 1, Khu công nghiệp Nhơn Trạch 1</t>
  </si>
  <si>
    <t xml:space="preserve">3603593059                    </t>
  </si>
  <si>
    <t>CÔNG TY TNHH CÔNG NGHỆ SẢN XUẤT KIMYIDA</t>
  </si>
  <si>
    <t>Đường số 2, KCN Nhơn Trạch 3 - Giai đoạn 2</t>
  </si>
  <si>
    <t xml:space="preserve">3603552447                    </t>
  </si>
  <si>
    <t>CÔNG TY TNHH MYOUNGSUNG VINA</t>
  </si>
  <si>
    <t xml:space="preserve">3603556610                    </t>
  </si>
  <si>
    <t>CÔNG TY TNHH XÂY LẮP ĐIỆN CƠ NGUYÊN PHÁT</t>
  </si>
  <si>
    <t>79A Nguyễn Văn Trị, Tổ 8, Khu Văn Hải</t>
  </si>
  <si>
    <t>3603556762</t>
  </si>
  <si>
    <t>CÔNG TY TNHH GS FIRE SAFETY</t>
  </si>
  <si>
    <t>Đường 5B, KCN Nhơn Trạch III - Giai đoạn 2</t>
  </si>
  <si>
    <t>3603567203</t>
  </si>
  <si>
    <t>CÔNG TY TNHH ILYANG OPO VIỆT NAM</t>
  </si>
  <si>
    <t>Lô D, Đường N1, Khu Công Nghiệp Lộc An - Bình Sơn</t>
  </si>
  <si>
    <t>3603571270</t>
  </si>
  <si>
    <t>CÔNG TY TNHH LUSUN FOODS</t>
  </si>
  <si>
    <t>Đường Số 1, KCN Long Thành</t>
  </si>
  <si>
    <t xml:space="preserve">3603573415                    </t>
  </si>
  <si>
    <t>CÔNG TY TNHH VINA SANEMATSU</t>
  </si>
  <si>
    <t>3603574673</t>
  </si>
  <si>
    <t>CÔNG TY TNHH ĐẦU TƯ KINH DOANH AN LẬP PHÁT</t>
  </si>
  <si>
    <t>Số 189, Lý Thái Tổ, Ấp Bến Cam</t>
  </si>
  <si>
    <t xml:space="preserve">3603589045                    </t>
  </si>
  <si>
    <t>CÔNG TY TNHH MỘT THÀNH VIÊN THƯƠNG MẠI VÀ DỊCH VỤ SONG TRANG</t>
  </si>
  <si>
    <t>Tổ 6, ấp Xóm Gò Bà Ký</t>
  </si>
  <si>
    <t xml:space="preserve">3603596081                    </t>
  </si>
  <si>
    <t>CÔNG TY TNHH THƯƠNG MẠI DỊCH VỤ NGUYỄN GIA ANH</t>
  </si>
  <si>
    <t>Tổ 15, Đường Phạm Văn Đồng, Hẽm 90, Khu Cầu Xéo</t>
  </si>
  <si>
    <t xml:space="preserve">3603598970                    </t>
  </si>
  <si>
    <t>CÔNG TY TNHH GỖ DŨNG HOÀNG</t>
  </si>
  <si>
    <t>Tổ 8, ấp Long Phú</t>
  </si>
  <si>
    <t xml:space="preserve">3603598988                    </t>
  </si>
  <si>
    <t>CÔNG TY TNHH SAITEX FABRICS VIỆT NAM</t>
  </si>
  <si>
    <t>Đường D3, phân khu 6C, KCN Nhơn Trạch 6</t>
  </si>
  <si>
    <t xml:space="preserve">3603603606                    </t>
  </si>
  <si>
    <t>CÔNG TY TNHH KHOA HỌC KỸ THUẬT MATRIX</t>
  </si>
  <si>
    <t>Đường Số 1, KCN Nhơn Trạch 1</t>
  </si>
  <si>
    <t xml:space="preserve">3602237072                    </t>
  </si>
  <si>
    <t>Công ty TNHH MTV Phạm Tuấn</t>
  </si>
  <si>
    <t>Số 17, Tổ 3, ấp 4</t>
  </si>
  <si>
    <t>3602241287</t>
  </si>
  <si>
    <t>CÔNG TY TNHH THÉP TÂN BÍCH</t>
  </si>
  <si>
    <t>Số 833, Đường Lê Duẩn, Tổ 30, Khu Cầu Xéo</t>
  </si>
  <si>
    <t>3602263139</t>
  </si>
  <si>
    <t>CÔNG TY TNHH MỘT THÀNH VIÊN A.S.C MAI ANH</t>
  </si>
  <si>
    <t>Tổ 15, khu phố Mỹ Khoan</t>
  </si>
  <si>
    <t>3602263178</t>
  </si>
  <si>
    <t>Công Ty TNHH Một Thành Viên Song Phát Đạt</t>
  </si>
  <si>
    <t>Tổ 11, Khu Văn Hải</t>
  </si>
  <si>
    <t>3602268465</t>
  </si>
  <si>
    <t>Trường Tiểu Học Bình Sơn</t>
  </si>
  <si>
    <t>3602268472</t>
  </si>
  <si>
    <t>Trường Tiểu Học An Lợi</t>
  </si>
  <si>
    <t>Ấp 5, Xã An Phước, Huyện Long Thành</t>
  </si>
  <si>
    <t>3602268521</t>
  </si>
  <si>
    <t>Trường Tiểu Học Long Phước</t>
  </si>
  <si>
    <t>3603621348</t>
  </si>
  <si>
    <t>CÔNG TY TNHH DẦU NHỚT QUỐC TẾ ĐÔNG DƯƠNG</t>
  </si>
  <si>
    <t>Số 11/7, Ấp 2</t>
  </si>
  <si>
    <t>3603623761</t>
  </si>
  <si>
    <t>CÔNG TY TNHH CHẾ BIẾN THỰC PHẨM OLAM VIỆT NAM</t>
  </si>
  <si>
    <t>Lô L, Đường Số 6, KCN An Phước</t>
  </si>
  <si>
    <t xml:space="preserve">3603625286                    </t>
  </si>
  <si>
    <t>CÔNG TY TNHH DƯƠNG CƯỜNG PHÁT</t>
  </si>
  <si>
    <t>Số 221, tổ 20, ấp Trầu</t>
  </si>
  <si>
    <t xml:space="preserve">3603627075                    </t>
  </si>
  <si>
    <t>CÔNG TY TNHH CƠ KHÍ HÙNG THỊNH PHÁT</t>
  </si>
  <si>
    <t>Số 82/18, Tổ 18, Ấp 5</t>
  </si>
  <si>
    <t>3603628657</t>
  </si>
  <si>
    <t>CÔNG TY CỔ PHẦN ĐẦU TƯ THƯƠNG MẠI DỊCH VỤ LAMA IDICO</t>
  </si>
  <si>
    <t>KM 23, Quốc Lộ 51, Ấp 1</t>
  </si>
  <si>
    <t>3603631554</t>
  </si>
  <si>
    <t>CÔNG TY TNHH VIỄN THÔNG LƯƠNG GIA TELECOM</t>
  </si>
  <si>
    <t>Số 57, đường Hùng Vương, ấp 1</t>
  </si>
  <si>
    <t xml:space="preserve">3603633569                    </t>
  </si>
  <si>
    <t>CÔNG TY TNHH SẢN XUẤT THƯƠNG MẠI DỊCH VỤ HOÀNG HUY PHÁT</t>
  </si>
  <si>
    <t>Số 03, KDC Thăng Long - Hiệp Phước, Đường 25B, KP Phước Kiển</t>
  </si>
  <si>
    <t>3603637468</t>
  </si>
  <si>
    <t>CÔNG TY TNHH XÔNG HƠI XOA BÓP THÁI NGUYÊN</t>
  </si>
  <si>
    <t>Số 56/62, đường Lê Duẩn, ấp 1</t>
  </si>
  <si>
    <t>3603637549</t>
  </si>
  <si>
    <t>CÔNG TY TNHH THƯƠNG MẠI DỊCH VỤ VẬN TẢI ĐĂNG HIẾU</t>
  </si>
  <si>
    <t>Số 2, Khu Phước Hải</t>
  </si>
  <si>
    <t>3602280529</t>
  </si>
  <si>
    <t xml:space="preserve">Doanh Nghiệp Tư Nhân Khoa Ngọc Nguyễn                                                           </t>
  </si>
  <si>
    <t xml:space="preserve">Trương Thanh Phương-Host Long Thành-TTVT3) - TT Long Thành - Long Thành - Đồng Nai              </t>
  </si>
  <si>
    <t>Huyện Trảng Bom</t>
  </si>
  <si>
    <t>Xã An Viễn</t>
  </si>
  <si>
    <t xml:space="preserve">3602291898                    </t>
  </si>
  <si>
    <t>Công Ty TNHH Thái Bình Thịnh</t>
  </si>
  <si>
    <t>Tổ 15, Khu 13, Quốc lộ 51</t>
  </si>
  <si>
    <t>3602296014</t>
  </si>
  <si>
    <t>TRƯỜNG THCS CẨM ĐƯỜNG</t>
  </si>
  <si>
    <t>Tổ 4, Ấp 1, Xã Cẩm Đường, Huyện Long Thành, Đồng Nai</t>
  </si>
  <si>
    <t>3602308238</t>
  </si>
  <si>
    <t>Trường PTCS Tân Hiệp</t>
  </si>
  <si>
    <t>Xã Tân Hiệp, Huyện Long Thành</t>
  </si>
  <si>
    <t>3603599558</t>
  </si>
  <si>
    <t>CÔNG TY TNHH MỘT THÀNH VIÊN CÔNG NGHỆ XÂY DỰNG MÔI TRƯỜNG XANH</t>
  </si>
  <si>
    <t>Cụm Khu Công Nghiệp Phú Thạnh, Vĩnh Thanh, Ấp 3, Xã Phú Thạnh, Huyện Nhơn Trạch, Đồng Nai</t>
  </si>
  <si>
    <t xml:space="preserve">3603600570                    </t>
  </si>
  <si>
    <t>CÔNG TY TNHH THƯƠNG MẠI DỊCH VỤ MOK LI</t>
  </si>
  <si>
    <t>Tổ 13, Hẻm 40, Ấp 1</t>
  </si>
  <si>
    <t xml:space="preserve">3603608435                    </t>
  </si>
  <si>
    <t>CÔNG TY TNHH WEI FU</t>
  </si>
  <si>
    <t>Tổ 13, Ấp Tập Phước, Quốc Lộ 51</t>
  </si>
  <si>
    <t xml:space="preserve">3603611212                    </t>
  </si>
  <si>
    <t>CÔNG TY TNHH NITTO DENSEN KOGYO VIỆT NAM</t>
  </si>
  <si>
    <t>Đường số 6, KCN Nhơn Trạch III - giai đoạn 2</t>
  </si>
  <si>
    <t>3603618320</t>
  </si>
  <si>
    <t>CÔNG TY TNHH TONY GOLDEN BEES</t>
  </si>
  <si>
    <t>Tổ 1, ấp 3</t>
  </si>
  <si>
    <t xml:space="preserve">3603623715                    </t>
  </si>
  <si>
    <t>CÔNG TY TNHH SEMBA TOHKA VIỆT NAM</t>
  </si>
  <si>
    <t>Đường N1-1, KCN Long Đức</t>
  </si>
  <si>
    <t>3603639440</t>
  </si>
  <si>
    <t>CÔNG TY TNHH CÔNG NGHỆ SẠCH ĐỒNG NAI</t>
  </si>
  <si>
    <t>Lô A, KCN Lộc An - Bình Sơn</t>
  </si>
  <si>
    <t xml:space="preserve">3603643743                    </t>
  </si>
  <si>
    <t>CÔNG TY TNHH TM DV VIỆT NHẬT</t>
  </si>
  <si>
    <t>Số 181, Tổ 4, Ấp Hòa Bình</t>
  </si>
  <si>
    <t xml:space="preserve">3603646085                    </t>
  </si>
  <si>
    <t>CÔNG TY TRÁCH NHIỆM HỮU HẠN MỘT THÀNH VIÊN ĐÁ THẠCH ANH CAO CẤP PHÚ TÀI</t>
  </si>
  <si>
    <t>Lô B112-114, KCN Dệt May Nhơn Trạch</t>
  </si>
  <si>
    <t xml:space="preserve">3603652716                    </t>
  </si>
  <si>
    <t>CÔNG TY TNHH GIAO NHẬN VẬN TẢI ANH THƯ</t>
  </si>
  <si>
    <t>Tổ 1, ấp 9</t>
  </si>
  <si>
    <t>3603655964</t>
  </si>
  <si>
    <t>CÔNG TY TNHH DỊCH VỤ TƯ VẤN VÀ THIẾT KẾ XÂY DỰNG AN PHÚC</t>
  </si>
  <si>
    <t>Tổ 15, Khu 13, đường Quốc lộ 51</t>
  </si>
  <si>
    <t xml:space="preserve">3603659077                    </t>
  </si>
  <si>
    <t>CÔNG TY TNHH SUHIL ELECTRONICS VINA</t>
  </si>
  <si>
    <t>Nhà xưởng 56, Đường 1-7, KCN Long Thành</t>
  </si>
  <si>
    <t>3603661301</t>
  </si>
  <si>
    <t>CÔNG TY TNHH G&amp;E VIỆT NAM</t>
  </si>
  <si>
    <t>Đường số 03, Khu công nghiệp Nhơn Trạch 6</t>
  </si>
  <si>
    <t xml:space="preserve">3603663852                    </t>
  </si>
  <si>
    <t>CÔNG TY TNHH SEBANG BATTERY VINA</t>
  </si>
  <si>
    <t>Lô B2, KCN Dệt May Nhơn Trạch</t>
  </si>
  <si>
    <t xml:space="preserve">3603664260                    </t>
  </si>
  <si>
    <t>CÔNG TY TNHH SẢN XUẤT THƯƠNG MẠI DỊCH VỤ LONG THÀNH - THÀNH LONG</t>
  </si>
  <si>
    <t>Tổ 1, Ấp 2</t>
  </si>
  <si>
    <t xml:space="preserve">3603667293                    </t>
  </si>
  <si>
    <t>CÔNG TY TNHH E-WAY VIỆT NAM</t>
  </si>
  <si>
    <t>Lô M, Khu Công Nghiệp Lộc An - Bình Sơn</t>
  </si>
  <si>
    <t>3603669854</t>
  </si>
  <si>
    <t>CÔNG TY TNHH XUẤT NHẬP KHẨU THƯƠNG MẠI DỊCH VỤ DA HENG</t>
  </si>
  <si>
    <t>Tổ 61, Ấp 5</t>
  </si>
  <si>
    <t xml:space="preserve">3603672568                    </t>
  </si>
  <si>
    <t>CÔNG TY TNHH KỸ THUẬT BAO BÌ MYS (ĐỒNG NAI)</t>
  </si>
  <si>
    <t>KCN Nhơn Trạch III - Giai đoạn 2</t>
  </si>
  <si>
    <t xml:space="preserve">3603679468                    </t>
  </si>
  <si>
    <t>CÔNG TY TNHH SHAN HONG VIỆT NAM</t>
  </si>
  <si>
    <t>Số 11B, đường số 3, KCN Nhơn Trạch II- Nhơn Phú</t>
  </si>
  <si>
    <t xml:space="preserve">3603681682                    </t>
  </si>
  <si>
    <t>CÔNG TY TNHH GIAO THÔNG VẬN TẢI TUẤN LONG</t>
  </si>
  <si>
    <t>Khu 2, Ấp 7</t>
  </si>
  <si>
    <t xml:space="preserve">3603683337                    </t>
  </si>
  <si>
    <t>CÔNG TY TNHH INNOVATIVE LIGHTING</t>
  </si>
  <si>
    <t>Lô 206, đường D2, Khu công nghiệp Dệt may Nhơn Trạch</t>
  </si>
  <si>
    <t xml:space="preserve">3603629241                    </t>
  </si>
  <si>
    <t>CÔNG TY TNHH VINTECH SEAL</t>
  </si>
  <si>
    <t>Đường D2, KCN Dệt May Nhơn Trạch</t>
  </si>
  <si>
    <t>3603643133</t>
  </si>
  <si>
    <t>CÔNG TY TNHH XÂY DỰNG NHÀ Ở PHẠM GIA</t>
  </si>
  <si>
    <t>Số 70/5, Ấp Phước Hòa</t>
  </si>
  <si>
    <t xml:space="preserve">3603686923                    </t>
  </si>
  <si>
    <t>CÔNG TY TNHH THỨC ĂN THỦY SẢN GROWMAX</t>
  </si>
  <si>
    <t>Lô F, KCN Lộc An  - Bình Sơn</t>
  </si>
  <si>
    <t xml:space="preserve">3603687243                    </t>
  </si>
  <si>
    <t>CÔNG TY TNHH MANUFACTURING WEIDA ( VIỆT NAM )</t>
  </si>
  <si>
    <t>Lô F, đường số 6, KCN An Phước</t>
  </si>
  <si>
    <t xml:space="preserve">3603695879                    </t>
  </si>
  <si>
    <t>CÔNG TY TNHH PATH MASTERY</t>
  </si>
  <si>
    <t>Khu công nghiệp Nhơn Trạch 6</t>
  </si>
  <si>
    <t xml:space="preserve">3603698421                    </t>
  </si>
  <si>
    <t>CÔNG TY TNHH SẢN XUẤT THƯƠNG MẠI CƠ KHÍ HẠO PHÁT</t>
  </si>
  <si>
    <t>Tổ 1, ấp Xóm Gốc</t>
  </si>
  <si>
    <t xml:space="preserve">3603707570                    </t>
  </si>
  <si>
    <t>CÔNG TY TNHH TOA DENSHI VIỆT NAM</t>
  </si>
  <si>
    <t>trong kv CT TNHH PTBĐS Daiwa House, 7-1 đường N3-2 KCN L.Đức</t>
  </si>
  <si>
    <t>3603687691</t>
  </si>
  <si>
    <t>CÔNG TY TNHH TỔNG HỢP HANMI</t>
  </si>
  <si>
    <t>Số 06/14, ấp 2</t>
  </si>
  <si>
    <t xml:space="preserve">3603695597                    </t>
  </si>
  <si>
    <t>CÔNG TY TNHH HUATEX VIỆT NAM</t>
  </si>
  <si>
    <t>Đường số 06, Khu Công nghiệp Nhơn Trạch 6</t>
  </si>
  <si>
    <t xml:space="preserve">3603698887                    </t>
  </si>
  <si>
    <t>CÔNG TY TNHH CƠ KHÍ HẢI THAO VIỆT NAM</t>
  </si>
  <si>
    <t>Đường Nguyễn Ái Quốc, KCN Nhơn Trạch 3- giai đoạn 2</t>
  </si>
  <si>
    <t xml:space="preserve">3603701191                    </t>
  </si>
  <si>
    <t>CÔNG TY TNHH KỸ THUẬT SUNTONE</t>
  </si>
  <si>
    <t>Đường số 3, KCN Nhơn Trạch II-Nhơn Phú</t>
  </si>
  <si>
    <t xml:space="preserve">3603702734                    </t>
  </si>
  <si>
    <t>CÔNG TY TNHH CA SYSTEM DONGNAI VINA</t>
  </si>
  <si>
    <t>đường số 6, Khu công nghiệp An Phước</t>
  </si>
  <si>
    <t xml:space="preserve">3603702759                    </t>
  </si>
  <si>
    <t>CÔNG TY TNHH AO ZHI POLYMERS VIỆT NAM</t>
  </si>
  <si>
    <t>Đường số 10, Khu công nghiệp Nhơn Trạch 1</t>
  </si>
  <si>
    <t xml:space="preserve">3603711640                    </t>
  </si>
  <si>
    <t>CÔNG TY TNHH KHUÔN MẪU ĐỨC LONG</t>
  </si>
  <si>
    <t>Số 1323/53, tổ 19, ấp Đất Mới</t>
  </si>
  <si>
    <t>3603721631</t>
  </si>
  <si>
    <t>HỢP TÁC XÃ THƯƠNG MẠI DỊCH VỤ NÔNG NGHIỆP PHƯỚC AN</t>
  </si>
  <si>
    <t>Tổ 04, ấp Quới Thạnh</t>
  </si>
  <si>
    <t>3603723075</t>
  </si>
  <si>
    <t>CÔNG TY TNHH ĐIỆN FANS-TECH (VIỆT NAM)</t>
  </si>
  <si>
    <t>C5, C6, C7, nhà xưởng D, khu nhà xưởng cho thuê GT - Industr</t>
  </si>
  <si>
    <t xml:space="preserve">3603728299                    </t>
  </si>
  <si>
    <t>CÔNG TY TRÁCH NHIỆM HỮU HẠN THƯƠNG MẠI DỊCH VỤ TIN HỌC THIÊN NGỌC</t>
  </si>
  <si>
    <t>Số 4, Khu 13</t>
  </si>
  <si>
    <t>3602308252</t>
  </si>
  <si>
    <t>Trung Tâm Chính Trị Huyện Long Thành</t>
  </si>
  <si>
    <t>3602311287</t>
  </si>
  <si>
    <t>Phòng Kinh Tế Long Thành</t>
  </si>
  <si>
    <t>3602315355</t>
  </si>
  <si>
    <t>Văn Phòng HDND-UBND Huyện Long Thành</t>
  </si>
  <si>
    <t>3602363239</t>
  </si>
  <si>
    <t>CÔNG TY TNHH MỘT THÀNH VIÊN PHÒNG KHÁM ĐA KHOA XUÂN TRIỆU</t>
  </si>
  <si>
    <t>A15, Lý Thái Tổ, khu Phước Hải</t>
  </si>
  <si>
    <t>3603730227</t>
  </si>
  <si>
    <t>CÔNG TY TNHH MTV GREEN LONG PHÁT</t>
  </si>
  <si>
    <t>295 tổ 7, ấp Vĩnh Cửu</t>
  </si>
  <si>
    <t xml:space="preserve">3603740666                    </t>
  </si>
  <si>
    <t>CÔNG TY TNHH THƯƠNG MẠI DỊCH VỤ XÂY DỰNG TÂM TIẾN PHÁT</t>
  </si>
  <si>
    <t>Số 42, tổ 16, ấp Trầu</t>
  </si>
  <si>
    <t>3603644828</t>
  </si>
  <si>
    <t>CÔNG TY TNHH WONJINKOLON GLOTECH</t>
  </si>
  <si>
    <t>Nhà Xưởng Số 52 và số 53, Đường 1-7, KCN Long Thành</t>
  </si>
  <si>
    <t xml:space="preserve">3603655026                    </t>
  </si>
  <si>
    <t>CÔNG TY TNHH JNJ VINA</t>
  </si>
  <si>
    <t>Xưởng số 01, Trung tâm công nghiệp KTG, đường số 6, Khu công</t>
  </si>
  <si>
    <t>3603752012</t>
  </si>
  <si>
    <t>CÔNG TY TNHH SẢN XUẤT THƯƠNG MẠI HẠT NHỰA XUÂN THU LONG THÀNH</t>
  </si>
  <si>
    <t>Số 277, tổ 6, ấp Hiền Đức</t>
  </si>
  <si>
    <t xml:space="preserve">3603762194                    </t>
  </si>
  <si>
    <t>CÔNG TY TNHH TƯ VẤN THIẾT KẾ THIÊN BÌNH</t>
  </si>
  <si>
    <t>Tổ 8, Ấp Bến Đình</t>
  </si>
  <si>
    <t xml:space="preserve">3603789904                    </t>
  </si>
  <si>
    <t>CÔNG TY TNHH  VLXD AN THIÊN PHÚ</t>
  </si>
  <si>
    <t>Đường D6, Khu TĐC Long An, ấp 2</t>
  </si>
  <si>
    <t>3603660019</t>
  </si>
  <si>
    <t>CÔNG TY TNHH HOA TRAI</t>
  </si>
  <si>
    <t>Đường D16, Khu tái định cư Thái Lạc, Ấp 2</t>
  </si>
  <si>
    <t xml:space="preserve">3603661005                    </t>
  </si>
  <si>
    <t>CÔNG TY TNHH LƯỢC DỆT VIỆT HÀN</t>
  </si>
  <si>
    <t>Số 517/17, tổ 9, ấp 1</t>
  </si>
  <si>
    <t xml:space="preserve">Tuyeán Loteco 6                                   </t>
  </si>
  <si>
    <t>3603664711</t>
  </si>
  <si>
    <t>CÔNG TY TNHH ĐÔ THỊ DỊCH VỤ AMATA LONG THÀNH 1</t>
  </si>
  <si>
    <t>Khu đô thị dịch vụ Amata Long Thành 1, Hương Lộ 2</t>
  </si>
  <si>
    <t>3603664870</t>
  </si>
  <si>
    <t>CÔNG TY TNHH ĐÔ THỊ DỊCH VỤ AMATA LONG THÀNH 2</t>
  </si>
  <si>
    <t>Khu đô thị dịch vụ Amata Long Thành 2, Hương lộ 2</t>
  </si>
  <si>
    <t>3603665313</t>
  </si>
  <si>
    <t>Văn Phòng Công Chứng Lê Hoài Thanh</t>
  </si>
  <si>
    <t>Đường Trần Phú, Ấp Bến Cam</t>
  </si>
  <si>
    <t xml:space="preserve">3603667310                    </t>
  </si>
  <si>
    <t>CÔNG TY TNHH STANBEE ASIA VINA</t>
  </si>
  <si>
    <t>Nhà xưởng E4-E5, Đường số 3, KCN Nhơn Trạch II- Nhơn Phú</t>
  </si>
  <si>
    <t>3603667582</t>
  </si>
  <si>
    <t>CÔNG TY TNHH NĂNG LƯỢNG LAMA IDICO</t>
  </si>
  <si>
    <t>3603667825</t>
  </si>
  <si>
    <t>Công Ty TNHH Nox Asean</t>
  </si>
  <si>
    <t>3603669893</t>
  </si>
  <si>
    <t>CÔNG TY TNHH PHẾ LIỆU HỢP KIM</t>
  </si>
  <si>
    <t>Số 37/20, đường Trần Văn Ơn, khu 12</t>
  </si>
  <si>
    <t xml:space="preserve">3603670747                    </t>
  </si>
  <si>
    <t>Văn Phòng Công Chứng Đỗ Đình Hiến</t>
  </si>
  <si>
    <t>SỐ 114, ĐƯỜNG LÊ DUẨN, KHU BÀU CÁ</t>
  </si>
  <si>
    <t xml:space="preserve">3603674702                    </t>
  </si>
  <si>
    <t>CÔNG TY TNHH SẢN XUẤT VÀ THƯƠNG MẠI DIỆP NAM PHƯƠNG</t>
  </si>
  <si>
    <t>Lô A, Khu công nghiệp Lộc An- Bình Sơn</t>
  </si>
  <si>
    <t xml:space="preserve">3603677037                    </t>
  </si>
  <si>
    <t>CÔNG TY TNHH WJM FURNITURE</t>
  </si>
  <si>
    <t>3603677301</t>
  </si>
  <si>
    <t>CÔNG TY CỔ PHẦN ĐẦU TƯ DOANH NHÂN TRẺ LONG THÀNH</t>
  </si>
  <si>
    <t>Số 133A, Đường Trần Văn Ơn</t>
  </si>
  <si>
    <t>3603680103</t>
  </si>
  <si>
    <t>CÔNG TY TNHH BAO BÌ XIANGQUAN (VIỆT NAM)</t>
  </si>
  <si>
    <t>Đường C2, KCN Dệt May Nhơn Trạch</t>
  </si>
  <si>
    <t xml:space="preserve">3603682453                    </t>
  </si>
  <si>
    <t>CÔNG TY TNHH CÔNG NGHỆ ĐIỆN TỬ - NGHE NHÌN BOE (VIỆT NAM)</t>
  </si>
  <si>
    <t>Đường số 3, KCN Nhơn Trạch II - Nhơn Phú</t>
  </si>
  <si>
    <t xml:space="preserve">3603687772                    </t>
  </si>
  <si>
    <t>CÔNG TY TNHH NADFINLO VIỆT NAM</t>
  </si>
  <si>
    <t xml:space="preserve">3603695614                    </t>
  </si>
  <si>
    <t>CÔNG TY TNHH TIANHAI (VIỆT NAM)</t>
  </si>
  <si>
    <t>Đường số 5, KCN Nhơn Trạch 6</t>
  </si>
  <si>
    <t>3603701508</t>
  </si>
  <si>
    <t>CÔNG TY TNHH KỸ THUẬT PACIFIC VIEW</t>
  </si>
  <si>
    <t>Đường số 3, KCN Nhơn Trạch 2 - Nhơn Phú</t>
  </si>
  <si>
    <t xml:space="preserve">3603701642                    </t>
  </si>
  <si>
    <t>CÔNG TY TNHH KHUÔN MẪU DND VIỆT NAM</t>
  </si>
  <si>
    <t>Đường Nguyễn Ái Quốc, Khu công nghiệp Nhơn Trạch III - Giai</t>
  </si>
  <si>
    <t xml:space="preserve">3603708623                    </t>
  </si>
  <si>
    <t>CÔNG TY TNHH XUẤT NHẬP KHẨU TRÍ HOÀNH</t>
  </si>
  <si>
    <t>B1-12, Ấp 1, Xã Long Thọ, Huyện Nhơn Trạch, Đồng Nai</t>
  </si>
  <si>
    <t xml:space="preserve">3603708849                    </t>
  </si>
  <si>
    <t>CÔNG TY TNHH CÔNG NGHIỆP AEREM</t>
  </si>
  <si>
    <t>Nhà xưởng số 54, đường 1-7 (cụm xưởng cho thuê giai đoạn 4),</t>
  </si>
  <si>
    <t>3603709401</t>
  </si>
  <si>
    <t>CÔNG TY TNHH CÔNG NGHỆ RI JIE VIỆT NAM</t>
  </si>
  <si>
    <t>Lô H7, H9, đường số 4, KCN An Phước</t>
  </si>
  <si>
    <t>3603709899</t>
  </si>
  <si>
    <t>CÔNG TY TNHH CÔNG NGHIỆP TONG HONG VIỆT NAM</t>
  </si>
  <si>
    <t>Đường Nguyễn Ái Quốc, Khu công nghiệp Nhơn Trạch 3 - giai đo</t>
  </si>
  <si>
    <t>3603720116</t>
  </si>
  <si>
    <t xml:space="preserve">Công Ty TNHH Kinh Doanh Phú An Phát                                                              </t>
  </si>
  <si>
    <t xml:space="preserve">Số 44, Tổ 15, ấp Trầu, Xã Phước Thiền, Huyện Nhơn Trạch, Tỉnh Đồng Nai, Việt Nam         </t>
  </si>
  <si>
    <t>3603722025</t>
  </si>
  <si>
    <t>CÔNG TY TNHH SẮT THÉP THỌ PHÁT</t>
  </si>
  <si>
    <t>Tổ 4, ấp 5</t>
  </si>
  <si>
    <t>3603817118</t>
  </si>
  <si>
    <t>CÔNG TY CỔ PHẦN THIÊN TÂN PAPER</t>
  </si>
  <si>
    <t>Tổ 7, Ấp 3, Xã Long An, Huyện Long Thành, Đồng Nai</t>
  </si>
  <si>
    <t>3603817968</t>
  </si>
  <si>
    <t>CÔNG TY CỔ PHẦN ĐẦU TƯ PHÁT TRIỂN HỒNG HÀ ĐỒNG NAI</t>
  </si>
  <si>
    <t>Tổ 4, Ấp Bưng Cơ, Xã Lộc An, Huyện Long Thành, Đồng Nai</t>
  </si>
  <si>
    <t xml:space="preserve">3603821925                    </t>
  </si>
  <si>
    <t>CÔNG TY TNHH KỸ THUẬT MAXRON ( VIỆT NAM)</t>
  </si>
  <si>
    <t>KCN Dệt may Nhơn Trạch, Thị trấn Hiệp Phước, Huyện Nhơn Trạch, Đồng Nai</t>
  </si>
  <si>
    <t xml:space="preserve">3603822774                    </t>
  </si>
  <si>
    <t>CÔNG TY TNHH PHỤ GIA VIỆT NAM</t>
  </si>
  <si>
    <t>Đường 25B, tổ 14, Ấp Xóm Gốc, Xã Long An, Huyện Long Thành, Đồng Nai</t>
  </si>
  <si>
    <t>3603823129</t>
  </si>
  <si>
    <t>Công Ty TNHH Sản Xuất Thương Mại Dịch Vụ Hoàng Phước Long</t>
  </si>
  <si>
    <t>Số 685, Đường Hùng Vương, Khu phố Phước Hiệp, Thị trấn Hiệp Phước, Huyện Nhơn Trạch, Đồng Nai</t>
  </si>
  <si>
    <t xml:space="preserve">3603826955                    </t>
  </si>
  <si>
    <t>CÔNG TY TNHH PDMM VIỆT NAM</t>
  </si>
  <si>
    <t>Nhà Xưởng Số 70 &amp; 71, Đường Số 11, Khu Công Nghiệp Long Thành, Xã Tam An, Huyện Long Thành, Tỉnh Đồng Nai, Việt Nam</t>
  </si>
  <si>
    <t>3603837386</t>
  </si>
  <si>
    <t>CÔNG TY TNHH HOÀNG GIA LỘC AN</t>
  </si>
  <si>
    <t>Lô II-NV -13-20, Khu dân cư và tái định cư Lộc An - Bình Sơn, Ấp Thanh Bình, Xã Lộc An, Huyện Long Thành, Đồng Nai</t>
  </si>
  <si>
    <t xml:space="preserve">3603715821                    </t>
  </si>
  <si>
    <t>CÔNG TY TNHH KỸ THUẬT KAMINT VIỆT NAM</t>
  </si>
  <si>
    <t>Đường số N4, KCN Dệt May Nhơn Trạch</t>
  </si>
  <si>
    <t xml:space="preserve">3603715885                    </t>
  </si>
  <si>
    <t>CÔNG TY TNHH TOYOTA LONG THÀNH</t>
  </si>
  <si>
    <t>Số 1797, Đường Quốc lộ 51, Ấp Xóm Gốc</t>
  </si>
  <si>
    <t xml:space="preserve">3603716455                    </t>
  </si>
  <si>
    <t>CÔNG TY TNHH ARTISAN PLANET INTERNATIONAL</t>
  </si>
  <si>
    <t>Lô J11-13, đường số 2, Khu công nghiệp An Phước</t>
  </si>
  <si>
    <t xml:space="preserve">3603717057                    </t>
  </si>
  <si>
    <t>CÔNG TY TNHH THƯƠNG MẠI HAPPY HOUSE NHƠN TRẠCH</t>
  </si>
  <si>
    <t>Tổ 25, Ấp Bến Sắn</t>
  </si>
  <si>
    <t xml:space="preserve">3603717988                    </t>
  </si>
  <si>
    <t>Trường Tiểu Học, Trung Học Cơ Sở Và Trung Học Phổ Thông Đinh Tiên Hoàng 2</t>
  </si>
  <si>
    <t>Long An</t>
  </si>
  <si>
    <t xml:space="preserve">3603722459                    </t>
  </si>
  <si>
    <t>CÔNG TY TNHH HUỲNH GIA CÁT</t>
  </si>
  <si>
    <t>Tổ 2, ấp 4</t>
  </si>
  <si>
    <t>3603723357</t>
  </si>
  <si>
    <t>CÔNG TY TNHH MULTI TECH PRECISION</t>
  </si>
  <si>
    <t>Tổ 19, Khu Phước Hải</t>
  </si>
  <si>
    <t>3603726051</t>
  </si>
  <si>
    <t>CÔNG TY CỔ PHẦN DỊCH VỤ VẬN TẢI VIỆT EXPRESS</t>
  </si>
  <si>
    <t>119 Đường Đinh Bộ Lĩnh, Ấp Hàng Gòn</t>
  </si>
  <si>
    <t>3603728355</t>
  </si>
  <si>
    <t>CÔNG TY TNHH KUKEN INDUSTRIES VIETNAM</t>
  </si>
  <si>
    <t>Lô C2, C3, C4 Khu D, Khu nhà xưởng cho thuê GT- Industrial,</t>
  </si>
  <si>
    <t xml:space="preserve">3603728563                    </t>
  </si>
  <si>
    <t>CÔNG TY CỔ PHẦN CƠ KHÍ &amp; THIẾT BỊ XÂY DỰNG LONG THÀNH</t>
  </si>
  <si>
    <t>Đường 68, Tổ 5, Ấp 5</t>
  </si>
  <si>
    <t xml:space="preserve">3603732337                    </t>
  </si>
  <si>
    <t>CÔNG TY CỔ PHẦN VẬN TẢI SẢN XUẤT TIẾN PHÁT</t>
  </si>
  <si>
    <t>42 Đường Vũ Hồng Phô, Khu 12</t>
  </si>
  <si>
    <t xml:space="preserve">3603738667                    </t>
  </si>
  <si>
    <t>CÔNG TY TNHH TM DV SỬA CHỮA Ô TÔ LÊ CƯỜNG</t>
  </si>
  <si>
    <t>Số 511, Tổ 3, Khu 12</t>
  </si>
  <si>
    <t>3603739685</t>
  </si>
  <si>
    <t>CÔNG TY TNHH CÔNG NGHỆ QUANG ĐIỆN TỬ MITENG (VIỆT NAM)</t>
  </si>
  <si>
    <t>Đường Nguyễn Ái Quốc, KCN Nhơn Trạch 3 - giai đoạn 2</t>
  </si>
  <si>
    <t xml:space="preserve">3603745826                    </t>
  </si>
  <si>
    <t>CÔNG TY TNHH SUMMIT POLYMERS VIETNAM</t>
  </si>
  <si>
    <t>Nhà xưởng B, khu nhà xưởng cho thuê GT-Industrial, đường số</t>
  </si>
  <si>
    <t>3603747573</t>
  </si>
  <si>
    <t>CÔNG TY TNHH LAB ARCHITECTURE VIỆT NAM</t>
  </si>
  <si>
    <t>Khu 1, Tổ 4, Ấp 5</t>
  </si>
  <si>
    <t>3603762155</t>
  </si>
  <si>
    <t>CÔNG TY TNHH HOME APPLIANCE CMC (VIỆT NAM)</t>
  </si>
  <si>
    <t>đường Trần Phú, Khu công nghiệp Nhơn Trạch III – Giai đoạn 1</t>
  </si>
  <si>
    <t>3603771054</t>
  </si>
  <si>
    <t xml:space="preserve">CÔNG TY TNHH OM DIGITAL SOLUTIONS VIệT NAM                                                                                                                                                            </t>
  </si>
  <si>
    <t xml:space="preserve">Đường số 8, KCN Long Thành, Xã Tam An, Huyện Long Thành, Tỉnh Đồng Nai, Việt Nam.                                                                                                               </t>
  </si>
  <si>
    <t xml:space="preserve">3602379888                    </t>
  </si>
  <si>
    <t>CÔNG TY TNHH SOLTEC VIỆT NAM</t>
  </si>
  <si>
    <t>Đường số 2, Khu Công nghiệp Nhơn Trạch 3 - Giai đoạn 2</t>
  </si>
  <si>
    <t xml:space="preserve">3602380643                    </t>
  </si>
  <si>
    <t>Văn Phòng Công Chứng Khải Nguyên</t>
  </si>
  <si>
    <t>Tôn Đức Thắng, 25B, ấp Bình Phú</t>
  </si>
  <si>
    <t xml:space="preserve">3602384817                    </t>
  </si>
  <si>
    <t>CÔNG TY CỔ PHẦN ĐÓNG MỚI VÀ SỬA CHỮA TÀU DẦU KHÍ NHƠN TRẠCH</t>
  </si>
  <si>
    <t>Khu công nghiệp Ông Kèo, ấp 3</t>
  </si>
  <si>
    <t xml:space="preserve">3602391324                    </t>
  </si>
  <si>
    <t>Công Ty TNHH MTV Phan Thái Bình</t>
  </si>
  <si>
    <t>11 Tổ 1 Ấp 2, Xã Phước Bình, Huyện Long Thành</t>
  </si>
  <si>
    <t>3602391363</t>
  </si>
  <si>
    <t>Công Ty TNHH Một Thành Viên Đạt Quốc Quân</t>
  </si>
  <si>
    <t>Số 69, Tổ 3, khu A, Ấp 6</t>
  </si>
  <si>
    <t>3602396516</t>
  </si>
  <si>
    <t>CÔNG TY CỔ PHẦN QUỐC TẾ PANCERA</t>
  </si>
  <si>
    <t xml:space="preserve">3603785226                    </t>
  </si>
  <si>
    <t>CÔNG TY TNHH KINH DOANH KHÍ HÓA LỎNG MINH PHÁT</t>
  </si>
  <si>
    <t>353 ấp 5</t>
  </si>
  <si>
    <t xml:space="preserve">3603726647                    </t>
  </si>
  <si>
    <t>CÔNG TY TNHH MEISEI ENG VIỆT NAM</t>
  </si>
  <si>
    <t>Đường N1-2, nhà xưởng cho thuê B-4, KCN Long Đức</t>
  </si>
  <si>
    <t>3603731213</t>
  </si>
  <si>
    <t>CÔNG TY TNHH DAE YOUNG TEXTILE VIỆT NAM</t>
  </si>
  <si>
    <t xml:space="preserve">3603736500                    </t>
  </si>
  <si>
    <t>CÔNG TY TNHH MỘT THÀNH VIÊN NHÔM THÉP TIẾN HƯNG</t>
  </si>
  <si>
    <t>Tổ 1, ấp 6</t>
  </si>
  <si>
    <t xml:space="preserve">3603742092                    </t>
  </si>
  <si>
    <t>CÔNG TY TNHH WONIL STEEL VINA</t>
  </si>
  <si>
    <t>Đường số 3, Khu công nghiệp Long Thành,</t>
  </si>
  <si>
    <t xml:space="preserve">3603752012-001                </t>
  </si>
  <si>
    <t>Chi Nhánh Công Ty TNHH Sản Xuất Thương Mại Hạt Nhựa Xuân Thu Long Thành</t>
  </si>
  <si>
    <t>Tổ 1, Khu 1, Ấp 7, Xã An Phước, Huyện Long Thành, Đồng Nai</t>
  </si>
  <si>
    <t>3603752478</t>
  </si>
  <si>
    <t>CÔNG TY TNHH ĐIỆN TỬ STRONKIN VIỆT NAM</t>
  </si>
  <si>
    <t>Đường số 8, KCN Nhơn Trạch II-Nhơn Phú</t>
  </si>
  <si>
    <t xml:space="preserve">3603769104                    </t>
  </si>
  <si>
    <t>CÔNG TY TNHH NHÀ ĐẤT THƯƠNG TÍN</t>
  </si>
  <si>
    <t>Tỉnh lộ 769, Tổ 1, ấp Bình Lâm</t>
  </si>
  <si>
    <t>3603772604</t>
  </si>
  <si>
    <t xml:space="preserve">CÔNG TY TNHH NAM TOàN PHáT LAND                                                                                                                                                                      </t>
  </si>
  <si>
    <t xml:space="preserve">730/2, ấp 1 - Xã Long Thọ - Huyện Nhơn Trạch - Đồng Nai                                                                                                                                           </t>
  </si>
  <si>
    <t>3603789502</t>
  </si>
  <si>
    <t>CÔNG TY TNHH GỖ MINH ĐỨC PHÁT</t>
  </si>
  <si>
    <t>Số 118, khu 3, ấp 7</t>
  </si>
  <si>
    <t>3603790233</t>
  </si>
  <si>
    <t>CÔNG TY TNHH CK XD VẠN ĐÔ</t>
  </si>
  <si>
    <t>Tổ 9, ấp Chợ</t>
  </si>
  <si>
    <t xml:space="preserve">3603792745                    </t>
  </si>
  <si>
    <t>CÔNG TY TNHH ĐINH THỦY PROSPER</t>
  </si>
  <si>
    <t>Số 9/11/52 đường Tôn Đức Thắng, Khu phố Phước Kiểng</t>
  </si>
  <si>
    <t xml:space="preserve">3603793812                    </t>
  </si>
  <si>
    <t>CÔNG TY TNHH NGỌC LONG HƯNG</t>
  </si>
  <si>
    <t>Số 130/29 Hà Huy Giáp, Khu Kim Sơn, Thị trấn Long Thành, Huyện Long Thành, Đồng Nai</t>
  </si>
  <si>
    <t>3603798627</t>
  </si>
  <si>
    <t>CÔNG TY TNHH KỸ THUẬT CÔNG NGHỆ CƠ ĐIỆN ZHONG DIAN VIỆT NAM</t>
  </si>
  <si>
    <t>Đường số 5, KCN Nhơn Trạch 3, Thị trấn Hiệp Phước, Huyện Nhơn Trạch, Đồng Nai</t>
  </si>
  <si>
    <t>3603805056</t>
  </si>
  <si>
    <t>CÔNG TY TRÁCH NHIỆM HỮU HẠN THƯƠNG MẠI DỊCH VỤ MLTC</t>
  </si>
  <si>
    <t>Tổ 4, Khu Phước Thuận, Thị trấn Long Thành, Huyện Long Thành, Đồng Nai</t>
  </si>
  <si>
    <t>3603808064</t>
  </si>
  <si>
    <t>KONOIKE CONSTRUCTION CO., LTD-THẦU CHÍNH DỰ ÁN NHÀ MÁY CÔNG TY TNHH OJITEX (VIỆT NAM) - CN LONG THÀNH</t>
  </si>
  <si>
    <t>Lô H, KCN Lộc An - Bình Sơn, Ấp 1, Xã Long An, Huyện Long Thành, Đồng Nai</t>
  </si>
  <si>
    <t xml:space="preserve">3603798786                    </t>
  </si>
  <si>
    <t>CÔNG TY TNHH KHO LẠNH AJ ĐỒNG NAI</t>
  </si>
  <si>
    <t>3603799405</t>
  </si>
  <si>
    <t>CÔNG TY TNHH BẠCH NHẠN VINA</t>
  </si>
  <si>
    <t>TỔ 14, Ấp 3, Xã Long Thọ, Huyện Nhơn Trạch, Đồng Nai</t>
  </si>
  <si>
    <t>3603807624</t>
  </si>
  <si>
    <t>CÔNG TY TNHH NHÀ NGHỈ Ý VY</t>
  </si>
  <si>
    <t>Số 21/398, Ấp 2, Xã Long Thọ, Huyện Nhơn Trạch, Đồng Nai</t>
  </si>
  <si>
    <t>3603815262</t>
  </si>
  <si>
    <t>Công Ty TNHH Sản Xuất Kinh Doanh Xuất Nhập Khẩu Huỳnh Lê</t>
  </si>
  <si>
    <t>3603817083</t>
  </si>
  <si>
    <t>CÔNG TY TNHH DỊCH VỤ PHƯƠNG THÚY PHÁT</t>
  </si>
  <si>
    <t>Tổ 14, đường Huỳnh Văn Nghệ, Khu Phố Mỹ Khoan, Thị trấn Hiệp Phước, Huyện Nhơn Trạch, Đồng Nai</t>
  </si>
  <si>
    <t xml:space="preserve">3603821971                    </t>
  </si>
  <si>
    <t>CÔNG TY TNHH CÔNG NGHỆ CHÍNH XÁC ĐÔNG HƯNG VIỆT NAM</t>
  </si>
  <si>
    <t>Đường N4, KCN Vinatex Tân Tạo, Thị trấn Hiệp Phước, Huyện Nhơn Trạch, Đồng Nai</t>
  </si>
  <si>
    <t>3603823457</t>
  </si>
  <si>
    <t>CÔNG TY TNHH DỊCH VỤ THƯƠNG MẠI YJ</t>
  </si>
  <si>
    <t>trong cty harang, đường D1, KCN Dệt may Nhơn Trạch, Thị trấn Hiệp Phước, Huyện Nhơn Trạch, Đồng Nai</t>
  </si>
  <si>
    <t>3603825736</t>
  </si>
  <si>
    <t>TRƯỜNG TIỂU HỌC PHƯỚC THIỀN 3</t>
  </si>
  <si>
    <t>Khu tái định cư Phước Thiền, Ấp Bến Cam, Xã Phước Thiền, Huyện Nhơn Trạch, Đồng Nai</t>
  </si>
  <si>
    <t xml:space="preserve">3602413289                    </t>
  </si>
  <si>
    <t>CÔNG TY TNHH UY VƯƠNG</t>
  </si>
  <si>
    <t>Đường số 4, Ấp Bàu Sen, Cụm Công nghiệp Phú Thạnh-Vĩnh Thanh</t>
  </si>
  <si>
    <t xml:space="preserve">3602434306                    </t>
  </si>
  <si>
    <t>CÔNG TY TNHH MỘT THÀNH VIÊN BÙI CÔNG PHƯƠNG</t>
  </si>
  <si>
    <t>Lô A - 301 và một phần Lô A-302 Khu Công Nghiệp Vinatex - Tâ</t>
  </si>
  <si>
    <t>3602434320</t>
  </si>
  <si>
    <t>CÔNG TY TNHH MỘT THÀNH VIÊN KIM HIỀN VINH</t>
  </si>
  <si>
    <t>Số 260, thôn 4</t>
  </si>
  <si>
    <t xml:space="preserve">3603810426                    </t>
  </si>
  <si>
    <t>CÔNG TY TNHH MÁY VĂN PHÒNG NGUYỄN TRUNG</t>
  </si>
  <si>
    <t>2295 đường Trần Văn Trà, Ấp Thị Cầu, Xã Phú Đông, Huyện Nhơn Trạch, Đồng Nai</t>
  </si>
  <si>
    <t>3603815449</t>
  </si>
  <si>
    <t>CÔNG TY TNHH THƯƠNG MẠI THIẾT BỊ GIA ĐÌNH VIỆT</t>
  </si>
  <si>
    <t>51, tổ 26, Khu Cầu Xéo, Thị trấn Long Thành, Huyện Long Thành, Đồng Nai</t>
  </si>
  <si>
    <t>3603821629</t>
  </si>
  <si>
    <t xml:space="preserve">Công Ty TNHH Vận Chuyển Tam Sơn                                                                                                                                                                      </t>
  </si>
  <si>
    <t xml:space="preserve">8/16 - Đường 769, Tổ 1 - ấp Bình Lâm - Xã Lộc An - Huyện Long Thành - Tỉnh Đồng Nai - Việt                                                                                                    </t>
  </si>
  <si>
    <t>3603822005</t>
  </si>
  <si>
    <t>CÔNG TY TNHH MTV DỊCH VỤ TƯ VẤN T. V</t>
  </si>
  <si>
    <t>A-VI 16 Đường Số 15, KDC Richland, Khu phố Phước Lai, Thị trấn Hiệp Phước, Huyện Nhơn Trạch, Đồng Nai</t>
  </si>
  <si>
    <t>3603841939</t>
  </si>
  <si>
    <t>CÔNG TY TNHH BĐS NEW CITY LAND</t>
  </si>
  <si>
    <t>Phạm Thái Bường, tổ 40, Ấp 2, Xã Phước Khánh, Huyện Nhơn Trạch, Đồng Nai</t>
  </si>
  <si>
    <t>3603848980</t>
  </si>
  <si>
    <t>TRUNG TÂM BẢO ĐẢM KỶ THUẬT</t>
  </si>
  <si>
    <t>3603850387</t>
  </si>
  <si>
    <t>CÔNG TY TNHH THƯƠNG MẠI DỊCH VỤ VẬN TẢI THẮNG ĐẠI PHÁT</t>
  </si>
  <si>
    <t>Tổ 12, Ấp 2, Xã Bàu Cạn, Huyện Long Thành, Đồng Nai</t>
  </si>
  <si>
    <t>3603857343</t>
  </si>
  <si>
    <t>DOANH NGHIỆP TƯ NHÂN VÀNG BẠC ĐÁ QUÝ PHƯỚC THÁI DIỄM</t>
  </si>
  <si>
    <t>Số Nhà 2327/8, Ấp 02, Xã Phước Bình, Huyện Long Thành, Đồng Nai</t>
  </si>
  <si>
    <t>3603880448</t>
  </si>
  <si>
    <t>CÔNG TY TNHH TOP WAY</t>
  </si>
  <si>
    <t>D16, Tổ 28, Ấp 2, Xã Long An, Huyện Long Thành, Đồng Nai</t>
  </si>
  <si>
    <t>3603884604</t>
  </si>
  <si>
    <t>CÔNG TY TNHH NGỌC LAN HOUSE</t>
  </si>
  <si>
    <t>2369, Ấp 02, Xã Phước Bình, Huyện Long Thành, Đồng Nai</t>
  </si>
  <si>
    <t>3603885830</t>
  </si>
  <si>
    <t>CÔNG TY TNHH MTV THƯƠNG MẠI DỊCH VỤ XUKA NHƠN TRẠCH</t>
  </si>
  <si>
    <t>Tổ 21, Ấp Bến Cam, Xã Phước Thiền, Huyện Nhơn Trạch, Đồng Nai</t>
  </si>
  <si>
    <t>3603892235</t>
  </si>
  <si>
    <t>CÔNG TY TNHH ĐẦU TƯ XÂY DỰNG KIM ĐỨC PHÁT</t>
  </si>
  <si>
    <t>Đường số 1, KCN Nhơn Trạch 1, Xã Phước Thiền, Huyện Nhơn Trạch, Đồng Nai</t>
  </si>
  <si>
    <t>3603894560</t>
  </si>
  <si>
    <t>CÔNG TY TNHH IKI HOSPITALITY</t>
  </si>
  <si>
    <t>Tổ 6, Ấp 3, Xã Phước Khánh, Huyện Nhơn Trạch, Đồng Nai</t>
  </si>
  <si>
    <t>3603896864</t>
  </si>
  <si>
    <t>CÔNG TY TNHH VẬT LIỆU XÂY DỰNG HOME TILES</t>
  </si>
  <si>
    <t>Tổ 6, Ấp Sơn Hà, Xã Vĩnh Thanh, Huyện Nhơn Trạch, Đồng Nai</t>
  </si>
  <si>
    <t>3603904610</t>
  </si>
  <si>
    <t>Công Ty TNHH INTER GLAZE</t>
  </si>
  <si>
    <t>Đường N1, KCN Nhơn Trạch 3, Thị trấn Hiệp Phước, Huyện Nhơn Trạch, Đồng Nai</t>
  </si>
  <si>
    <t>3603911181</t>
  </si>
  <si>
    <t>CÔNG TY TNHH MTV HL VISUAL VINA</t>
  </si>
  <si>
    <t>PWRJ+ FG7 Đường số 3, KCN Nhơn Trạch 1, Xã Phước Thiền, Huyện Nhơn Trạch, Đồng Nai</t>
  </si>
  <si>
    <t>3602451573</t>
  </si>
  <si>
    <t>CÔNG TY TNHH ĐÀO TẠO QUỐC TẾ ÂU CHÂU P.R.O</t>
  </si>
  <si>
    <t>Tổ 9, Khu Phước Hải</t>
  </si>
  <si>
    <t>3602477275</t>
  </si>
  <si>
    <t>CÔNG TY TNHH MỘT THÀNH VIÊN THANH THỜI PHÁT</t>
  </si>
  <si>
    <t>Số 05, tổ 07, ấp 4</t>
  </si>
  <si>
    <t xml:space="preserve">3602481754                    </t>
  </si>
  <si>
    <t>Công Ty TNHH Một Thành Viên N.P.P. Huy Hoàng</t>
  </si>
  <si>
    <t>Số 137/4, đường Dầu 3, ấp 3</t>
  </si>
  <si>
    <t xml:space="preserve">3602489143                    </t>
  </si>
  <si>
    <t>Công Ty TNHH Một Thành Viên Thương Mại Dịch Vụ Bảo Anh Phát</t>
  </si>
  <si>
    <t>ấp Bến Cộ</t>
  </si>
  <si>
    <t>3603923589</t>
  </si>
  <si>
    <t>CÔNG TY CỔ PHẦN ĐẦU TƯ VÀ THƯƠNG MẠI MNP GROUP</t>
  </si>
  <si>
    <t>Đường Phan Bội Châu, Tổ 2, Khu Cầu Xéo, Thị trấn Long Thành, Huyện Long Thành, Đồng Nai</t>
  </si>
  <si>
    <t xml:space="preserve">3603932417                    </t>
  </si>
  <si>
    <t>CÔNG TY TNHH TIETEX VIỆT NAM</t>
  </si>
  <si>
    <t>3602489947</t>
  </si>
  <si>
    <t>Công Ty TNHH Nguyễn Vũ Minh</t>
  </si>
  <si>
    <t>Đường D6, khu TĐC Long An</t>
  </si>
  <si>
    <t xml:space="preserve">3603870873                    </t>
  </si>
  <si>
    <t>Công Ty TNHH Trung Tâm Ngoại Ngữ BBURI</t>
  </si>
  <si>
    <t>330 Lê Duẩn, Khu Văn Hải, Thị trấn Long Thành, Huyện Long Thành, Đồng Nai</t>
  </si>
  <si>
    <t>3603873916</t>
  </si>
  <si>
    <t>Công Ty TNHH TM DV HIMART VIỆT NAM</t>
  </si>
  <si>
    <t>Tổ 15, Tôn Đức Thắng, Khu Phố Phước Kiểng, Thị Trấn Hiệp Phước, Huyện Nhơn Trạch, Đồng Nai</t>
  </si>
  <si>
    <t>3603877029</t>
  </si>
  <si>
    <t>CÔNG TY TNHH DỊCH VỤ THƯƠNG MẠI VĨNH PHÁT ĐẠT</t>
  </si>
  <si>
    <t>Tổ 4, Ấp 5, Xã An Phước, Huyện Long Thành, Đồng Nai</t>
  </si>
  <si>
    <t>3602526359</t>
  </si>
  <si>
    <t xml:space="preserve">Công Ty TNHH Thành Phố Mới                                                                                                                                                                          </t>
  </si>
  <si>
    <t xml:space="preserve">Nguyễn Thị Hồng Thắm( 1094796) Thanh Minh - Vĩnh Thanh - Nhơn Trạch - Đồng Nai                                                                                                                     </t>
  </si>
  <si>
    <t>3602559753</t>
  </si>
  <si>
    <t>Công Ty TNHH Công Nghệ Thái Trung</t>
  </si>
  <si>
    <t>Tổ 17, khu Phước Hải</t>
  </si>
  <si>
    <t>3602564859</t>
  </si>
  <si>
    <t>Công Ty TNHH Một Thành Viên Đoàn Thuận An</t>
  </si>
  <si>
    <t>32B/3, tổ 7, khu Phước Thuận</t>
  </si>
  <si>
    <t xml:space="preserve">3602572514                    </t>
  </si>
  <si>
    <t>CÔNG TY TNHH SPE VINA</t>
  </si>
  <si>
    <t>3602592359</t>
  </si>
  <si>
    <t>Công Ty TNHH Một Thành Viên Jhs Võ Nguyễn</t>
  </si>
  <si>
    <t>Quốc lộ 51, tổ 9, ấp 1</t>
  </si>
  <si>
    <t>3603896825</t>
  </si>
  <si>
    <t>CÔNG TY TNHH CHANGZHI PRECISION VIỆT NAM</t>
  </si>
  <si>
    <t>Đường số 10, KCN Nhơn Trạch 1, Xã Phước Thiền, Huyện Nhơn Trạch, Đồng Nai</t>
  </si>
  <si>
    <t xml:space="preserve">3603898043                    </t>
  </si>
  <si>
    <t>CÔNG TY TNHH TƯ VẤN THƯƠNG MẠI DỊCH VỤ HỮU TÍN</t>
  </si>
  <si>
    <t>Đường N4, Khu Tái Định Cư Đại Phước, Ấp Phước Lý, Xã Đại Phước, Huyện Nhơn Trạch, Đồng Nai</t>
  </si>
  <si>
    <t>3603900567</t>
  </si>
  <si>
    <t xml:space="preserve">CÔNG TY CỔ PHẦN GT-INDUSTRIAL II </t>
  </si>
  <si>
    <t>Đường số 2, KCN Nhơn Trạch 3 - giai đoạn 2, Xã Long Thọ, Huyện Nhơn Trạch, Đồng Nai</t>
  </si>
  <si>
    <t>3602622395</t>
  </si>
  <si>
    <t xml:space="preserve">Công Ty TNHH Đặng Đỗ                                                                             </t>
  </si>
  <si>
    <t xml:space="preserve">132/1 - ấp Gia Yên - Xã Gia Tân 3 - Huyện Thống Nhất - Tỉnh Đồng Nai - Việt Nam            </t>
  </si>
  <si>
    <t>Huyện Thống Nhất</t>
  </si>
  <si>
    <t>Xã Gia Tân 3</t>
  </si>
  <si>
    <t>3602624466</t>
  </si>
  <si>
    <t>Công Ty TNHH Tư Vấn Xây Dựng Acc Thành Nhơn</t>
  </si>
  <si>
    <t xml:space="preserve"> ấp 1</t>
  </si>
  <si>
    <t>3602653178</t>
  </si>
  <si>
    <t>Công Ty TNHH Thương Mại Dịch Vụ - Xuất Nhập Khẩu Đại Chánh</t>
  </si>
  <si>
    <t>Tổ 13, Ấp Bình Phú</t>
  </si>
  <si>
    <t>3602657101</t>
  </si>
  <si>
    <t xml:space="preserve">Cty TNHH MTV TM Kỹ Thuật Tuấn Nam                                                                </t>
  </si>
  <si>
    <t xml:space="preserve">ấp 3 - An Phước - Long Thành - Đồng Nai                                                         </t>
  </si>
  <si>
    <t>3602661683</t>
  </si>
  <si>
    <t>CÔNG TY TNHH GIA HOÀNG PHÚ</t>
  </si>
  <si>
    <t>Số 21, Đường 25B, Ấp Xóm Gốc</t>
  </si>
  <si>
    <t xml:space="preserve">3602703358                    </t>
  </si>
  <si>
    <t>CÔNG TY TRÁCH NHIỆM HỮU HẠN VINA TAK</t>
  </si>
  <si>
    <t>Đường 4B, KCN Nhơn Trạch 1</t>
  </si>
  <si>
    <t>3603908118</t>
  </si>
  <si>
    <t>CÔNG TY TNHH ĐIỆN TỬ VAST VIỆT NAM</t>
  </si>
  <si>
    <t>Xưởng A4-4.F1, Đường Số D3, KCN Nhơn Trạch 2 - Lộc Khang, Thị trấn Hiệp Phước, Huyện Nhơn Trạch, Đồng Nai</t>
  </si>
  <si>
    <t>3603909055</t>
  </si>
  <si>
    <t>CÔNG TY CỔ PHẦN TNG FRESH FOODS</t>
  </si>
  <si>
    <t>Số 68, hẻm 9, tổ 38, đường Trần Nhân Tông, Khu Cầu Xéo, Thị trấn Long Thành, Huyện Long Thành, Đồng Nai</t>
  </si>
  <si>
    <t>3603911569</t>
  </si>
  <si>
    <t>CÔNG TY TNHH YOGA MYSA</t>
  </si>
  <si>
    <t>Tổ 14, Ấp 01, Xã Tân Hiệp, Huyện Long Thành, Đồng Nai</t>
  </si>
  <si>
    <t>3603915690</t>
  </si>
  <si>
    <t>CÔNG TY TNHH EVERTIE LIGHTING VIỆT NAM</t>
  </si>
  <si>
    <t>Đường Đ1 Phân, KCN Nhơn Trạch 6, Xã Long Thọ, Huyện Nhơn Trạch, Đồng Nai</t>
  </si>
  <si>
    <t>3603917881</t>
  </si>
  <si>
    <t>CÔNG TY TNHH TEM NHÃN LIYA</t>
  </si>
  <si>
    <t>đường số 3, KCN Nhơn Trạch 2 - Nhơn Phú, Xã Phú Hội, Huyện Nhơn Trạch, Đồng Nai</t>
  </si>
  <si>
    <t>3603866362</t>
  </si>
  <si>
    <t>CÔNG TY TNHH NGỌC KIM HOÀNG</t>
  </si>
  <si>
    <t>235,đường số 04, tổ 05, Ấp 03, Xã Tân Hiệp, Huyện Long Thành, Đồng Nai</t>
  </si>
  <si>
    <t>3603869148</t>
  </si>
  <si>
    <t>CÔNG TY TNHH MTV KHẢI TÍN</t>
  </si>
  <si>
    <t>Số 1553/29, Tổ 12, Ấp Bình Phú, Xã Long Tân, Huyện Nhơn Trạch, Đồng Nai</t>
  </si>
  <si>
    <t>3603869324</t>
  </si>
  <si>
    <t>Công Ty TNHH Thương Mại Dịch Vụ Và Thiết Bị Công Nghiệp Pos</t>
  </si>
  <si>
    <t>133 Đường Trần Phú, Ấp Bến Cam, Xã Phước Thiền, Huyện Nhơn Trạch, Tỉnh Đồng Nai</t>
  </si>
  <si>
    <t>3603919568</t>
  </si>
  <si>
    <t>CÔNG TY TNHH CÔNG NGHỆ HKC (VIỆT NAM)</t>
  </si>
  <si>
    <t>Đường D3, KCN Nhơn Trạch II - Lộc Khang, KCN Nhơn Trạch 2, Xã Phú Hội, Huyện Nhơn Trạch, Đồng Nai</t>
  </si>
  <si>
    <t>3603925089</t>
  </si>
  <si>
    <t>CÔNG TY TNHH QUAFTY INC VIỆT NAM</t>
  </si>
  <si>
    <t>Xưởng 5A nhà xưởng Việt Tiến Đông Á, KCN Nhơn Trạch 5, Thị trấn Hiệp Phước, Huyện Nhơn Trạch, Đồng Nai</t>
  </si>
  <si>
    <t>3603875303</t>
  </si>
  <si>
    <t>Công ty TNHH Đầu Tư Kinh Doanh VLXD Phát Đạt</t>
  </si>
  <si>
    <t>Số 11, Tạ Uyên, tổ 14, Khu Phước Thuận, Thị trấn Long Thành, Huyện Long Thành, Đồng Nai</t>
  </si>
  <si>
    <t xml:space="preserve">3603875818                    </t>
  </si>
  <si>
    <t>CÔNG TY TNHH HYOSUNG VINA INDUSTRIAL MACHINERY</t>
  </si>
  <si>
    <t>Đường N3 - KCN Nhơn Trạch V- Thị trấn Hiệp Phước - Huyện Nhơn Trạch - Tỉnh Đồng Nai - Việt Nam</t>
  </si>
  <si>
    <t xml:space="preserve">3603879139                    </t>
  </si>
  <si>
    <t>CÔNG TY TNHH THUẬN LỢI ÔTÔ</t>
  </si>
  <si>
    <t>Số 168, đường Bưng Môn, tổ 10, Ấp 4, Xã Long An, Huyện Long Thành, Đồng Nai</t>
  </si>
  <si>
    <t>3603879202</t>
  </si>
  <si>
    <t>CÔNG TY TNHH MTV CPN NHƠN TRẠCH</t>
  </si>
  <si>
    <t>Số 2752 Quách Thị Trang, Ấp 3, Xã Phú Thạnh, Huyện Nhơn Trạch, Đồng Nai</t>
  </si>
  <si>
    <t>3603879315</t>
  </si>
  <si>
    <t>CÔNG TY TNHH MỘT THÀNH VIÊN BÌNH PHÚ HƯNG</t>
  </si>
  <si>
    <t>KM68, QL 51, Ấp Tập Phước, Xã Long Phước, Huyện Long Thành, Đồng Nai</t>
  </si>
  <si>
    <t xml:space="preserve">3603885301                    </t>
  </si>
  <si>
    <t>CÔNG TY TNHH SẢN PHẨM VÀ DỊCH VỤ Q VIỆT NAM</t>
  </si>
  <si>
    <t>Lô A, KCN Lộc An, Xã Bình Sơn, Huyện Long Thành, Đồng Nai</t>
  </si>
  <si>
    <t>3602760067</t>
  </si>
  <si>
    <t>Công Ty TNHH Một Thành Viên Thương Mại Dịch Vụ Vận Tải Phú Thành Phát</t>
  </si>
  <si>
    <t>Số 68, Hẻm 9, tổ 38, đường Trần Nhân Tông, Khu Cầu Xéo</t>
  </si>
  <si>
    <t xml:space="preserve">3603898678                    </t>
  </si>
  <si>
    <t>CÔNG TY TNHH CƠ KHÍ XÂY DỰNG NAM PHÁT TÀI</t>
  </si>
  <si>
    <t>tổ 57, Ấp 5, Xã Tam An, Huyện Long Thành, Đồng Nai</t>
  </si>
  <si>
    <t>3603900359</t>
  </si>
  <si>
    <t>CÔNG TY TNHH K&amp;k CLOTHING ACCESSORIES VIỆT NAM</t>
  </si>
  <si>
    <t>3603902571</t>
  </si>
  <si>
    <t>CÔNG TY TNHH THƯƠNG MẠI - XUẤT NHẬP KHẨU VŨ HOÀNG KIM</t>
  </si>
  <si>
    <t>1033 Tổ 3, Ấp Suối Quýt, Xã Cẩm Đường, Huyện Long Thành, Đồng Nai</t>
  </si>
  <si>
    <t xml:space="preserve">3603907731                    </t>
  </si>
  <si>
    <t>CÔNG TY TNHH IN ẤN BAO BÌ BẢO ÂN</t>
  </si>
  <si>
    <t>95/15, Tổ 12, Ấp Bến Sắn, Xã Phước Thiền, Huyện Nhơn Trạch, Đồng Nai</t>
  </si>
  <si>
    <t xml:space="preserve">3603915838                    </t>
  </si>
  <si>
    <t>CÔNG TY TNHH LAM AN PTSC</t>
  </si>
  <si>
    <t>Tổ 9, Ấp 2, Xã An Phước, Huyện Long Thành, Đồng Nai</t>
  </si>
  <si>
    <t>3603924173</t>
  </si>
  <si>
    <t>CÔNG TY TNHH MTV TRANG HÙNG PHÁT</t>
  </si>
  <si>
    <t>Hẻm 130, Khu Kim Sơn, Đường Hà Huy Giáp, Thị trấn Long Thành, Huyện Long Thành, Đồng Nai</t>
  </si>
  <si>
    <t xml:space="preserve">3603928675                    </t>
  </si>
  <si>
    <t>CÔNG TY TNHH AD POWER TECHNOLOGY VIỆT NAM</t>
  </si>
  <si>
    <t>C7-29 khu đệ tam, Ấp Vũng Gấm, Xã Phước An, Huyện Nhơn Trạch, Đồng Nai</t>
  </si>
  <si>
    <t xml:space="preserve">3603934622                    </t>
  </si>
  <si>
    <t>CÔNG TY TNHH GIẢI PHÁP THÉP TOÀN CẦU</t>
  </si>
  <si>
    <t>Tổ 1, Khu 13, Xã Long Đức, Huyện Long Thành, Đồng Nai</t>
  </si>
  <si>
    <t xml:space="preserve">3602800369                    </t>
  </si>
  <si>
    <t>CÔNG TY TNHH MỘT THÀNH VIÊN TRẦN AN PHÁT</t>
  </si>
  <si>
    <t>Số 05/QL51, tổ 14, ấp Xóm Gốc</t>
  </si>
  <si>
    <t>3602808456</t>
  </si>
  <si>
    <t xml:space="preserve">TRÖÔØNG TRUNG HOÏC CÔ SÔÛ PHÖÔÙC THIEÀN                                                             </t>
  </si>
  <si>
    <t xml:space="preserve">AÁp Beán Saén, Xaõ Phöôùc Thieàn, Huyeän Nhôn Traïch, Tænh Ñoàng Nai                                                    </t>
  </si>
  <si>
    <t>3602816672</t>
  </si>
  <si>
    <t>QUẦY THUỐC SỐ 1081</t>
  </si>
  <si>
    <t>Đường Cổng Văn hóa ấp 4, Thị trấn Hiệp Phước, Huyện Nhơn Trạch, Đồng Nai</t>
  </si>
  <si>
    <t>3602817919</t>
  </si>
  <si>
    <t>CÔNG TY TNHH NGUYỄN TIẾN KHOA</t>
  </si>
  <si>
    <t>Số 20, tổ 10, ấp Xóm Gốc</t>
  </si>
  <si>
    <t>3602817933</t>
  </si>
  <si>
    <t xml:space="preserve">TNHH MTV Vận Tải Lê Tuấn                                                                        </t>
  </si>
  <si>
    <t xml:space="preserve">261,Khu 12 - Long Đức - Long Thành - Đồng Nai                                                    </t>
  </si>
  <si>
    <t>3602825388</t>
  </si>
  <si>
    <t>CÔNG TY CỔ PHẦN HÓA SINH VÀM CỎ ĐỒNG NAI</t>
  </si>
  <si>
    <t>Tổ 32, Ấp 1</t>
  </si>
  <si>
    <t xml:space="preserve">3602832346                    </t>
  </si>
  <si>
    <t>Công Ty TNHH Sản Xuất Thương Mại Dịch Vụ Quốc Hưng Vi Na</t>
  </si>
  <si>
    <t>018, Tổ 1, ấp Long Phú</t>
  </si>
  <si>
    <t xml:space="preserve">3602837577                    </t>
  </si>
  <si>
    <t>CÔNG TY TNHH JOOWON VINA</t>
  </si>
  <si>
    <t xml:space="preserve">3602863143                    </t>
  </si>
  <si>
    <t>Công Ty TNHH Một Thành Viên Vận Tải Hòa Hiền</t>
  </si>
  <si>
    <t xml:space="preserve">3602863619                    </t>
  </si>
  <si>
    <t>CÔNG TY TNHH MỘT THÀNH VIÊN DƯƠNG TÚ TUẤN</t>
  </si>
  <si>
    <t>21/2, tổ 3, Ấp 1</t>
  </si>
  <si>
    <t>3602874113</t>
  </si>
  <si>
    <t>Công ty TNHH W.K.K Đồng Nai</t>
  </si>
  <si>
    <t>3602890725</t>
  </si>
  <si>
    <t xml:space="preserve">Công Ty TNHH MTV Phú Đức Khang                                                                                                                                                                       </t>
  </si>
  <si>
    <t xml:space="preserve">45/1 Khu Bàu Cá - An Phước - Long Thành - Đồng Nai                                                                                                                                                 </t>
  </si>
  <si>
    <t>3602903244</t>
  </si>
  <si>
    <t>CÔNG TY TNHH KSM</t>
  </si>
  <si>
    <t xml:space="preserve">3604020212                    </t>
  </si>
  <si>
    <t xml:space="preserve">UÛY BAN NHAÂN DAÂN XAÕ ÑAÏI PHÖÔÙC                                                                  </t>
  </si>
  <si>
    <t xml:space="preserve">Ñöôøng Huyønh Vaên Luõy, AÁp Thò Caàu, Xaõ Ñaïi Phöôùc, Tænh Ñoàng Nai                                                  </t>
  </si>
  <si>
    <t xml:space="preserve">3603936764                    </t>
  </si>
  <si>
    <t>CÔNG TY TNHH TM - DV XÂY DỰNG XANH</t>
  </si>
  <si>
    <t>Tổ 12, Khu Phố Phước Kiểng, Thị trấn Hiệp Phước, Huyện Nhơn Trạch, Đồng Nai</t>
  </si>
  <si>
    <t>3602911608</t>
  </si>
  <si>
    <t xml:space="preserve">Công Ty TNHH Vận Tải Long Phụng Hồng                                                                                                                                                              </t>
  </si>
  <si>
    <t xml:space="preserve">ấp bình lâm - Lộc An - Long Thành - Đồng Nai                                                                                                                                                       </t>
  </si>
  <si>
    <t>3602940197</t>
  </si>
  <si>
    <t>Công Ty TNHH Một Thành Viên Hoàng Đình Hoàn</t>
  </si>
  <si>
    <t>3602965970</t>
  </si>
  <si>
    <t>Trường Mầm Non Hoa Sen</t>
  </si>
  <si>
    <t>Đường Nguyễn Kim Quy, Ấp Bình Phú, Xã Long Tân, Huyện Nhơn Trạch, Đồng Nai</t>
  </si>
  <si>
    <t>3602990254</t>
  </si>
  <si>
    <t>Công ty TNHH Tư Vấn Thiết Kế Xây Dựng An Phú Cường</t>
  </si>
  <si>
    <t>7/1 khu Phước Long, TT Long Thành, huyện Long Thành</t>
  </si>
  <si>
    <t xml:space="preserve">3603014801                    </t>
  </si>
  <si>
    <t>CÔNG TY TNHH GIA CÔNG KIM LOẠI NIC</t>
  </si>
  <si>
    <t xml:space="preserve">3603016252                    </t>
  </si>
  <si>
    <t>Trường THCS Long An</t>
  </si>
  <si>
    <t>Ấp 2, Xã Long An, Huyện Long Thành</t>
  </si>
  <si>
    <t>3603022383</t>
  </si>
  <si>
    <t>CÔNG TY TNHH MỘT THÀNH VIÊN BÁCH ỨC ĐẠT</t>
  </si>
  <si>
    <t>Số 19, Tổ 8, Ấp 2</t>
  </si>
  <si>
    <t>3603042654</t>
  </si>
  <si>
    <t>Công Ty TNHH Cơ Khí Xây Dựng Hồng Huy</t>
  </si>
  <si>
    <t>Số 1892/18,ấp 1C</t>
  </si>
  <si>
    <t xml:space="preserve">3603043136                    </t>
  </si>
  <si>
    <t>CÔNG TY TNHH MỘT THÀNH VIÊN KIẾN VĨNH THÀNH</t>
  </si>
  <si>
    <t>Số 88, đường DT 769, Ấp Bình Lâm</t>
  </si>
  <si>
    <t>3603045334</t>
  </si>
  <si>
    <t>CÔNG TY TNHH CÔNG NGHỆ PHÚC NGUYÊN PHÁT</t>
  </si>
  <si>
    <t>Tổ 8, Ấp 5</t>
  </si>
  <si>
    <t>3603046874</t>
  </si>
  <si>
    <t>Công Ty Ngô Hoàng Sang</t>
  </si>
  <si>
    <t>Ấp 6, Xã Bình Sơn, Huyện Long Thành, Đồng Nai</t>
  </si>
  <si>
    <t xml:space="preserve">3603049113                    </t>
  </si>
  <si>
    <t>Công Ty TNHH Một Thành Viên Vương Lâm Phát</t>
  </si>
  <si>
    <t>Ấp Xóm Hố</t>
  </si>
  <si>
    <t>3603051465</t>
  </si>
  <si>
    <t>CÔNG TY TNHH NHỰA KỸ THUẬT A L P H A</t>
  </si>
  <si>
    <t>Đường số 7, KCN Nhơn Trạch II - Nhơn Phú</t>
  </si>
  <si>
    <t>3603052356</t>
  </si>
  <si>
    <t xml:space="preserve">Doanh Nghiệp Tư Nhân Massage Ngọc ánh                                                                                                                                                               </t>
  </si>
  <si>
    <t xml:space="preserve">3603056833                    </t>
  </si>
  <si>
    <t>Trường Tiểu Học Tư Thục Tri Thức</t>
  </si>
  <si>
    <t>Tổ 30, QL 51, Khu Phước Hải</t>
  </si>
  <si>
    <t xml:space="preserve">3603061618                    </t>
  </si>
  <si>
    <t>CÔNG TY TNHH MỘT THÀNH VIÊN THIẾT BỊ XỬ LÝ NƯỚC HUNG GIA</t>
  </si>
  <si>
    <t>Tổ 3, ấp Xóm Gốc</t>
  </si>
  <si>
    <t xml:space="preserve">3603938296                    </t>
  </si>
  <si>
    <t>CÔNG TY TNHH MTV DỊCH VỤ - THƯƠNG MẠI QUANG ANH</t>
  </si>
  <si>
    <t>Lầu 1, số 19, tổ 1, Khu 13, Xã Long Đức, Huyện Long Thành, Đồng Nai</t>
  </si>
  <si>
    <t>3603941940</t>
  </si>
  <si>
    <t>CÔNG TY TNHH TMDV ĐẦU TƯ PHÚC LÂM</t>
  </si>
  <si>
    <t>Số 4/1, Ấp 2, Xã Long An, Huyện Long Thành, Đồng Nai</t>
  </si>
  <si>
    <t xml:space="preserve">3603065997                    </t>
  </si>
  <si>
    <t>Công Ty TNHH Dịch Vụ Vận Tải Bảo Hoàng Phát</t>
  </si>
  <si>
    <t>Số 77, tổ 2, ấp Thành Công</t>
  </si>
  <si>
    <t xml:space="preserve">3603066831                    </t>
  </si>
  <si>
    <t>Công Ty TNHH Một Thành Viên Xây Dựng Thương Mại Việt Gia Hưng</t>
  </si>
  <si>
    <t>Số 103, Tổ 8, Ấp Bình Lâm</t>
  </si>
  <si>
    <t>3603070612</t>
  </si>
  <si>
    <t>Công Ty TNHH Hai Luyến</t>
  </si>
  <si>
    <t xml:space="preserve">3603071140                    </t>
  </si>
  <si>
    <t>CÔNG TY TNHH AN VƯỢNG PHÚC</t>
  </si>
  <si>
    <t>3603079012</t>
  </si>
  <si>
    <t>Công Ty TNHH Tiến Tường An</t>
  </si>
  <si>
    <t>Số 40/3, Ấp 1</t>
  </si>
  <si>
    <t>3603093715</t>
  </si>
  <si>
    <t>CÔNG TY TNHH MỘT THÀNH VIÊN BÃI SẠN</t>
  </si>
  <si>
    <t>Số 9, ấp Phước Lý</t>
  </si>
  <si>
    <t>3603110897</t>
  </si>
  <si>
    <t>Công Ty TNHH Một Thành Viên Hoàng Diệp Lan</t>
  </si>
  <si>
    <t>3603115246</t>
  </si>
  <si>
    <t>Doanh Nghiệp Tư Nhân Thơ Tiến Phát</t>
  </si>
  <si>
    <t xml:space="preserve"> Số 04, khu 1, ấp 7</t>
  </si>
  <si>
    <t>3603119522</t>
  </si>
  <si>
    <t xml:space="preserve">Công ty TNHH Bosch Việt Nam                                                                                                                                                                           </t>
  </si>
  <si>
    <t xml:space="preserve">KCN Long Thành - Xã Tam An - Huyện Long Thành - Tỉnh Đồng Nai                                                                                                                                      </t>
  </si>
  <si>
    <t>3603120648</t>
  </si>
  <si>
    <t>DOANH NGHIỆP TƯ NHÂN AN PHƯỚC TRUNG TÁ</t>
  </si>
  <si>
    <t>Tổ 4, ấp 7</t>
  </si>
  <si>
    <t>3700233968</t>
  </si>
  <si>
    <t>Công ty TNHH Hệ thống thiết bị UMW ( Việt Nam )</t>
  </si>
  <si>
    <t>12 A, Đại Lộ Độc Lập, Khu Công Nghiệp Việt Nam - Singapore, Phường Bình Hòa, Thị Xã Thuận An, Bình Dương</t>
  </si>
  <si>
    <t xml:space="preserve">3700364985                    </t>
  </si>
  <si>
    <t>CÔNG TY TNHH NEUMANN GRUPPE VIỆT NAM</t>
  </si>
  <si>
    <t>3700401059-001</t>
  </si>
  <si>
    <t>CÔNG TY TNHH YANG LIN GLOBAL (VIỆT NAM) - CHI NHÁNH ĐỒNG NAI</t>
  </si>
  <si>
    <t xml:space="preserve">3700415238                    </t>
  </si>
  <si>
    <t>CÔNG TY TNHH SUPERIOR MULTI - PACKAGING VN</t>
  </si>
  <si>
    <t>Đường số 4, KCN An Phước</t>
  </si>
  <si>
    <t>3700538529</t>
  </si>
  <si>
    <t>Công Ty TNHH Cơ Khí Hữu Mậu</t>
  </si>
  <si>
    <t>Ấp 5, Xã An Phước, Huyện Long Thành, Đồng Nai</t>
  </si>
  <si>
    <t xml:space="preserve">3700594361                    </t>
  </si>
  <si>
    <t>Công Ty Cổ Phần Thương Mại Thành Thành Công</t>
  </si>
  <si>
    <t>Số 7, Đại Lộ Độc Lập, Lô D, Khu Công Nghiệp Sóng Thần 1, Phường Dĩ An, Thị Xã Dĩ An, Bình Dương</t>
  </si>
  <si>
    <t>3701510935</t>
  </si>
  <si>
    <t>Công Ty TNHH Quốc Tế Chu Sheng</t>
  </si>
  <si>
    <t>Khu Nhà Xưởng JSC, Đường Số 6, KCN Nhơn Trạch III - Giai Đoạn 2, Thị Trấn Hiệp Phước, Huyện Nhơn Trạch, Đồng Nai</t>
  </si>
  <si>
    <t xml:space="preserve">3604004027                    </t>
  </si>
  <si>
    <t xml:space="preserve">COÂNG TY TNHH THÖÔNG MAÏI DÒCH VUÏ ÑAÀU TÖ THANH SÔN PHAÙT                                          </t>
  </si>
  <si>
    <t xml:space="preserve">Toå 2, Khu phoá 12, Xaõ Long Ñöùc, Huyeän Long Thaønh, Tænh Ñoàng Nai, Vieät Nam                                        </t>
  </si>
  <si>
    <t>3603132876</t>
  </si>
  <si>
    <t>CÔNG TY TNHH CƠ KHÍ CHÍNH XÁC HOÀNG NGUYÊN</t>
  </si>
  <si>
    <t>3603146212</t>
  </si>
  <si>
    <t>CÔNG TY TNHH MỘT THÀNH VIÊN NAM THÀNH AN</t>
  </si>
  <si>
    <t>Số 36/1, khu Bàu Cá</t>
  </si>
  <si>
    <t xml:space="preserve">3702286154                    </t>
  </si>
  <si>
    <t>Đại điểm Kinh Doanh Công Ty TNHH Dịch Vụ Suất Ăn Công Nghiệp Đại Tùng Lắm</t>
  </si>
  <si>
    <t>Hẻm 27, Đường Lê Quang Định, Tổ 1, Khu 12, Xã Long Đức, Huyện Long Thành, Đồng Nai</t>
  </si>
  <si>
    <t>3603150586</t>
  </si>
  <si>
    <t>CÔNG TY TNHH HU CHIN</t>
  </si>
  <si>
    <t>Đường Hùng Vương, tổ 1, KP Mỹ Khoan</t>
  </si>
  <si>
    <t xml:space="preserve">3603154076                    </t>
  </si>
  <si>
    <t>CÔNG TY TNHH FOUR NINE</t>
  </si>
  <si>
    <t xml:space="preserve">3603157729                    </t>
  </si>
  <si>
    <t>CÔNG TY TNHH VIỆT NAM OSAKA FUJI</t>
  </si>
  <si>
    <t>Đường số 4, KCN Nhơn Trạch III, giai đoạn 2</t>
  </si>
  <si>
    <t>3801093202-001</t>
  </si>
  <si>
    <t>VĂN PHÒNG LUẬT SƯ XUÂN NINH - CHI NHÁNH ĐỒNG NAI</t>
  </si>
  <si>
    <t>Số 308/4, tổ 20, Khu Văn Hải, Thị trấn Long Thành, Huyện Long Thành, Đồng Nai</t>
  </si>
  <si>
    <t>4201579088</t>
  </si>
  <si>
    <t>CÔNG TY TNHH MỘT THÀNH VIÊN ACC NHA TRANG</t>
  </si>
  <si>
    <t>Khu Sân Bay, Ấp 10, Xã Bình Sơn, Huyện Long Thành, Đồng Nai</t>
  </si>
  <si>
    <t>4400951889</t>
  </si>
  <si>
    <t>CÔNG TY CỔ PHẦN AN NINH ĐÈO CẢ</t>
  </si>
  <si>
    <t>4601164539</t>
  </si>
  <si>
    <t>CÔNG TY TNHH YS VIỆT NAM</t>
  </si>
  <si>
    <t>Lô A401 - A402, đường D2, KCN Dệt may Nhơn Trạch</t>
  </si>
  <si>
    <t>47H8019254</t>
  </si>
  <si>
    <t>HỘ KD VŨ THỊ HẰNG - QUẦY THUỐC HẰNG VŨ</t>
  </si>
  <si>
    <t>Số 1779, Tổ 4, Ấp Hiền Hòa, Xã Phước Thái, Huyện Long Thành, Đồng Nai</t>
  </si>
  <si>
    <t xml:space="preserve">8072651220                    </t>
  </si>
  <si>
    <t>Hộ Kinh Doanh Mai Đức Lộc</t>
  </si>
  <si>
    <t>Tổ 3, Ấp 6, Xã Bình Sơn, Huyện Long Thành, Đồng Nai</t>
  </si>
  <si>
    <t xml:space="preserve">8087955359                    </t>
  </si>
  <si>
    <t>HỘ KINH DOANH MINH HIỂN PHÁT</t>
  </si>
  <si>
    <t>Số 97, Tổ 5, Ấp 11, Xã Bình Sơn, Huyện Long Thành, Đồng Nai</t>
  </si>
  <si>
    <t>8462958017-001</t>
  </si>
  <si>
    <t>HỘ KINH DOANH NHÀ HÀNG 86</t>
  </si>
  <si>
    <t>Đường Trường Chinh, Quốc Lộ 51b, Khu Cầu Xéo, Thị Trấn Long Thành, Huyện Long Thành, Đồng Nai</t>
  </si>
  <si>
    <t xml:space="preserve">8506104061                    </t>
  </si>
  <si>
    <t>VẮCXIN TNT NHƠN TRẠCH</t>
  </si>
  <si>
    <t>Lý Thái Tổ, Ấp Bến Sắn, Xã Phước Thiền, Huyện Nhơn Trạch, Đồng Nai</t>
  </si>
  <si>
    <t xml:space="preserve">3702271969                    </t>
  </si>
  <si>
    <t>CÔNG TY CỔ PHẦN PHÚ AN LÀNH</t>
  </si>
  <si>
    <t>Tòa nhà Donacoop, đường Lê Duẩn, khu Phước Hải</t>
  </si>
  <si>
    <t>3702345466</t>
  </si>
  <si>
    <t xml:space="preserve">Công Ty TNHH DEIJE                                                                                                                                                                                     </t>
  </si>
  <si>
    <t xml:space="preserve">Số C31 Đường D16, Làng Chuyên Gia Oasis 1,Khu Dân Cư Việt Sing, Phường An Phú,Thị Xã Thuận                                                                                                    </t>
  </si>
  <si>
    <t xml:space="preserve">3603173343                    </t>
  </si>
  <si>
    <t>Công Ty TNHH Xây Dựng Khoa Minh Phương</t>
  </si>
  <si>
    <t>Tổ 2, ấp 1C</t>
  </si>
  <si>
    <t>3603178084</t>
  </si>
  <si>
    <t>CÔNG TY TNHH MỘT THÀNH VIÊN VẬN TẢI VÀ DU LỊCH NGUYỄN ANH HUY</t>
  </si>
  <si>
    <t>Số 76, tổ 4, Khu 14</t>
  </si>
  <si>
    <t xml:space="preserve">3603186688                    </t>
  </si>
  <si>
    <t>CÔNG TY TNHH SURMAN VIỆT NAM</t>
  </si>
  <si>
    <t>3702654915</t>
  </si>
  <si>
    <t>Công Ty TNHH Thương Mại Dịch Vụ Sản Xuất Thái Hòa</t>
  </si>
  <si>
    <t>Ấp 7, Xã An Phước, Huyện Long Thành, Đồng Nai</t>
  </si>
  <si>
    <t>3702795507</t>
  </si>
  <si>
    <t>CÔNG TY CỔ PHẦN XÂY DỰNG CÔNG TRÌNH TÂY HỒ</t>
  </si>
  <si>
    <t>Thửa đất số 2133, Tờ bản đồ số 06-9, Tổ 38, Khu Phố 8, Đường Hùng Vương, Phường Phú Mỹ, Thành phố Thủ Dầu Một, Bình Dương</t>
  </si>
  <si>
    <t>3800675286</t>
  </si>
  <si>
    <t>Trường THCS Phước Bình</t>
  </si>
  <si>
    <t>Ấp 5, Xã Phước Bình, Huyện Long Thành</t>
  </si>
  <si>
    <t xml:space="preserve">3603205073                    </t>
  </si>
  <si>
    <t>CÔNG TY CỔ PHẦN ĐẦU TƯ DIỆP NAM PHƯƠNG</t>
  </si>
  <si>
    <t>Số 133A, đường Trần Văn Ơn, Tổ 10, Khu 12</t>
  </si>
  <si>
    <t xml:space="preserve">3603205323                    </t>
  </si>
  <si>
    <t>CÔNG TY TNHH MỘT THÀNH VIÊN ĐẦU TƯ XÂY DỰNG KHU CÔNG NGHIỆP NHƠN TRẠCH 6A</t>
  </si>
  <si>
    <t>Khu Công nghiệp Nhơn Trạch 6</t>
  </si>
  <si>
    <t>3603207962</t>
  </si>
  <si>
    <t>CÔNG TY TNHH XÂY DỰNG THƯƠNG MẠI BẢO BÌNH PHÁT</t>
  </si>
  <si>
    <t>Số 6/14, ấp 2</t>
  </si>
  <si>
    <t xml:space="preserve">3603213003                    </t>
  </si>
  <si>
    <t>CÔNG TY TNHH WAGON</t>
  </si>
  <si>
    <t>Đường số 6, KCN Nhơn Trạch III-Giai đoạn 2</t>
  </si>
  <si>
    <t>3603215120</t>
  </si>
  <si>
    <t>Công Ty TNHH Một Thành Viên Thương Mại Kiều Thy</t>
  </si>
  <si>
    <t>Tổ 12, ấp 5</t>
  </si>
  <si>
    <t>3603215145</t>
  </si>
  <si>
    <t xml:space="preserve">Công ty TNHH XD TM - DV Hữu Thăng                                                                </t>
  </si>
  <si>
    <t xml:space="preserve">Tổ 18, Khu Kim Sơn, TT Long Thành, Huyện Long Thành, Tỉnh Đồng Nai                             </t>
  </si>
  <si>
    <t xml:space="preserve">3700895030                    </t>
  </si>
  <si>
    <t xml:space="preserve">COÂNG TY TNHH NÖÔÙC GIAÛI KHAÙT KIRIN VIEÄT NAM                                                     </t>
  </si>
  <si>
    <t xml:space="preserve">Loâ D-3A-CN, Khu coâng nghieäp Myõ Phöôùc 2, Phöôøng Myõ Phöôùc, Thaønh phoá Beán Caùt, tænh Bình Döông, Vieät Nam      </t>
  </si>
  <si>
    <t>3700948003</t>
  </si>
  <si>
    <t>Công Ty TNHH Một Thành Viên Cơ Khí Núi Thành</t>
  </si>
  <si>
    <t>Số 30/5, Khu Phố Hiệp Thắng, Phường Bình Thắng, Thành phố Dĩ An, Bình Dương</t>
  </si>
  <si>
    <t>3700948003-001</t>
  </si>
  <si>
    <t>CHI NHÁNH CÔNG TY TNHH MỘT THÀNH VIÊN CƠ KHÍ NÚI THÀNH</t>
  </si>
  <si>
    <t>Cụm Tiểu Thủ Công Nghiệp, Ấp Bàu Sen, Xã Phú Thạnh, Huyện Nhơn Trạch, Đồng Nai</t>
  </si>
  <si>
    <t>3702642596</t>
  </si>
  <si>
    <t>Công Ty Cổ Phần Đầu Tư Kinh Doanh Bất Động Sản Hà An</t>
  </si>
  <si>
    <t>Số 18 Đường Kha Vạn Cân, Phường An Bình, Thị Xã Dĩ An, Bình Dương</t>
  </si>
  <si>
    <t>3900804993</t>
  </si>
  <si>
    <t xml:space="preserve">Công Ty TNHH KUOYUEN Tây Ninh                                                                                                                                                                         </t>
  </si>
  <si>
    <t xml:space="preserve">Lô A13.1-5,đường D3 và lô A8.7-9, đường C1 KCN Thành Thành Công - Xã An Hòa - Huyện Trản                                                                                                    </t>
  </si>
  <si>
    <t>3901163439</t>
  </si>
  <si>
    <t>CÔNG TY TNHH NGUYÊN PHỤ LIỆU GIÀY RHENO (VN)</t>
  </si>
  <si>
    <t>Nhà xưởng 57 đường 1-7, Khu Công Nghiệp Long Thành</t>
  </si>
  <si>
    <t>4200338918</t>
  </si>
  <si>
    <t>Công Ty TNHH Nhà Nước Một Thành Viên Yến Sào Khánh Hòa</t>
  </si>
  <si>
    <t>248 Thống Nhất, Phường Phương Sơn, Thành phố Nha Trang, Khánh Hoà</t>
  </si>
  <si>
    <t>4201557126-013</t>
  </si>
  <si>
    <t>Chi Nhánh Công Ty TNHH MTV Phát Triển Trang Phục Phụ Nữ  Kiểu Pháp (VN)</t>
  </si>
  <si>
    <t>312 Lê Duẩn, Khu Văn Hải, Thị trấn Long Thành, Huyện Long Thành, Đồng Nai</t>
  </si>
  <si>
    <t>4718013162</t>
  </si>
  <si>
    <t>THIÊN PHÚ QUANG</t>
  </si>
  <si>
    <t>Nguyễn Ái Quốc, KCN Nhơn Trạch III - giai đoạn 2, Thị trấn Hiệp Phước, Huyện Nhơn Trạch, Đồng Nai</t>
  </si>
  <si>
    <t>3603230249</t>
  </si>
  <si>
    <t>CÔNG TY TRÁCH NHIỆM HỮU HẠN VÀNG BẠC THỤY HẰNG</t>
  </si>
  <si>
    <t>Chợ mới, tổ 47, Ấp Phước Lý</t>
  </si>
  <si>
    <t>3603233401</t>
  </si>
  <si>
    <t>CÔNG TY TNHH LỢI PHÁT TOÀN THẮNG</t>
  </si>
  <si>
    <t>Số 363, tổ 4,  ấp Xóm Gò Bà Ký</t>
  </si>
  <si>
    <t xml:space="preserve">3603240938                    </t>
  </si>
  <si>
    <t>CÔNG TY TNHH HIỀN PHÁT VI NA</t>
  </si>
  <si>
    <t>Quốc lộ 51, khu 2, ấp 7</t>
  </si>
  <si>
    <t xml:space="preserve">3603243431                    </t>
  </si>
  <si>
    <t>CÔNG TY TNHH CÔNG NGHIỆP MÊ KÔNG VIỆT NAM</t>
  </si>
  <si>
    <t>Đường Phạm Văn Đồng, Khu Cầu Xéo</t>
  </si>
  <si>
    <t xml:space="preserve">3603246312                    </t>
  </si>
  <si>
    <t>Công Ty TNHH Một Thành Viên Thương Mại Dịch Vụ Ha Ru</t>
  </si>
  <si>
    <t>B5-14, KP Chợ Quán Thủ</t>
  </si>
  <si>
    <t xml:space="preserve">3603246390                    </t>
  </si>
  <si>
    <t>CÔNG TY TNHH THƯƠNG MẠI DỊCH VỤ HOÀNG HUY NAM</t>
  </si>
  <si>
    <t xml:space="preserve"> Tổ 15, Đường Huỳnh Văn Nghệ, Khu phố Mỹ Khoan</t>
  </si>
  <si>
    <t>3603262360</t>
  </si>
  <si>
    <t>CÔNG TY TNHH MỘT THÀNH VIÊN THƯƠNG MẠI DỊCH VỤ AN GIAO</t>
  </si>
  <si>
    <t>3603263967</t>
  </si>
  <si>
    <t>Công ty TNHH HAMMER Việt Nam</t>
  </si>
  <si>
    <t>N2/D4, KCN Nhơn Trạch V</t>
  </si>
  <si>
    <t xml:space="preserve">3603265026                    </t>
  </si>
  <si>
    <t>CÔNG TY TNHH CÔNG NGHIỆP HW</t>
  </si>
  <si>
    <t>Lô C3, đường N2, KCN Nhơn Trạch V</t>
  </si>
  <si>
    <t>47H8011154</t>
  </si>
  <si>
    <t>Hộ Kinh Doanh Phạm Đoàn Minh - Quầy Thuốc 281</t>
  </si>
  <si>
    <t>Khu 12, Xã Long Đức, Huyện Long Thành, Đồng Nai</t>
  </si>
  <si>
    <t>5400101273</t>
  </si>
  <si>
    <t>CÔNG TY CỔ PHẦN LILAMA 10</t>
  </si>
  <si>
    <t>6101166700</t>
  </si>
  <si>
    <t>CÔNG TY CỔ PHẦN CẦU ĐƯỜNG NEW SUN</t>
  </si>
  <si>
    <t>Đường Phước Bình, Tổ 5, Ấp 01, Xã Phước Bình, Huyện Long Thành, Đồng Nai</t>
  </si>
  <si>
    <t xml:space="preserve">3603271478                    </t>
  </si>
  <si>
    <t>CÔNG TY TNHH DAE JAE VIỆT NAM</t>
  </si>
  <si>
    <t>3603277159</t>
  </si>
  <si>
    <t>Công Ty TNHH Một Thành Viên Thương Mại Dịch Vụ Lê Phương Uyên</t>
  </si>
  <si>
    <t>Số 408B, tổ 8, ấp Long Phú</t>
  </si>
  <si>
    <t>3603280627</t>
  </si>
  <si>
    <t>Công Ty TNHH Marusan Kigata Seisakujo Việt Nam</t>
  </si>
  <si>
    <t>Đường Số 6, KCN Nhơn Trạch III - giai đoạn 2, Thị trấn Hiệp Phước, Huyện Nhơn Trạch, Đồng Nai</t>
  </si>
  <si>
    <t xml:space="preserve">3603283000                    </t>
  </si>
  <si>
    <t>CÔNG TY TNHH THƯƠNG MẠI DỊCH VỤ CƠ GIỚI PHONG PHÚ</t>
  </si>
  <si>
    <t>Số 02, tổ 02, ấp Thanh Bình</t>
  </si>
  <si>
    <t>3603283226</t>
  </si>
  <si>
    <t>Công Ty Luật Trách Nhiệm Hữu Hạn Quốc Tế Hoà Bình</t>
  </si>
  <si>
    <t>Số 974A, Hùng Vương</t>
  </si>
  <si>
    <t>3603287679</t>
  </si>
  <si>
    <t xml:space="preserve">Công Ty TNHH SURMAN Việt Nam                                                                                                                                                                          </t>
  </si>
  <si>
    <t xml:space="preserve">Lô L, KCN Lộc An- Bình Sơn, Xã Long An, Huyện Long Thành, Tỉnh Đồng Nai, Việt Nam                                                                                                                </t>
  </si>
  <si>
    <t xml:space="preserve">3603288087                    </t>
  </si>
  <si>
    <t>CÔNG TY TNHH NISSEI SURFACE TREATMENT TECHNOLOGY VIỆT NAM</t>
  </si>
  <si>
    <t>Khu Công nghiệp Long Đức</t>
  </si>
  <si>
    <t xml:space="preserve">3603288369                    </t>
  </si>
  <si>
    <t>Công Ty TNHH Một Thành Viên Dung Đức Phát</t>
  </si>
  <si>
    <t>Số 2095/2/16, tổ 7, ấp 1B</t>
  </si>
  <si>
    <t xml:space="preserve">3603289595                    </t>
  </si>
  <si>
    <t>CÔNG TY TNHH PHÚC TRẠCH</t>
  </si>
  <si>
    <t>(Thuê nhà xưởng Công ty CỔ phần Việt Tiến Đông Á), Khu Công</t>
  </si>
  <si>
    <t>3603289820</t>
  </si>
  <si>
    <t xml:space="preserve">Công ty TNHH Một Thành Viên Hữu Triều Phát                                                                                                                                                       </t>
  </si>
  <si>
    <t xml:space="preserve">Tổ 3 - Khu 12 - Xã Long Đức - Huyện Long Thành - Đồng Nai - Việt Nam                                                                                                                             </t>
  </si>
  <si>
    <t xml:space="preserve">3603290142                    </t>
  </si>
  <si>
    <t>CÔNG TY TNHH IN HOA RUIJIA VIỆT NAM</t>
  </si>
  <si>
    <t>Đường N3, KCN Dệt may Nhơn Trạch</t>
  </si>
  <si>
    <t>3603294411</t>
  </si>
  <si>
    <t>CÔNG TY CỔ PHẦN PHÁT TRIỂN DOANH NGHIỆP NHỎ VÀ VỪA NHẬT BẢN</t>
  </si>
  <si>
    <t>Khu công nghiệp Nhơn Trạch III - Giai đoạn 2</t>
  </si>
  <si>
    <t>3603299240</t>
  </si>
  <si>
    <t>Công Ty TNHH Một Thành Viên Linh Phương Linh</t>
  </si>
  <si>
    <t>Số 85/10, Hùng Vương, ấp 1</t>
  </si>
  <si>
    <t>3603299882</t>
  </si>
  <si>
    <t>CÔNG TY TNHH BAO BÌ TỔNG HỢP NAM TIẾN</t>
  </si>
  <si>
    <t>Số 349/1/3, tổ 15, ấp Bến Sắn</t>
  </si>
  <si>
    <t xml:space="preserve">8078388008                    </t>
  </si>
  <si>
    <t>HỘ KINH DOANH ẨM THỰC PHƯƠNG NAM</t>
  </si>
  <si>
    <t>Tổ 8, Khu Cầu Xéo, Thị Trấn Long Thành, Huyện Long Thành, Đồng Nai</t>
  </si>
  <si>
    <t xml:space="preserve">8138241193                    </t>
  </si>
  <si>
    <t>CƠ SỞ THIẾT BỊ PHÒNG CHÁY CHỮA CHÁY PHƯƠNG ĐÔNG</t>
  </si>
  <si>
    <t>Số 82, Tổ 7, Ấp 3, Xã Long An, Huyện Long Thành, Đồng Nai</t>
  </si>
  <si>
    <t xml:space="preserve">3901240813                    </t>
  </si>
  <si>
    <t>CÔNG TY TNHH SẢN PHẨM THỂ THAO HUA XING</t>
  </si>
  <si>
    <t>4001272155</t>
  </si>
  <si>
    <t>CÔNG TY TNHH THIẾT BỊ HLP VIỆT NAM</t>
  </si>
  <si>
    <t>Tổ 3, Khối phố An Hà Nam, Phường An Phú, Thành phố Tam Kỳ, Quảng Nam</t>
  </si>
  <si>
    <t>47H8014207</t>
  </si>
  <si>
    <t>Hộ Kinh Doanh Quán Cơm Thằng Bờm</t>
  </si>
  <si>
    <t>QL51, Ấp Xóm Gốc, Xã Long An, Huyện Long Thành, Đồng Nai</t>
  </si>
  <si>
    <t>6001025449</t>
  </si>
  <si>
    <t xml:space="preserve">Công Ty TNHH MTV TV XD Hà Thành                                                                                                                                                                      </t>
  </si>
  <si>
    <t xml:space="preserve">Đường Lý Thái Tổ, Tổ 2, ấp 1 - Phú Thạnh - Nhơn Trạch - Đồng Nai                                                                                                                              </t>
  </si>
  <si>
    <t>8005568390</t>
  </si>
  <si>
    <t>Hộ Kinh Doanh Lâm Văn Thanh</t>
  </si>
  <si>
    <t>Nhà Xưởng 70&amp;71, Đường Số 11, KCN Long Thành, Xã Tam An, Huyện Long Thành, Đồng Nai</t>
  </si>
  <si>
    <t>3603301147</t>
  </si>
  <si>
    <t>CÔNG TY TNHH PHỤ LIỆU A B M</t>
  </si>
  <si>
    <t>Số 199/2, Quốc lộ 51, Khu 2, ấp 7</t>
  </si>
  <si>
    <t>3603303384</t>
  </si>
  <si>
    <t>CÔNG TY TNHH THIẾT BỊ CÔNG NGHIỆP VŨ HOÀNG</t>
  </si>
  <si>
    <t>3603304116</t>
  </si>
  <si>
    <t>CÔNG TY CỔ PHẦN DỊCH VỤ HỖ TRỢ DỆT &amp; NHUỘM HÀN QUỐC</t>
  </si>
  <si>
    <t>3603309555</t>
  </si>
  <si>
    <t>CÔNG TY TNHH MỘT THÀNH VIÊN DỊCH VỤ VÀ VẬN TẢI NGÂN QUỲNH</t>
  </si>
  <si>
    <t>Số 108, đường Đinh Bộ Lĩnh, tổ 9, ấp Hàng Gòn</t>
  </si>
  <si>
    <t xml:space="preserve">3603309587                    </t>
  </si>
  <si>
    <t>CÔNG TY TNHH HAESUNG VIỆT NAM</t>
  </si>
  <si>
    <t>Đường N4, Khu công nghiệp Dệt may Nhơn Trạch</t>
  </si>
  <si>
    <t xml:space="preserve">3603309890                    </t>
  </si>
  <si>
    <t>CÔNG TY TNHH ELENTEC HCM VINA</t>
  </si>
  <si>
    <t xml:space="preserve">3603314890                    </t>
  </si>
  <si>
    <t>CÔNG TY TNHH KANGNAM VINA</t>
  </si>
  <si>
    <t>xưởng số 8, Lô A204-&gt;207, đường C2, KCN Dệt May Nhơn Trạch</t>
  </si>
  <si>
    <t>3603324994</t>
  </si>
  <si>
    <t>Hội Luật Gia Huyện Long Thành</t>
  </si>
  <si>
    <t>Trần Quốc Toản, Khu Phước Hải</t>
  </si>
  <si>
    <t>3603366271</t>
  </si>
  <si>
    <t>CÔNG TY TNHH DOSEL VINA</t>
  </si>
  <si>
    <t>Đường số 4, KCN Dệt may Nhơn Trạch</t>
  </si>
  <si>
    <t>3603367317</t>
  </si>
  <si>
    <t>CÔNG TY TNHH GIA PHÚC KHANG</t>
  </si>
  <si>
    <t>Số 1996/21, ấp 1B</t>
  </si>
  <si>
    <t>3603369709</t>
  </si>
  <si>
    <t>Hội Người Mù Huyện Nhơn Trạch</t>
  </si>
  <si>
    <t>Phước Thiền</t>
  </si>
  <si>
    <t xml:space="preserve">3603372772                    </t>
  </si>
  <si>
    <t>CÔNG TY TNHH JAPAN BEST FOODS</t>
  </si>
  <si>
    <t>Đường N3-1, KCN Long Đức</t>
  </si>
  <si>
    <t>8799906739-001</t>
  </si>
  <si>
    <t>Hộ Kinh Doanh Cơ Sở Á Đông</t>
  </si>
  <si>
    <t>Tổ 1, Khu A, Ấp 5, Xã An Phước, Huyện Long Thành, Đồng Nai</t>
  </si>
  <si>
    <t>3603376960</t>
  </si>
  <si>
    <t xml:space="preserve">Nguyễn Hữu Vũ                                                                                                                                                                                        </t>
  </si>
  <si>
    <t xml:space="preserve">40 Lê Quang Định Tổ 32, Khu Phước Hải - TT Long Thành - Long Thành - Đồng Nai                                                                                                                    </t>
  </si>
  <si>
    <t>3603382019</t>
  </si>
  <si>
    <t>CÔNG TY TNHH SG CHEMICAL VINA</t>
  </si>
  <si>
    <t xml:space="preserve">3603388476                    </t>
  </si>
  <si>
    <t>Công Ty TNHH Công Nghệ Marco</t>
  </si>
  <si>
    <t>KCN Dệt may Nhơn Trạch</t>
  </si>
  <si>
    <t xml:space="preserve">3603390997                    </t>
  </si>
  <si>
    <t>CÔNG TY TNHH THƯƠNG MẠI HỆ THỐNG BẢO HỘ AN TOÀN ĐÔNG DƯƠNG</t>
  </si>
  <si>
    <t>Số 84/63/1, tổ 4, ấp 3</t>
  </si>
  <si>
    <t xml:space="preserve">3603395378                    </t>
  </si>
  <si>
    <t>CÔNG TY TNHH THƯƠNG MẠI - DỊCH VỤ - VẬN TẢI THIÊN BẢO MINH</t>
  </si>
  <si>
    <t>Số 09, Ấp Bình Lâm</t>
  </si>
  <si>
    <t xml:space="preserve">3603409327                    </t>
  </si>
  <si>
    <t>CÔNG TY TNHH SẢN XUẤT ĐẦU TƯ XÂY DỰNG THƯƠNG MẠI DỊCH VỤ MIỀN ĐÔNG</t>
  </si>
  <si>
    <t xml:space="preserve">3603409334                    </t>
  </si>
  <si>
    <t>CÔNG TY TNHH CÔNG NGHỆ TAIWAN FLUORO VIỆT NAM</t>
  </si>
  <si>
    <t>Lô D5, D6, D7, D8 Khu Công nghiệp An Phước</t>
  </si>
  <si>
    <t>3603411132</t>
  </si>
  <si>
    <t>CÔNG TY TNHH BẤT ĐỘNG SẢN CAO GIA PHÁT</t>
  </si>
  <si>
    <t>Số 69/14, tổ 25, ấp Bến Sắn</t>
  </si>
  <si>
    <t>3603413316</t>
  </si>
  <si>
    <t>CÔNG TY TNHH THÁI BẢO ÂN</t>
  </si>
  <si>
    <t>Ấp 2, Đường D13, Khu tái định cư xã Long An</t>
  </si>
  <si>
    <t>3603414447</t>
  </si>
  <si>
    <t xml:space="preserve">Công ty TNHH thiết bị công nghiệp Tâm Minh Anh                                                                                                                                                     </t>
  </si>
  <si>
    <t xml:space="preserve">249/25 tổ 5 khu Phước Hải - TT Long Thành - Long Thành - Đồng Nai                                                                                                                                 </t>
  </si>
  <si>
    <t xml:space="preserve">3603419396                    </t>
  </si>
  <si>
    <t>CÔNG TY TNHH SỢI NHẬT QUANG</t>
  </si>
  <si>
    <t xml:space="preserve"> Đường số 3, ấp Bàu Sen, Cụm Công nghiệp Phú Thạnh</t>
  </si>
  <si>
    <t>3603424678</t>
  </si>
  <si>
    <t xml:space="preserve">Công Ty TNHH Thời Trang G&amp;G Việt Nam                                                             </t>
  </si>
  <si>
    <t xml:space="preserve">Lô C, KCN Lộc An - Bình Sơn, Xã Bình Sơn, Huyện Long Thành, Đồng Nai, Vệt Nam                </t>
  </si>
  <si>
    <t>3603426065</t>
  </si>
  <si>
    <t xml:space="preserve">Công Ty TNHH THƯƠNG MạI DịCH Vụ VậN CHUYểN HƯƠNG PHáT TàI                                                                                                                                        </t>
  </si>
  <si>
    <t xml:space="preserve">Tổ 2, ấp Xóm Gốc - Long An - Long Thành - Đồng Nai                                                                                                                                                </t>
  </si>
  <si>
    <t>3603426107</t>
  </si>
  <si>
    <t>CÔNG TY TNHH ĐẦU TƯ SẢN XUẤT THƯƠNG MẠI HÙNG ĐẠI PHÁT</t>
  </si>
  <si>
    <t>Số 296A, Khu D, ấp Phước Lý</t>
  </si>
  <si>
    <t>3603438670</t>
  </si>
  <si>
    <t>CÔNG TY CỔ PHẦN CÂY XANH NHƠN TRẠCH</t>
  </si>
  <si>
    <t>(Trong khuôn viên Công ty Cổ phần Đầu tư Nhơn Trạch), Đường</t>
  </si>
  <si>
    <t xml:space="preserve">3603440687                    </t>
  </si>
  <si>
    <t>CÔNG TY TNHH HUY HOÀN TRANG</t>
  </si>
  <si>
    <t>3603441761</t>
  </si>
  <si>
    <t>CÔNG TY TNHH WAKO VIỆT NAM</t>
  </si>
  <si>
    <t>3603445533</t>
  </si>
  <si>
    <t>CÔNG TY TNHH CỬA AN GIA</t>
  </si>
  <si>
    <t>Quốc Lộ 51, tổ 39, khu Cầu Xéo</t>
  </si>
  <si>
    <t>3603453728</t>
  </si>
  <si>
    <t>CÔNG TY TNHH LOTTE CHEMICAL VIỆT NAM</t>
  </si>
  <si>
    <t>3603456415</t>
  </si>
  <si>
    <t>CÔNG TY TNHH SUNNY HOUSE VIỆT NAM</t>
  </si>
  <si>
    <t>3603457352</t>
  </si>
  <si>
    <t xml:space="preserve">Công ty TNHH Đại Tuấn Tin                                                                                                                                                                            </t>
  </si>
  <si>
    <t xml:space="preserve">Số 84/1/41, tổ 5, khu Bàu Cá - An Phước - Long Thành - Đồng Nai                                                                                                                                  </t>
  </si>
  <si>
    <t>3603459208</t>
  </si>
  <si>
    <t>CÔNG TY TNHH THƯƠNG MẠI DỊCH VỤ VẬN TẢI KHÔI NGUYÊN</t>
  </si>
  <si>
    <t>Tổ 4, Ấp Bình Lâm</t>
  </si>
  <si>
    <t>3603461736</t>
  </si>
  <si>
    <t>CÔNG TY TRÁCH NHIỆM HỮU HẠN MỘT THÀNH VIÊN MOBILE HOÀNG LONG</t>
  </si>
  <si>
    <t>Tổ 1, QL 51, ấp 2</t>
  </si>
  <si>
    <t>3603461736-002</t>
  </si>
  <si>
    <t>Chi Nhánh 1 - Công Ty Trách Nhiệm Hữu Hạn Một Thành Viên Mobile Hoàng Long</t>
  </si>
  <si>
    <t>Số 212, Quốc Lộ 51, Ấp Hiền Hòa, Xã Phước Thái, Huyện Long Thành, Đồng Nai</t>
  </si>
  <si>
    <t>3603465064</t>
  </si>
  <si>
    <t>CÔNG TY TNHH XÂY DỰNG THƯƠNG MẠI KING TAPE KỶ KHANG</t>
  </si>
  <si>
    <t>Tổ 19, khu 3, ấp 7</t>
  </si>
  <si>
    <t>3603466854</t>
  </si>
  <si>
    <t>CÔNG TY TNHH VIỆT NHẬT PHÁT</t>
  </si>
  <si>
    <t>Số 289 Hùng Vương, Kp Phước Kiểng</t>
  </si>
  <si>
    <t xml:space="preserve">3603466935                    </t>
  </si>
  <si>
    <t>CÔNG TY TNHH HẠT NHỰA HBC</t>
  </si>
  <si>
    <t>3603488992</t>
  </si>
  <si>
    <t>CÔNG TY TNHH SANWA KAKO VIỆT NAM</t>
  </si>
  <si>
    <t xml:space="preserve">3603492942                    </t>
  </si>
  <si>
    <t>CÔNG TY TNHH THƯƠNG MẠI DỊCH VỤ CÂU LẠC BỘ THÚY LAN</t>
  </si>
  <si>
    <t>Số 18, ấp Xóm Gò Bà Ký</t>
  </si>
  <si>
    <t xml:space="preserve">3603496175                    </t>
  </si>
  <si>
    <t>CÔNG TY TNHH DIA RUBBER ASIA</t>
  </si>
  <si>
    <t>Đường số 6, KCN Nhơn Trạch III- Giai Đoạn 2</t>
  </si>
  <si>
    <t xml:space="preserve">3603505912                    </t>
  </si>
  <si>
    <t>CÔNG TY TNHH ICHIOKA SEIKA VIỆT NAM</t>
  </si>
  <si>
    <t>(Trong khuôn viên CT TNHH Phát triển BĐS Daiwa House) 2-1,2,</t>
  </si>
  <si>
    <t xml:space="preserve">3603507395                    </t>
  </si>
  <si>
    <t>CÔNG TY TNHH KEMIRA (VIỆT NAM)</t>
  </si>
  <si>
    <t>Nhà Xưởng số 61, Đường số 1, Khu công nghiệp Long Thành</t>
  </si>
  <si>
    <t xml:space="preserve">3603511070                    </t>
  </si>
  <si>
    <t>CÔNG TY TNHH AICA LAMINATES VIỆT NAM</t>
  </si>
  <si>
    <t>Đường số 4, KCN Nhơn Trạch III- Giai đoạn 2</t>
  </si>
  <si>
    <t>3603512483</t>
  </si>
  <si>
    <t>Công Ty TNHH OT MOTOR VINA</t>
  </si>
  <si>
    <t>Lô Đất Số B-3.1, Phân Khu Nhơn Trạch 6b, KCN Nhơn Trạch 6, Xã Long Thọ, Huyện Nhơn Trạch, Đồng Nai</t>
  </si>
  <si>
    <t>3603514032</t>
  </si>
  <si>
    <t>Công An Xã Tam An</t>
  </si>
  <si>
    <t xml:space="preserve">3603521449                    </t>
  </si>
  <si>
    <t>CÔNG TY TNHH SUNHILL VIỆT NAM</t>
  </si>
  <si>
    <t>Nhà xưởng Vĩnh Cường 3B, đường số 05, KCN An Phước</t>
  </si>
  <si>
    <t xml:space="preserve">3603529409                    </t>
  </si>
  <si>
    <t>CÔNG TY TNHH ARCTEK</t>
  </si>
  <si>
    <t>Số 19/9A, Hẻm 32, Đường Lê Quang Định, Tổ 32, Khu Phước Hải</t>
  </si>
  <si>
    <t xml:space="preserve">3603530066                    </t>
  </si>
  <si>
    <t>CÔNG TY TNHH CƠ KHÍ HƯNG ĐẠT</t>
  </si>
  <si>
    <t>Số T44, Tổ 15, Ấp 1</t>
  </si>
  <si>
    <t xml:space="preserve">3603530570                    </t>
  </si>
  <si>
    <t>CÔNG TY TNHH KỸ THUẬT ĐIỆN PHẠM GIA HTD</t>
  </si>
  <si>
    <t>Số 69, tổ 3, ấp 3</t>
  </si>
  <si>
    <t xml:space="preserve">3603530796                    </t>
  </si>
  <si>
    <t>CÔNG TY TNHH PHÁT TRIỂN CÔNG NGHIỆP BW NHƠN TRẠCH - DỰ ÁN 2</t>
  </si>
  <si>
    <t>Đường số D3, KCN Nhơn Trạch II - Lộc Khang</t>
  </si>
  <si>
    <t xml:space="preserve">3603531077                    </t>
  </si>
  <si>
    <t>CÔNG TY TNHH DUCKSUNG VIỆT NAM</t>
  </si>
  <si>
    <t xml:space="preserve">3603542382                    </t>
  </si>
  <si>
    <t>CÔNG TY TNHH SANKO METAL VIỆT NAM</t>
  </si>
  <si>
    <t>3603543682</t>
  </si>
  <si>
    <t xml:space="preserve">CÔNG TY TNHH DICH Vụ Vệ SINH CÔNG NGHIệP TRầN ANH                                                                                                                                                 </t>
  </si>
  <si>
    <t xml:space="preserve">Tổ 15, ấp Bến Sắn, Xã Phước Thiền, Huyện Nhơn Trạch, Tỉnh Đồng Nai, Việt Nam                                                                                                                 </t>
  </si>
  <si>
    <t>3603546242</t>
  </si>
  <si>
    <t>CÔNG TY TRÁCH NHIỆM HỮU HẠN LUKTA GROUP LONG THÀNH</t>
  </si>
  <si>
    <t>Số 5, Tổ 4, Khu 13</t>
  </si>
  <si>
    <t xml:space="preserve">3603548585                    </t>
  </si>
  <si>
    <t>CÔNG TY TNHH GRN VIỆT NAM</t>
  </si>
  <si>
    <t>( Trong khuôn viên CT TNHH Phát triển BĐS Daiwa House) 1-4,</t>
  </si>
  <si>
    <t>3603549003</t>
  </si>
  <si>
    <t>CÔNG TY TNHH GIA CÔNG CƠ KHÍ XÂY DỰNG THANH THANH NHÂN</t>
  </si>
  <si>
    <t>Tổ 9, Ấp 2</t>
  </si>
  <si>
    <t xml:space="preserve">3603551080                    </t>
  </si>
  <si>
    <t>CÔNG TY TNHH KOLMAR VIỆT NAM</t>
  </si>
  <si>
    <t>Đường N2-2, KCN Long Đức</t>
  </si>
  <si>
    <t>3603558689</t>
  </si>
  <si>
    <t>CÔNG TY TNHH GIA TRƯƠNG PHÁT</t>
  </si>
  <si>
    <t>Tổ 15, Khu 13</t>
  </si>
  <si>
    <t xml:space="preserve">3603559989                    </t>
  </si>
  <si>
    <t>CÔNG TY TNHH MUNGYO VINA</t>
  </si>
  <si>
    <t>3603566866</t>
  </si>
  <si>
    <t>CÔNG TY TNHH KAWAMURA ELECTRIC VIỆT NAM</t>
  </si>
  <si>
    <t>(Trong khuôn viên Công ty TNHH phát triển BĐS DAIWA HOUSE),</t>
  </si>
  <si>
    <t xml:space="preserve">3603570277                    </t>
  </si>
  <si>
    <t>CÔNG TY TNHH PHẦN MỀM 1BYTE</t>
  </si>
  <si>
    <t>Lô B6, KDC An Phước, Ấp 5</t>
  </si>
  <si>
    <t xml:space="preserve">3603572933                    </t>
  </si>
  <si>
    <t>CÔNG TY TNHH NISSIN MEDICAL VIỆT NAM</t>
  </si>
  <si>
    <t>Đường Số 5, Khu Công Nghiệp An Phước (Trong Khuôn Viên Công</t>
  </si>
  <si>
    <t>3603580500</t>
  </si>
  <si>
    <t>CÔNG TY TNHH THƯƠNG MẠI DỊCH VỤ XUẤT NHẬP KHẨU HOÀNG MINH LONG</t>
  </si>
  <si>
    <t>1356, Quốc lộ 51, Ấp Tập Phước</t>
  </si>
  <si>
    <t>3603580638</t>
  </si>
  <si>
    <t>CÔNG TY TNHH MTV KOREA JCC VIỆT NAM</t>
  </si>
  <si>
    <t>Nhà xưởng số 59&amp;58, Đường số 1-7, KCN Long Thành</t>
  </si>
  <si>
    <t xml:space="preserve">3603580807                    </t>
  </si>
  <si>
    <t>CÔNG TY TNHH TÍN HỮU TRỌNG</t>
  </si>
  <si>
    <t>Tổ 01, Ấp Hiền Đức</t>
  </si>
  <si>
    <t xml:space="preserve">3603582307                    </t>
  </si>
  <si>
    <t>CÔNG TY TNHH VMS ENGINEERING</t>
  </si>
  <si>
    <t>Lô D, Khu Công Nghiệp Lộc An - Bình Sơn</t>
  </si>
  <si>
    <t>3603584801</t>
  </si>
  <si>
    <t>CÔNG TY TNHH ĐẦU TƯ VÀ MÔI TRƯỜNG MỘC THỦY</t>
  </si>
  <si>
    <t>Số 16A1, Ấp 2</t>
  </si>
  <si>
    <t xml:space="preserve">3603592471                    </t>
  </si>
  <si>
    <t>CÔNG TY TNHH CHEMBASE VINA</t>
  </si>
  <si>
    <t>Đường N4, Lô M, KCN Lộc An - Bình Sơn</t>
  </si>
  <si>
    <t>3603594077</t>
  </si>
  <si>
    <t>CÔNG TY TNHH DONG YANG E&amp;P HCM VINA</t>
  </si>
  <si>
    <t xml:space="preserve">3603600362                    </t>
  </si>
  <si>
    <t>CÔNG TY TNHH WU LUEN (VIỆT NAM)</t>
  </si>
  <si>
    <t>Đường N3, KCN Nhơn Trạch 6</t>
  </si>
  <si>
    <t xml:space="preserve">3603601944                    </t>
  </si>
  <si>
    <t>CÔNG TY TNHH JFK VINA</t>
  </si>
  <si>
    <t>Nhà xưởng X5, Đường số 10, KCN Nhơn Trạch 1</t>
  </si>
  <si>
    <t>3603605473</t>
  </si>
  <si>
    <t>BƯU ĐIỆN HUYỆN LONG THÀNH</t>
  </si>
  <si>
    <t>Quốc lộ 51A, Khu Phước Hải, Thị trấn Long Thành, Huyện Long Thành, Đồng Nai</t>
  </si>
  <si>
    <t xml:space="preserve">3603617704                    </t>
  </si>
  <si>
    <t>CÔNG TY TNHH XÂY LẮP ĐIỆN HÙNG VỸ</t>
  </si>
  <si>
    <t>Tổ 3, Ấp Quới Thạnh</t>
  </si>
  <si>
    <t xml:space="preserve">3603622077                    </t>
  </si>
  <si>
    <t>CÔNG TY TNHH ĐẦU TƯ PHÁT TRIỂN ĐẠI HỢP PHÁT</t>
  </si>
  <si>
    <t>Hẻm 280, Tổ 21, Khu Văn Hải</t>
  </si>
  <si>
    <t xml:space="preserve">3603624268                    </t>
  </si>
  <si>
    <t>CÔNG TY TNHH CÔNG NGHỆ ĐIỆN TỬ LINH KHOA</t>
  </si>
  <si>
    <t xml:space="preserve">3603624363                    </t>
  </si>
  <si>
    <t>CÔNG TY TNHH UB TECH VIỆT NAM</t>
  </si>
  <si>
    <t>Đường số 1, KCN NHơn Trạch 1</t>
  </si>
  <si>
    <t>3603626346</t>
  </si>
  <si>
    <t>Công Ty TNHH Năng Lượng Mới Center Việt Nam</t>
  </si>
  <si>
    <t>Nhà Xưởng Số 20,21, Đường số 3, KCN Nhơn Trạch 2 - Nhơn Phú, Xã Phú Hội, Huyện Nhơn Trạch, Đồng Nai</t>
  </si>
  <si>
    <t xml:space="preserve">3603629361                    </t>
  </si>
  <si>
    <t>CÔNG TY TNHH CHUBU ENGINEERING VIỆT NAM</t>
  </si>
  <si>
    <t xml:space="preserve">3603630543                    </t>
  </si>
  <si>
    <t>CÔNG TY TNHH SUZUSYO VIỆT NAM</t>
  </si>
  <si>
    <t xml:space="preserve">3603637161                    </t>
  </si>
  <si>
    <t>CÔNG TY TNHH VẬN TẢI LƯƠNG PHÁT ĐẠT</t>
  </si>
  <si>
    <t>Tổ 15, Ấp 1</t>
  </si>
  <si>
    <t xml:space="preserve">3603638292                    </t>
  </si>
  <si>
    <t>CÔNG TY TNHH PARKER-ASUN SEALING TECHNOLOGY (VIỆT NAM)</t>
  </si>
  <si>
    <t>Đường số 3, KCN Nhơn Trạch 6</t>
  </si>
  <si>
    <t xml:space="preserve">3603645719                    </t>
  </si>
  <si>
    <t>CÔNG TY TNHH DO SUNG MACHINERY VINA</t>
  </si>
  <si>
    <t>Nhà xưởng số 10, Đường số 5, KCN Long Thành</t>
  </si>
  <si>
    <t xml:space="preserve">3603646166                    </t>
  </si>
  <si>
    <t>CÔNG TY TNHH GUNICA VIỆT NAM</t>
  </si>
  <si>
    <t xml:space="preserve">3603646617                    </t>
  </si>
  <si>
    <t>CÔNG TY TNHH THƯƠNG MẠI DỊCH VỤ AN NGUYÊN PHÁT</t>
  </si>
  <si>
    <t>Tổ 5, ấp 5</t>
  </si>
  <si>
    <t>3603648082</t>
  </si>
  <si>
    <t>CÔNG TY TNHH PHÒNG KHÁM ĐA KHOA Y DƯỢC MIỀN ĐÔNG SÀI GÒN</t>
  </si>
  <si>
    <t>Đường Trần Phú, Tổ 18, Ấp Bến Cam</t>
  </si>
  <si>
    <t xml:space="preserve">3603659567                    </t>
  </si>
  <si>
    <t>CÔNG TY CP HOÀNG GIA PHA LÊ</t>
  </si>
  <si>
    <t>Đường số 8, KCN Nhơn Trạch II - Nhơn Phú</t>
  </si>
  <si>
    <t xml:space="preserve">3603659711                    </t>
  </si>
  <si>
    <t>CÔNG TY TNHH THƯƠNG MẠI DỊCH VỤ NGUYÊN THÀNH CÔNG</t>
  </si>
  <si>
    <t>Tổ 2, Khu Phố Phước Mỹ</t>
  </si>
  <si>
    <t xml:space="preserve">3603661132                    </t>
  </si>
  <si>
    <t>CÔNG TY TNHH SHIBA VINA</t>
  </si>
  <si>
    <t>Nhà Xưởng E1-2, KCN Boustead (BIP), Đường số 3, KCN Nhơn Trạ</t>
  </si>
  <si>
    <t>3603661365</t>
  </si>
  <si>
    <t>CÔNG TY TNHH TƯ VẤN BẤT ĐỘNG SẢN PHÚC HƯNG THỊNH</t>
  </si>
  <si>
    <t>Số 438, Tổ 15, Ấp Long Hiệu</t>
  </si>
  <si>
    <t>3603661492</t>
  </si>
  <si>
    <t>CÔNG TY TNHH HK CRANE VINA</t>
  </si>
  <si>
    <t>Tổ 2, Khu Phước hải</t>
  </si>
  <si>
    <t xml:space="preserve">3603665659                    </t>
  </si>
  <si>
    <t>CÔNG TY TNHH XUẤT NHẬP KHẨU THIÊN MINH KỲ</t>
  </si>
  <si>
    <t>Số 39, tổ 12, ấp 4</t>
  </si>
  <si>
    <t xml:space="preserve">3603666518                    </t>
  </si>
  <si>
    <t>CÔNG TY TNHH YONG FENG HARDWARE (VIỆT NAM)</t>
  </si>
  <si>
    <t>E3-6-7, Khu nhà xưởng Boustead, Đường số 3, KCN Nhơn Trạch 2</t>
  </si>
  <si>
    <t xml:space="preserve">3603669766                    </t>
  </si>
  <si>
    <t>CÔNG TY TNHH PHÒNG KHÁM ĐA KHOA TÂM BÌNH AN PHÚ HỮU</t>
  </si>
  <si>
    <t>3009, Ấp Câu Kê</t>
  </si>
  <si>
    <t>3603670377</t>
  </si>
  <si>
    <t>CÔNG TY TNHH NEEDLEWORKS PLUS</t>
  </si>
  <si>
    <t>Đường số 10, Khu Công nghiệp Nhơn Trạch 6</t>
  </si>
  <si>
    <t xml:space="preserve">3603670507                    </t>
  </si>
  <si>
    <t>CÔNG TY TNHH QUẢN LÝ TÀI SẢN DAIWA HOUSE VIỆT NAM</t>
  </si>
  <si>
    <t>Đường N3-3, KCN Long Đức</t>
  </si>
  <si>
    <t>3603672871-001</t>
  </si>
  <si>
    <t>CÔNG TY TNHH PHỤ LIỆU PHÚ CƯỜNG</t>
  </si>
  <si>
    <t>( Trong Khuôn viên Công Ty Dệt May Hoàng Long Đồng Nai), Lô A-403, A-404, Đường D2, N4, KCN Dệt may Nhơn Trạch, Thị trấn Hiệp Phước, Huyện Nhơn Trạch, Đồng Nai</t>
  </si>
  <si>
    <t xml:space="preserve">3603673057                    </t>
  </si>
  <si>
    <t>CÔNG TY TNHH POONGLIM CHEMICAL VINA</t>
  </si>
  <si>
    <t>Đường N1-2, Nhà xưởng cho thuê A-1, KCN Long Đức</t>
  </si>
  <si>
    <t>3603678009</t>
  </si>
  <si>
    <t>CÔNG TY TNHH MASTERPLAN VINA</t>
  </si>
  <si>
    <t>Phòng 410, Tòa nhà Văn phòng Khu công nghiệp Nhơn Trạch III,</t>
  </si>
  <si>
    <t xml:space="preserve">3603679820                    </t>
  </si>
  <si>
    <t>CÔNG TY TNHH CƠ ĐIỆN ROTONG VIỆT NAM</t>
  </si>
  <si>
    <t>Đường Trần Phú, KCN Nhơn Trạch III - Giai đoạn 1</t>
  </si>
  <si>
    <t xml:space="preserve">3603680801                    </t>
  </si>
  <si>
    <t>CÔNG TY TNHH RONGBAOYU (VIỆT NAM)</t>
  </si>
  <si>
    <t>Đường Nguyễn Ái Quốc, KCN Nhơn Trạch III - Giai đoạn 2</t>
  </si>
  <si>
    <t xml:space="preserve">3603682816                    </t>
  </si>
  <si>
    <t>CÔNG TY TNHH SẢN XUẤT KIM LOẠI CHÍNH XÁC REGENT VIỆT NAM</t>
  </si>
  <si>
    <t>Đường Nguyễn Ái Quốc, KCN Nhơn Trạch 3-Giai Doạn 2</t>
  </si>
  <si>
    <t xml:space="preserve">3603683376                    </t>
  </si>
  <si>
    <t>CÔNG TY TNHH ARA GAYA VINA</t>
  </si>
  <si>
    <t>Đường Số 25B, KCN Nhơn Trạch II</t>
  </si>
  <si>
    <t xml:space="preserve">3603696939                    </t>
  </si>
  <si>
    <t>CÔNG TY TNHH VIỆT NAM PROGRESS INDUSTRY</t>
  </si>
  <si>
    <t>3603698372</t>
  </si>
  <si>
    <t>CÔNG TY TNHH SẢN XUẤT THƯƠNG MẠI DỊCH VỤ CHÂU NGỌC PHÁT</t>
  </si>
  <si>
    <t xml:space="preserve">3603699009                    </t>
  </si>
  <si>
    <t>CÔNG TY TNHH TOPBAND SMART ĐỒNG NAI (VIỆT NAM)</t>
  </si>
  <si>
    <t>3603701667</t>
  </si>
  <si>
    <t>CÔNG TY CỔ PHẦN TRUYỀN THÔNG LONG THÀNH</t>
  </si>
  <si>
    <t xml:space="preserve">3603726580                    </t>
  </si>
  <si>
    <t>CÔNG TY TNHH CHANG SUNG VINA</t>
  </si>
  <si>
    <t xml:space="preserve">3603729486                    </t>
  </si>
  <si>
    <t>CÔNG TY TNHH SẢN XUẤT THƯƠNG MẠI DỊCH VỤ HIẾU HẠNH</t>
  </si>
  <si>
    <t>Tổ 16, ấp 2</t>
  </si>
  <si>
    <t>3603738603</t>
  </si>
  <si>
    <t>DOANH NGHIỆP TƯ NHÂN HOÀNG NAM PHÚ QUÝ</t>
  </si>
  <si>
    <t>Tổ 3, khu 12</t>
  </si>
  <si>
    <t>3603746435</t>
  </si>
  <si>
    <t xml:space="preserve">CÔNG TY TNHH HOME APPLIANCE CMC (VIệT NAM)                                                        </t>
  </si>
  <si>
    <t xml:space="preserve">đường Trần Phú, Khu công nghiệp Nhơn Trạch III ? Giai đoạn 1, Thị trấn Hiệp Phước, Huyện </t>
  </si>
  <si>
    <t>Thành phố Biên Hoà</t>
  </si>
  <si>
    <t>Phường Long Bình</t>
  </si>
  <si>
    <t xml:space="preserve">3603751509                    </t>
  </si>
  <si>
    <t>CÔNG TY TNHH MES JAPAN SÀI GÒN</t>
  </si>
  <si>
    <t>Đường số 6, Khu công nghiệp Nhơn Trạch III- giai đoạn 2</t>
  </si>
  <si>
    <t xml:space="preserve">3603753418                    </t>
  </si>
  <si>
    <t>CÔNG TY TNHH P&amp;F BROTHERS VIET NAM</t>
  </si>
  <si>
    <t>Lô H, Khu công nghiệp Lộc An - Bình Sơn</t>
  </si>
  <si>
    <t>3603753552</t>
  </si>
  <si>
    <t>CÔNG TY TNHH PHƯƠNG THẠNH PHÁT</t>
  </si>
  <si>
    <t>Tổ 22, ấp Trầu</t>
  </si>
  <si>
    <t xml:space="preserve">3603757677                    </t>
  </si>
  <si>
    <t>CÔNG TY CP TƯ VẤN VÀ THIẾT KẾ XÂY DỰNG D'ATELIER</t>
  </si>
  <si>
    <t>Số 133A, đường Trần Văn Ơn, tổ 10, khu 12</t>
  </si>
  <si>
    <t>3603762892</t>
  </si>
  <si>
    <t xml:space="preserve">Công Ty TNHH Kỹ Thuật LMC                                                                                                                                                                            </t>
  </si>
  <si>
    <t xml:space="preserve">Số 186 Tôn Đức Thắng, Khu Phố Phước Kiểng, Thị Trấn Hiệp Phước, Huyện Nhơn Trạch, Tỉnh Đ                                                                                                    </t>
  </si>
  <si>
    <t>3603789083</t>
  </si>
  <si>
    <t>CÔNG TY TNHH NIPPON NOTEBOOK VIỆT NAM</t>
  </si>
  <si>
    <t>3603790177</t>
  </si>
  <si>
    <t xml:space="preserve">Công Ty TNHH TM DV Thanh Minh VN                                                                                                                                                                       </t>
  </si>
  <si>
    <t xml:space="preserve">594 khu phố Phước Hiệp - Thị trấn Hiệp Phước - Huyện Nhơn Trạch - Đồng Nai                                                                                                                     </t>
  </si>
  <si>
    <t xml:space="preserve">3603790473                    </t>
  </si>
  <si>
    <t>CÔNG TY TNHH THƯƠNG MẠI DỊCH VỤ THÀNH CÔNG TOÀN PHÁT</t>
  </si>
  <si>
    <t>Tổ 5, ấp Đất Mới</t>
  </si>
  <si>
    <t>3603790628</t>
  </si>
  <si>
    <t>CÔNG TY TNHH SX-TM-DV HOÀNG HẢI YẾN</t>
  </si>
  <si>
    <t>Tổ 15, khu 3, ấp 7</t>
  </si>
  <si>
    <t xml:space="preserve">3603791290                    </t>
  </si>
  <si>
    <t>CÔNG TY TNHH CÔNG NGHỆ VÀ HỆ THỐNG NHÀ XƯỞNG</t>
  </si>
  <si>
    <t>Nhà xưởng cho thuê B-3, đường N1-2, KCN Long Đức</t>
  </si>
  <si>
    <t xml:space="preserve">3603794742                    </t>
  </si>
  <si>
    <t>CÔNG TY TNHH INL VINA</t>
  </si>
  <si>
    <t>KCN Nhơn Trạch III - Giai Đoạn 2, Thị Trấn Hiệp Phước, Huyện Nhơn Trạch, Đồng Nai</t>
  </si>
  <si>
    <t xml:space="preserve">3603796235                    </t>
  </si>
  <si>
    <t>Công TY TNHH ĐẦU TƯ THƯƠNG MẠI DỊCH VỤ AN MINH</t>
  </si>
  <si>
    <t>Lô 06A01.15, SwanBay Zone 6,Đảo Đại Phước, Ấp Phước Lý, Xã Đại Phước, Huyện Nhơn Trạch, Đồng Nai</t>
  </si>
  <si>
    <t>3603802143</t>
  </si>
  <si>
    <t xml:space="preserve">CÔNG TY TNHH HÒA LạC VIÊN                                                                       </t>
  </si>
  <si>
    <t xml:space="preserve">tổ 1, ấp 1 , Xã Tân Hiệp, Huyện Long Thành, Tỉnh Đồng Nai, Việt Nam                        </t>
  </si>
  <si>
    <t>3603802584</t>
  </si>
  <si>
    <t>Nguyễn Thanh Tú</t>
  </si>
  <si>
    <t>3603810024</t>
  </si>
  <si>
    <t xml:space="preserve">CÔNG TY TNHH THƯƠNG MạI Và DịCH Vụ XÂY DựNG THắNG THịNH                                                                                                                                          </t>
  </si>
  <si>
    <t xml:space="preserve">678/20 Đường Số 4, ấp Cát Lái, Xã Phú Hữu, Huyện Nhơn Trạch, Tỉnh Đồng Nai, Việt Nam                                                                                                        </t>
  </si>
  <si>
    <t xml:space="preserve">3603817622                    </t>
  </si>
  <si>
    <t>Công Ty TNHH Thương Mại Xây Dựng Cơ Khí Duy An Phát</t>
  </si>
  <si>
    <t>Tổ 10, Ấp Long Phú, Xã Phước Thái, Huyện Long Thành, Đồng Nai</t>
  </si>
  <si>
    <t>3603818922</t>
  </si>
  <si>
    <t>CÔNG TY TNHH NGUYỄN TRƯỜNG HẢI</t>
  </si>
  <si>
    <t>Tổ 14, Khu 13, Xã Long Đức, Huyện Long Thành, Đồng Nai</t>
  </si>
  <si>
    <t>3603836696</t>
  </si>
  <si>
    <t>CÔNG TY TNHH MTV HẬU NGHĨA PHÚC</t>
  </si>
  <si>
    <t>Số A100, Ấp Phước Lý, Xã Đại Phước, Huyện Nhơn Trạch, Đồng Nai</t>
  </si>
  <si>
    <t>3603837675</t>
  </si>
  <si>
    <t>CÔNG TY CỔ PHẦN PHÒNG KHÁM ĐA KHOA HOÀNG GIA BÌNH SƠN</t>
  </si>
  <si>
    <t>Tổ 2, Ấp 6, Xã Bình Sơn, Huyện Long Thành, Đồng Nai</t>
  </si>
  <si>
    <t>3603853733</t>
  </si>
  <si>
    <t>CÔNG TY TNHH PHÒNG KHÁM ĐA KHOA MEDICAL TÂM ĐỨC</t>
  </si>
  <si>
    <t>Tổ 4, Ấp Đoàn Kết, Xã Vĩnh Thanh, Huyện Nhơn Trạch, Đồng Nai</t>
  </si>
  <si>
    <t>3603859206</t>
  </si>
  <si>
    <t>CÔNG TY TNHH MTV IN TIẾN MINH</t>
  </si>
  <si>
    <t>Số 382/1, Khu phố Long Khánh 2, Đường Dương Diên Nghệ, Phường Tam Phước, Thành phố Biên Hòa, Đồng Nai</t>
  </si>
  <si>
    <t>Phường Tam Phước</t>
  </si>
  <si>
    <t xml:space="preserve">3603866108                    </t>
  </si>
  <si>
    <t>CÔNG TY TNHH KINH DOANH DỊCH VỤ KỸ THUẬT CÔNG NGHỆ MINH PHÁT</t>
  </si>
  <si>
    <t>518 Quốc lộ 51, Tổ 4, Ấp 3, Xã An Phước, Huyện Long Thành, Đồng Nai</t>
  </si>
  <si>
    <t>3603870337</t>
  </si>
  <si>
    <t>CÔNG TY TNHH TRANSON HCM</t>
  </si>
  <si>
    <t>Nhà Xưởng Số 48,49, Đường Số 01-07, KCN Long Thành, Xã Tam An, Huyện Long Thành, Đồng Nai</t>
  </si>
  <si>
    <t>3603876963</t>
  </si>
  <si>
    <t>Công Ty Tnhh Hyosung Đồng Nai Nylon</t>
  </si>
  <si>
    <t>Ấp 3, Xã Hiệp Phước, Huyện Nhơn Trạch, Đồng Nai</t>
  </si>
  <si>
    <t xml:space="preserve">3603877156                    </t>
  </si>
  <si>
    <t>Công Ty TNHH KASAI SEIKI VIỆT NAM</t>
  </si>
  <si>
    <t>Đường số 6, KCN Nhơn Trạch III - giai đoạn 2, Thị trấn Hiệp Phước, Huyện Nhơn Trạch, Đồng Nai</t>
  </si>
  <si>
    <t xml:space="preserve">3603879467                    </t>
  </si>
  <si>
    <t>Công Ty TNHH CHAMATEX ASIA</t>
  </si>
  <si>
    <t>Nhà Xưởng Số 41, Đường Số 10, KCN Long Thành, Xã Tam An, Huyện Long Thành, Đồng Nai</t>
  </si>
  <si>
    <t xml:space="preserve">3603880920                    </t>
  </si>
  <si>
    <t>CÔNG TY TNHH CÔNG NGHỆ CAIXIANG VIỆT NAM</t>
  </si>
  <si>
    <t>Nhà xưởng A-01, KCN Nhơn Trạch 5, Thị trấn Hiệp Phước, Huyện Nhơn Trạch, Đồng Nai</t>
  </si>
  <si>
    <t>3603881554</t>
  </si>
  <si>
    <t>CÔNG TY TNHH CƠ KHÍ THƯƠNG MẠI GIA THANH</t>
  </si>
  <si>
    <t>Tổ 25, Ấp Bến Sắn, Xã Phước Thiền, Huyện Nhơn Trạch, Đồng Nai</t>
  </si>
  <si>
    <t>3603881762</t>
  </si>
  <si>
    <t>CÔNG TY TNHH CÔNG NGHIỆP KAWAJUN VIỆT NAM</t>
  </si>
  <si>
    <t>Lô G, Đường N4, Khu Công Nghiệp Lộc An - Bình Sơn, Quốc Lộ 51, Xã Long An, Huyện Long Thành, Đồng Nai</t>
  </si>
  <si>
    <t>3603917232</t>
  </si>
  <si>
    <t>CÔNG TY TNHH VÒI CHỮA CHÁY QUẢNG CHÂU</t>
  </si>
  <si>
    <t>Tổ 5, Ấp 3, Xã Long An, Huyện Long Thành, Đồng Nai</t>
  </si>
  <si>
    <t>3603921214</t>
  </si>
  <si>
    <t>CÔNG TY TNHH MTV GARAGE Ô TÔ HẢI ĐĂNG</t>
  </si>
  <si>
    <t>Tổ 1, Ấp 01, Xã Phước Bình, Huyện Long Thành, Đồng Nai</t>
  </si>
  <si>
    <t xml:space="preserve">3603921341                    </t>
  </si>
  <si>
    <t>Công Ty Trách Nhiệm Hữu Hạn Sản Xuất Thương Mại Dịch Vụ Xuất Nhập Khẩu Thành Công Vina</t>
  </si>
  <si>
    <t>Đường số 1, KCN Nhơn Trạch 1, Xã Phú Hội, Huyện Nhơn Trạch, Đồng Nai</t>
  </si>
  <si>
    <t xml:space="preserve">3603923229                    </t>
  </si>
  <si>
    <t>CÔNG TY TNHH THƯƠNG MẠI DỊCH VỤ TRẦN GIA NHÂN</t>
  </si>
  <si>
    <t>368C, tổ 6, Ấp 1B, Xã Phước Thái, Huyện Long Thành, Đồng Nai</t>
  </si>
  <si>
    <t xml:space="preserve">3603929654                    </t>
  </si>
  <si>
    <t>CÔNG TY TNHH PHÚC ĐẠI THÀNH VINH</t>
  </si>
  <si>
    <t>Số 497, lầu 1, tổ 35, Khu Cầu Xéo, Thị trấn Long Thành, Huyện Long Thành, Đồng Nai</t>
  </si>
  <si>
    <t>3603935143</t>
  </si>
  <si>
    <t>CÔNG TY TNHH CÔNG NGHỆ MTC (VIỆT NAM)</t>
  </si>
  <si>
    <t>Đường số D3, KCN Nhơn Trạch III - giai đoạn 2, Thị trấn Hiệp Phước, Huyện Nhơn Trạch, Đồng Nai</t>
  </si>
  <si>
    <t>3603935665</t>
  </si>
  <si>
    <t>CÔNG TY TNHH SẢN XUẤT THƯƠNG MẠI VĨ THẦN</t>
  </si>
  <si>
    <t>Đường số 25C, KCN Nhơn Trạch 3, Thị trấn Hiệp Phước, Huyện Nhơn Trạch, Đồng Nai</t>
  </si>
  <si>
    <t>3650852146</t>
  </si>
  <si>
    <t xml:space="preserve">Công Ty Cổ Phần Dệt RENZE                                                                                                                                                                           </t>
  </si>
  <si>
    <t xml:space="preserve">Khu Công Nghiệp Nhơn Trạch 5, Thị Trấn Hiệp Phước, Huyện Nhơn Trạch, Tỉnh Đồng Nai, Việt N                                                                                                    </t>
  </si>
  <si>
    <t xml:space="preserve">3700626207                    </t>
  </si>
  <si>
    <t>CÔNG TY TNHH ĐỒNG SƠN</t>
  </si>
  <si>
    <t>Đường số 9, Khu Công nghiệp Nhơn Trạch II - Nhơn Phú</t>
  </si>
  <si>
    <t>3701510290</t>
  </si>
  <si>
    <t>CÔNG TY TNHH BAO BÌ CON ONG XANH</t>
  </si>
  <si>
    <t>Khu Công Nghiệp Nhơn Trạch II, Nhơn Phú</t>
  </si>
  <si>
    <t xml:space="preserve">3701642642-016                </t>
  </si>
  <si>
    <t>CÔNG TY TNHH EMIVEST FEEDMILL VIỆT NAM - CHI NHÁNH CHĂN NUÔI TẠI NHƠN TRẠCH</t>
  </si>
  <si>
    <t>Nhà Xưởng C, KCN Nhơn Trạch 5, Thị trấn Hiệp Phước, Huyện Nhơn Trạch, Đồng Nai</t>
  </si>
  <si>
    <t>3701744228</t>
  </si>
  <si>
    <t>CÔNG TY TNHH XÂY DỰNG DONGSUNG VINA</t>
  </si>
  <si>
    <t>Đường N2, KCN Nhơn Trạch 5, Thị trấn Hiệp Phước, Huyện Nhơn Trạch, Đồng Nai</t>
  </si>
  <si>
    <t>4500618017</t>
  </si>
  <si>
    <t>Công Ty TNHH MTV Năng Lượng GELEX Ninh Thuận</t>
  </si>
  <si>
    <t>Nhà Máy Cadivi, Đường 1, KCN Long Thành, Xã Tam An, Huyện Long Thành, Đồng Nai</t>
  </si>
  <si>
    <t>8035898734-001</t>
  </si>
  <si>
    <t>HỘ KINH DOANH NGUYỄN NGỌC HIỆP</t>
  </si>
  <si>
    <t>Đường N54 TĐC Lộc An - Bình Sơn, Ấp Bình Lâm, Xã Lộc An, Huyện Long Thành, Đồng Nai</t>
  </si>
  <si>
    <t>8041955123</t>
  </si>
  <si>
    <t>Mẫu Giáo Độc Lập Hoàng Thị</t>
  </si>
  <si>
    <t>Khu phố Phước Lai, Thị trấn Hiệp Phước, Huyện Nhơn Trạch, Đồng Nai</t>
  </si>
  <si>
    <t>8088923053</t>
  </si>
  <si>
    <t>QUẦY THUỐC NGỌC NHÂN</t>
  </si>
  <si>
    <t>Tổ 1, Ấp Bình Lâm, Xã Lộc An, Huyện Long Thành, Đồng Nai</t>
  </si>
  <si>
    <t>8231669314</t>
  </si>
  <si>
    <t>QUẦY THUỐC PHƯƠNG BẢO</t>
  </si>
  <si>
    <t>767/7, Hùng Vương, Tổ 4, Ấp 1, Xã Long Thọ, Huyện Nhơn Trạch, Đồng Nai</t>
  </si>
  <si>
    <t>8278184717</t>
  </si>
  <si>
    <t>HỘ KINH DOANH KHANG HƯNG PHÁT</t>
  </si>
  <si>
    <t>Tổ 04, Ấp Long Hiệu, Xã Long Tân, Huyện Nhơn Trạch, Đồng Nai</t>
  </si>
  <si>
    <t xml:space="preserve">8477250442                    </t>
  </si>
  <si>
    <t>QUẦY THUỐC MINH PHÁT</t>
  </si>
  <si>
    <t>Hẻm Ấp Văn Hóa ấp 3, Thị trấn Hiệp Phước, Huyện Nhơn Trạch, Đồng Nai</t>
  </si>
  <si>
    <t>Tổng cộng:</t>
  </si>
  <si>
    <t>CHI NHÁNH CÔNG TY TNHH KDDI VIỆT NAM TẠI THÀNH PHỐ HỒ CHÍ MINH</t>
  </si>
  <si>
    <t>nhà máy xử lí nước thải( kcn amata long thành), Khu Kim Sơn, Thị trấn Long Thành, Huyện Long Thành, Đồng Nai</t>
  </si>
  <si>
    <t>Amata Long Thành, Khu Kim Sơn, Thị trấn Long Thành, Huyện Long Thành, Đồng Nai</t>
  </si>
  <si>
    <t>Công ty Wave Crest  ,lô 12/1 đường số 1, Amata Long Thành, Khu phố Kim Sơn, Xã Long Thành, Đồng Nai</t>
  </si>
  <si>
    <t>Công Ty ZQ Tech, đường S7, Amata Long Thành, Khu phố Kim Sơn, Thị trấn Long Thành, Huyện Long Thành, Đồng Nai</t>
  </si>
  <si>
    <t>Công ty Kingclean Lô 4.2, đường số  6, Khu Kim Sơn, Thị trấn Long Thành, Huyện Long Thành, Đồng Nai</t>
  </si>
  <si>
    <t>Công ty Ánh Dương Amata Long Thành, đường N7, Khu phố Kim Sơn, Thị trấn Long Thành, Huyện Long Thành, Đồng Nai</t>
  </si>
  <si>
    <t>Công ty AZB, Amata Long Thành, Khu Kim Sơn, Thị trấn Long Thành, Huyện Long Thành, Đồng Nai</t>
  </si>
  <si>
    <t>CÔNG TY CỔ PHẦN ĐẦU TƯ XÂY DỰNG NEWTECONS</t>
  </si>
  <si>
    <t>Khu Kim Sơn, Thị trấn Long Thành, Huyện Long Thành, Đồng Nai</t>
  </si>
  <si>
    <t>Kingfa Science &amp; Technology (Vietnam)</t>
  </si>
  <si>
    <t>Lô số 9, đường N7, Khu công nghiệp công nghệ cao Long Thành, Ấp 1, Xã Long Thành, Tỉnh Đồng Nai</t>
  </si>
  <si>
    <t>CÔNG TY TNHH WAVE CREST VIỆT NAM</t>
  </si>
  <si>
    <t>Lô 12/1, đường số 1, Khu công nghiệp Công nghệ cao Long Thành, Khu phố Kim Sơn, Xã Long Thành, Đồng Nai</t>
  </si>
  <si>
    <t>CÔNG TY CỔ PHẦN VIỄN THÔNG DCNET</t>
  </si>
  <si>
    <t>DH Logistic Property Vietnam Co., Ltd., Lô I, KCN Lộc An, Thị Trấn Long Thành, Huyện Long Thành, Đồng Nai</t>
  </si>
  <si>
    <t>CÔNG TY TNHH IRON MOUNTAIN VIỆT NAM</t>
  </si>
  <si>
    <t>nhà kho Daiwahouse, Lô I, KCN Lộc An, Xã Bình Sơn, Huyện Long Thành, Đồng Nai</t>
  </si>
  <si>
    <t>Thiếu</t>
  </si>
  <si>
    <t>CÔNG TY TNHH NA WOO PRECISION ELECTRONICS</t>
  </si>
  <si>
    <t>CTY SURMAN Đường N4, KCN Lộc An, Xã Long Thành, Đồng Nai</t>
  </si>
  <si>
    <t>CÔNG TY TNHH AEP GUMI VINA</t>
  </si>
  <si>
    <t>Đường N4, KCN Lộc An- Bình Sơn, Quốc Lộ 51, Xã Long Thành, Đồng Nai</t>
  </si>
  <si>
    <t>CÔNG TY TNHH ZIONTEC VINA</t>
  </si>
  <si>
    <t>Lô L, KCN Lộc An- Bình Sơn, Xã Lộc An, Huyện Long Thành, Đồng Nai</t>
  </si>
  <si>
    <t>CÔNG TY TNHH MKS VINA</t>
  </si>
  <si>
    <t>KCN Lộc An, Xã Long Thành, Đồng Nai</t>
  </si>
  <si>
    <t>Công ty TNHH Chang Shin Việt Nam</t>
  </si>
  <si>
    <t>KCN Lộc An - Bình Sơn, xã Bình Sơn, huyện Long Thành</t>
  </si>
  <si>
    <t>Công Ty TNHH Quốc Tế Sài Gòn</t>
  </si>
  <si>
    <t>CÔNG TY TNHH LIANCHENG (VIETNAM)</t>
  </si>
  <si>
    <t>Công Ty Tnhh  Cơ Khí Hải Thao Việt Nam</t>
  </si>
  <si>
    <t>Đường N3, KCN Lộc An - Bình Sơn, Ấp Bưng Cơ, Xã Long Thành, Đồng Nai</t>
  </si>
  <si>
    <t>Công Ty TNHH DONGJIN TEXTILE Vina</t>
  </si>
  <si>
    <t>CÔNG TY TNHH LETTALL ELECTRONIC (VIỆT NAM)</t>
  </si>
  <si>
    <t>Xưởng số X5 và X6, Lô 3, đường N5,N6, KCN Lộc An, Xã Long Thành, Đồng Nai</t>
  </si>
  <si>
    <t>CÔNG TY TNHH MỘT THÀNH VIÊN KỸ THUẬT CÔNG TRÌNH KIM CHUYỀN</t>
  </si>
  <si>
    <t>Đường số 1, KCN Lộc An, Xã Long Thành, Đồng Nai</t>
  </si>
  <si>
    <t>CÔNG TY TNHH CÔNG NGHIỆP QUỐC TẾ HONGTUO (VIỆT NAM)</t>
  </si>
  <si>
    <t>dãy Kios, N1, KCN Lộc An, Ấp Bình Lâm, Xã Long Thành, Đồng Nai</t>
  </si>
  <si>
    <t>CÔNG TY TNHH XÂY DỰNG SOLUTIONS</t>
  </si>
  <si>
    <t>Lô K ( KCN LA-BS), KCN Lộc An, Xã Long Thành, Tỉnh Đồng Nai</t>
  </si>
  <si>
    <t>CÔNG TY TNHH ỨC ÂN VIỆT NAM</t>
  </si>
  <si>
    <t>Trong CHUNJIN, N4, KCN Lộc An, Xã Long Thành, Tỉnh Đồng Nai</t>
  </si>
  <si>
    <t>Lô M, KCN Lộc An, Xã Long Thành, Đồng Nai</t>
  </si>
  <si>
    <t>CÔNG TY TNHH SYNCMOLD ĐỒNG NAI</t>
  </si>
  <si>
    <t>Nhà Xưởng Thế Hệ Mới, KCN Lộc An, Xã Long Thành, Tỉnh Đồng Nai</t>
  </si>
  <si>
    <t>CÔNG TY CỔ PHẦN BAO BÌ BIÊN HÒA</t>
  </si>
  <si>
    <t>Lô K, KCN Lộc An - Bình Sơn, KCN Lộc An, Xã Long Thành, Tỉnh Đồng Nai</t>
  </si>
  <si>
    <t>Công Ty Cổ Phần Hạ Tầng Viễn Thông CMC</t>
  </si>
  <si>
    <t>Kho DSV, Lô- P, Đường N6, KCN Lộc An Bình Sơn, Ấp 1, Xã Long An, Huyện Long Thành, Đồng Nai</t>
  </si>
  <si>
    <t>NGÂN HÀNG NÔNG NGHIỆP VÀ PHÁT TRIỂN NÔNG THÔN – NAM ĐỒNG NAI - ATM CTY Cự Thành (VPRN-307100037)</t>
  </si>
  <si>
    <t>Máy ATM cổng KCN Lộc An, KCN Lộc An, Xã Bình Sơn, Huyện Long Thành, Đồng Nai</t>
  </si>
  <si>
    <t>D thu T12</t>
  </si>
  <si>
    <t>Tên công ty</t>
  </si>
  <si>
    <t>Số TT</t>
  </si>
  <si>
    <t>Địa chỉ lắp đặt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</si>
  <si>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</si>
  <si>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</si>
  <si>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</si>
  <si>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</si>
  <si>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</si>
  <si>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</si>
  <si>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</si>
  <si>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</si>
  <si>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</si>
  <si>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</si>
  <si>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</si>
  <si>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</si>
  <si>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</si>
  <si>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</si>
  <si>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</si>
  <si>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</si>
  <si>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</si>
  <si>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</si>
  <si>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</si>
  <si>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</si>
  <si>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</si>
  <si>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</si>
  <si>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</si>
  <si>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</si>
  <si>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</si>
  <si>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</si>
  <si>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</si>
  <si>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</si>
  <si>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</si>
  <si>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</si>
  <si>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</si>
  <si>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</si>
  <si>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</si>
  <si>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</si>
  <si>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</si>
  <si>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</si>
  <si>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</si>
  <si>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</si>
  <si>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</si>
  <si>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</si>
  <si>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</si>
  <si>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</si>
  <si>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</si>
  <si>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</si>
  <si>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</si>
  <si>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</si>
  <si>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</si>
  <si>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</si>
  <si>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</si>
  <si>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</si>
  <si>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</si>
  <si>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</si>
  <si>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Không còn sử dụng</t>
  </si>
  <si>
    <t xml:space="preserve"> Đường N4, KCN Lộc An, Xã Long Thành, Đồng Nai</t>
  </si>
  <si>
    <t>DANH SÁCH KHÁCH HÀNG ĐANG SỬ DỤNG  DỊCH VỤ VNPT TRONG KCN LỘC AN - BÌNH SƠN</t>
  </si>
  <si>
    <t>DANH SÁCH KHÁCH HÀNG KHÔNG CÒN SỬ DỤNG</t>
  </si>
  <si>
    <t>DT  T12.2025</t>
  </si>
  <si>
    <t>CÔNG TY TRÁCH NHIỆM HỮU HẠN MSD ANIMAL HEALTH VIỆT NAM</t>
  </si>
  <si>
    <t>Lô F, KCN Lộc An – Bình Sơn, Tỉnh lộ 769, Xã Long Thành, Đồng Nai</t>
  </si>
  <si>
    <t>Ghi chú</t>
  </si>
  <si>
    <t>Nhà máy xử lí nước thải (kcn amata long thành), Khu Kim Sơn, Thị trấn Long Thành, Huyện Long Thành, Đồng Nai</t>
  </si>
  <si>
    <t>DANH SÁCH KHÁCH HÀNG ĐANG SỬ DỤNG  DỊCH VỤ VNPT TRONG KCN GÒ DẦU</t>
  </si>
  <si>
    <t>DANH SÁCH KHÁCH HÀNG ĐANG SỬ DỤNG  DỊCH VỤ VNPT TRONG KCN AMATA - LONG THÀNH</t>
  </si>
  <si>
    <t>CÔNG TY TNHH CỔ PHẦN VEDAN</t>
  </si>
  <si>
    <t>QL51 KCN Gò Dầu, xã Phước Thái, huyện Long Thành, Đồng Nai</t>
  </si>
  <si>
    <t>DANH SÁCH KHÁCH HÀNG ĐANG SỬ DỤNG  DỊCH VỤ VNPT TRONG KCN LONG THÀNH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</si>
  <si>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</si>
  <si>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</si>
  <si>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</si>
  <si>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</si>
  <si>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</si>
  <si>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</si>
  <si>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</si>
  <si>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</si>
  <si>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</si>
  <si>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</si>
  <si>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</si>
  <si>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</si>
  <si>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</si>
  <si>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</si>
  <si>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</si>
  <si>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</si>
  <si>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</si>
  <si>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</si>
  <si>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</si>
  <si>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</si>
  <si>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</si>
  <si>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</si>
  <si>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</si>
  <si>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</si>
  <si>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</si>
  <si>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</si>
  <si>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</si>
  <si>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</si>
  <si>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</si>
  <si>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</si>
  <si>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</si>
  <si>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</si>
  <si>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</si>
  <si>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</si>
  <si>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</si>
  <si>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</si>
  <si>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</si>
  <si>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</si>
  <si>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</si>
  <si>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</si>
  <si>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</si>
  <si>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</si>
  <si>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</si>
  <si>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</si>
  <si>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</si>
  <si>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</si>
  <si>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</si>
  <si>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</si>
  <si>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</si>
  <si>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</si>
  <si>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</si>
  <si>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</si>
  <si>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</si>
  <si>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</si>
  <si>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</si>
  <si>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</si>
  <si>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</si>
  <si>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DANH SÁCH KHÁCH HÀNG DO PHÒNG ĐIỀU HÀNH KINH DOANH CUNG CẤP CƯỚC THÁNG 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</si>
</sst>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ED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Calibri"/>
      <family val="2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4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EFE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5" fillId="0" borderId="0" xfId="0" applyFont="1"/>
    <xf numFmtId="0" fontId="0" fillId="3" borderId="0" xfId="0" applyFill="1"/>
    <xf numFmtId="164" fontId="0" fillId="3" borderId="0" xfId="1" applyNumberFormat="1" applyFont="1" applyFill="1"/>
    <xf numFmtId="0" fontId="6" fillId="0" borderId="0" xfId="0" applyFont="1"/>
    <xf numFmtId="0" fontId="7" fillId="0" borderId="0" xfId="0" applyFont="1"/>
    <xf numFmtId="164" fontId="7" fillId="0" borderId="0" xfId="1" applyNumberFormat="1" applyFont="1"/>
    <xf numFmtId="0" fontId="8" fillId="0" borderId="0" xfId="0" applyFont="1"/>
    <xf numFmtId="0" fontId="8" fillId="3" borderId="0" xfId="0" applyFont="1" applyFill="1"/>
    <xf numFmtId="164" fontId="7" fillId="0" borderId="0" xfId="0" applyNumberFormat="1" applyFont="1"/>
    <xf numFmtId="0" fontId="7" fillId="2" borderId="0" xfId="0" applyFont="1" applyFill="1"/>
    <xf numFmtId="164" fontId="7" fillId="2" borderId="0" xfId="1" applyNumberFormat="1" applyFont="1" applyFill="1"/>
    <xf numFmtId="164" fontId="7" fillId="2" borderId="0" xfId="0" applyNumberFormat="1" applyFont="1" applyFill="1"/>
    <xf numFmtId="164" fontId="7" fillId="0" borderId="0" xfId="1" applyNumberFormat="1" applyFont="1" applyAlignment="1">
      <alignment horizontal="center"/>
    </xf>
    <xf numFmtId="0" fontId="3" fillId="0" borderId="1" xfId="2" applyBorder="1" applyAlignment="1">
      <alignment horizontal="left" vertical="center" wrapText="1"/>
    </xf>
    <xf numFmtId="0" fontId="0" fillId="0" borderId="1" xfId="0" applyBorder="1"/>
    <xf numFmtId="0" fontId="9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 wrapText="1"/>
    </xf>
    <xf numFmtId="0" fontId="6" fillId="2" borderId="0" xfId="0" applyFont="1" applyFill="1"/>
    <xf numFmtId="164" fontId="6" fillId="0" borderId="0" xfId="1" applyNumberFormat="1" applyFont="1"/>
    <xf numFmtId="0" fontId="2" fillId="0" borderId="1" xfId="2" applyFont="1" applyBorder="1" applyAlignment="1">
      <alignment horizontal="left" vertical="center" wrapText="1"/>
    </xf>
    <xf numFmtId="0" fontId="6" fillId="0" borderId="1" xfId="0" applyFont="1" applyBorder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right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4" fillId="0" borderId="1" xfId="0" applyFont="1" applyBorder="1"/>
    <xf numFmtId="164" fontId="14" fillId="0" borderId="1" xfId="1" applyNumberFormat="1" applyFont="1" applyBorder="1" applyAlignment="1">
      <alignment horizontal="center"/>
    </xf>
    <xf numFmtId="0" fontId="14" fillId="0" borderId="1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0" fillId="4" borderId="1" xfId="0" applyFill="1" applyBorder="1"/>
    <xf numFmtId="0" fontId="6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2" applyBorder="1" applyAlignment="1">
      <alignment horizontal="center" vertical="center" wrapText="1"/>
    </xf>
    <xf numFmtId="3" fontId="3" fillId="0" borderId="1" xfId="2" applyNumberFormat="1" applyBorder="1" applyAlignment="1">
      <alignment horizontal="right" vertical="center" wrapText="1"/>
    </xf>
    <xf numFmtId="164" fontId="0" fillId="0" borderId="1" xfId="1" applyNumberFormat="1" applyFont="1" applyBorder="1"/>
    <xf numFmtId="0" fontId="3" fillId="3" borderId="1" xfId="2" applyFill="1" applyBorder="1" applyAlignment="1">
      <alignment horizontal="left" vertical="center" wrapText="1"/>
    </xf>
    <xf numFmtId="0" fontId="3" fillId="0" borderId="1" xfId="2" applyBorder="1" applyAlignment="1">
      <alignment vertical="center" wrapText="1"/>
    </xf>
    <xf numFmtId="0" fontId="1" fillId="0" borderId="1" xfId="2" applyFont="1" applyBorder="1" applyAlignment="1">
      <alignment vertical="center" wrapText="1"/>
    </xf>
    <xf numFmtId="0" fontId="0" fillId="3" borderId="1" xfId="0" applyFill="1" applyBorder="1"/>
    <xf numFmtId="164" fontId="0" fillId="3" borderId="1" xfId="1" applyNumberFormat="1" applyFont="1" applyFill="1" applyBorder="1"/>
    <xf numFmtId="0" fontId="12" fillId="0" borderId="1" xfId="2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EA6C573-8128-462E-A778-6C4B70F53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38"/>
  <sheetViews>
    <sheetView workbookViewId="0">
      <selection activeCell="BE9" sqref="BE9"/>
    </sheetView>
  </sheetViews>
  <sheetFormatPr defaultRowHeight="14.4" x14ac:dyDescent="0.3"/>
  <cols>
    <col min="1" max="1" width="15.6640625" customWidth="1"/>
    <col min="2" max="4" width="8.88671875" hidden="1" customWidth="1"/>
    <col min="5" max="5" width="11.21875" hidden="1" customWidth="1"/>
    <col min="6" max="54" width="8.88671875" hidden="1" customWidth="1"/>
    <col min="55" max="55" width="11.6640625" style="1" customWidth="1"/>
    <col min="57" max="57" width="84.33203125" customWidth="1"/>
    <col min="58" max="58" width="73.77734375" customWidth="1"/>
    <col min="59" max="59" width="15.33203125" hidden="1" customWidth="1"/>
    <col min="60" max="60" width="20.109375" hidden="1" customWidth="1"/>
    <col min="61" max="72" width="0" hidden="1" customWidth="1"/>
  </cols>
  <sheetData>
    <row r="1" spans="1:73" ht="20.399999999999999" x14ac:dyDescent="0.35">
      <c r="A1" s="49" t="s">
        <v>6165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</row>
    <row r="3" spans="1:7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s="1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</row>
    <row r="4" spans="1:73" x14ac:dyDescent="0.3">
      <c r="A4" t="s">
        <v>73</v>
      </c>
      <c r="B4">
        <v>0</v>
      </c>
      <c r="C4">
        <v>0</v>
      </c>
      <c r="D4">
        <v>1</v>
      </c>
      <c r="E4">
        <v>246857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 s="1">
        <v>246857</v>
      </c>
      <c r="BD4" t="s">
        <v>74</v>
      </c>
      <c r="BE4" t="s">
        <v>75</v>
      </c>
      <c r="BF4" t="s">
        <v>76</v>
      </c>
      <c r="BH4" t="s">
        <v>77</v>
      </c>
      <c r="BI4" t="s">
        <v>78</v>
      </c>
      <c r="BJ4" t="s">
        <v>79</v>
      </c>
      <c r="BM4">
        <v>0</v>
      </c>
      <c r="BN4">
        <v>1</v>
      </c>
      <c r="BO4">
        <v>1</v>
      </c>
      <c r="BP4" t="s">
        <v>80</v>
      </c>
      <c r="BR4">
        <v>0</v>
      </c>
      <c r="BS4">
        <v>6</v>
      </c>
      <c r="BU4">
        <v>246857</v>
      </c>
    </row>
    <row r="5" spans="1:73" x14ac:dyDescent="0.3">
      <c r="A5" t="s">
        <v>81</v>
      </c>
      <c r="B5">
        <v>0</v>
      </c>
      <c r="C5">
        <v>0</v>
      </c>
      <c r="D5">
        <v>1</v>
      </c>
      <c r="E5">
        <v>411428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 s="1">
        <v>411428</v>
      </c>
      <c r="BD5" t="s">
        <v>74</v>
      </c>
      <c r="BE5" t="s">
        <v>82</v>
      </c>
      <c r="BF5" t="s">
        <v>83</v>
      </c>
      <c r="BH5" t="s">
        <v>77</v>
      </c>
      <c r="BI5" t="s">
        <v>84</v>
      </c>
      <c r="BJ5" t="s">
        <v>79</v>
      </c>
      <c r="BM5">
        <v>0</v>
      </c>
      <c r="BN5">
        <v>1</v>
      </c>
      <c r="BO5">
        <v>1</v>
      </c>
      <c r="BP5" t="s">
        <v>80</v>
      </c>
      <c r="BR5">
        <v>0</v>
      </c>
      <c r="BS5">
        <v>6</v>
      </c>
      <c r="BU5">
        <v>411428</v>
      </c>
    </row>
    <row r="6" spans="1:73" x14ac:dyDescent="0.3">
      <c r="A6" t="s">
        <v>85</v>
      </c>
      <c r="B6">
        <v>0</v>
      </c>
      <c r="C6">
        <v>0</v>
      </c>
      <c r="D6">
        <v>1</v>
      </c>
      <c r="E6">
        <v>428571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 s="1">
        <v>428571</v>
      </c>
      <c r="BD6" t="s">
        <v>74</v>
      </c>
      <c r="BE6" t="s">
        <v>86</v>
      </c>
      <c r="BF6" t="s">
        <v>87</v>
      </c>
      <c r="BH6" t="s">
        <v>77</v>
      </c>
      <c r="BI6" t="s">
        <v>88</v>
      </c>
      <c r="BJ6" t="s">
        <v>79</v>
      </c>
      <c r="BM6">
        <v>0</v>
      </c>
      <c r="BN6">
        <v>1</v>
      </c>
      <c r="BO6">
        <v>1</v>
      </c>
      <c r="BP6" t="s">
        <v>80</v>
      </c>
      <c r="BR6">
        <v>0</v>
      </c>
      <c r="BS6">
        <v>6</v>
      </c>
      <c r="BU6">
        <v>428571</v>
      </c>
    </row>
    <row r="7" spans="1:73" x14ac:dyDescent="0.3">
      <c r="A7" t="s">
        <v>89</v>
      </c>
      <c r="B7">
        <v>0</v>
      </c>
      <c r="C7">
        <v>0</v>
      </c>
      <c r="D7">
        <v>1</v>
      </c>
      <c r="E7">
        <v>546000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 s="1">
        <v>1092000</v>
      </c>
      <c r="BD7" t="s">
        <v>74</v>
      </c>
      <c r="BE7" t="s">
        <v>90</v>
      </c>
      <c r="BF7" t="s">
        <v>91</v>
      </c>
      <c r="BH7" t="s">
        <v>77</v>
      </c>
      <c r="BI7" t="s">
        <v>92</v>
      </c>
      <c r="BJ7" t="s">
        <v>79</v>
      </c>
      <c r="BM7">
        <v>0</v>
      </c>
      <c r="BN7">
        <v>1</v>
      </c>
      <c r="BO7">
        <v>1</v>
      </c>
      <c r="BP7" t="s">
        <v>80</v>
      </c>
      <c r="BR7">
        <v>0</v>
      </c>
      <c r="BS7">
        <v>6</v>
      </c>
      <c r="BU7">
        <v>546000</v>
      </c>
    </row>
    <row r="8" spans="1:73" x14ac:dyDescent="0.3">
      <c r="A8" t="s">
        <v>108</v>
      </c>
      <c r="B8">
        <v>0</v>
      </c>
      <c r="C8">
        <v>0</v>
      </c>
      <c r="D8">
        <v>29</v>
      </c>
      <c r="E8">
        <v>5624755</v>
      </c>
      <c r="F8">
        <v>0</v>
      </c>
      <c r="G8">
        <v>0</v>
      </c>
      <c r="H8">
        <v>57</v>
      </c>
      <c r="I8">
        <v>1489775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60000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82993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57208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75</v>
      </c>
      <c r="BC8" s="1">
        <v>12564425</v>
      </c>
      <c r="BD8" t="s">
        <v>74</v>
      </c>
      <c r="BE8" t="s">
        <v>109</v>
      </c>
      <c r="BF8" t="s">
        <v>110</v>
      </c>
      <c r="BH8" t="s">
        <v>97</v>
      </c>
      <c r="BI8" t="s">
        <v>98</v>
      </c>
      <c r="BJ8" t="s">
        <v>79</v>
      </c>
      <c r="BM8">
        <v>2</v>
      </c>
      <c r="BN8">
        <v>3</v>
      </c>
      <c r="BO8">
        <v>5</v>
      </c>
      <c r="BP8" t="s">
        <v>99</v>
      </c>
      <c r="BR8">
        <v>0</v>
      </c>
      <c r="BS8">
        <v>5</v>
      </c>
      <c r="BU8">
        <v>7314731</v>
      </c>
    </row>
    <row r="9" spans="1:73" x14ac:dyDescent="0.3">
      <c r="A9" t="s">
        <v>111</v>
      </c>
      <c r="B9">
        <v>0</v>
      </c>
      <c r="C9">
        <v>0</v>
      </c>
      <c r="D9">
        <v>2</v>
      </c>
      <c r="E9">
        <v>962857</v>
      </c>
      <c r="F9">
        <v>0</v>
      </c>
      <c r="G9">
        <v>0</v>
      </c>
      <c r="H9">
        <v>3</v>
      </c>
      <c r="I9">
        <v>65174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</v>
      </c>
      <c r="BC9" s="1">
        <v>1028031</v>
      </c>
      <c r="BD9" t="s">
        <v>74</v>
      </c>
      <c r="BE9" t="s">
        <v>112</v>
      </c>
      <c r="BF9" t="s">
        <v>113</v>
      </c>
      <c r="BH9" t="s">
        <v>114</v>
      </c>
      <c r="BI9" t="s">
        <v>115</v>
      </c>
      <c r="BJ9" t="s">
        <v>79</v>
      </c>
      <c r="BM9">
        <v>0</v>
      </c>
      <c r="BN9">
        <v>2</v>
      </c>
      <c r="BO9">
        <v>2</v>
      </c>
      <c r="BP9" t="s">
        <v>99</v>
      </c>
      <c r="BR9">
        <v>0</v>
      </c>
      <c r="BS9">
        <v>6</v>
      </c>
      <c r="BU9">
        <v>1028031</v>
      </c>
    </row>
    <row r="10" spans="1:73" x14ac:dyDescent="0.3">
      <c r="A10" t="s">
        <v>126</v>
      </c>
      <c r="B10">
        <v>0</v>
      </c>
      <c r="C10">
        <v>0</v>
      </c>
      <c r="D10">
        <v>1</v>
      </c>
      <c r="E10">
        <v>270000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 s="1">
        <v>270000</v>
      </c>
      <c r="BD10" t="s">
        <v>74</v>
      </c>
      <c r="BE10" t="s">
        <v>127</v>
      </c>
      <c r="BF10" t="s">
        <v>128</v>
      </c>
      <c r="BH10" t="s">
        <v>77</v>
      </c>
      <c r="BI10" t="s">
        <v>129</v>
      </c>
      <c r="BJ10" t="s">
        <v>79</v>
      </c>
      <c r="BM10">
        <v>0</v>
      </c>
      <c r="BN10">
        <v>1</v>
      </c>
      <c r="BO10">
        <v>1</v>
      </c>
      <c r="BP10" t="s">
        <v>80</v>
      </c>
      <c r="BR10">
        <v>0</v>
      </c>
      <c r="BS10">
        <v>6</v>
      </c>
      <c r="BU10">
        <v>270000</v>
      </c>
    </row>
    <row r="11" spans="1:73" x14ac:dyDescent="0.3">
      <c r="A11" t="s">
        <v>130</v>
      </c>
      <c r="B11">
        <v>0</v>
      </c>
      <c r="C11">
        <v>0</v>
      </c>
      <c r="D11">
        <v>1</v>
      </c>
      <c r="E11">
        <v>720000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 s="1">
        <v>720000</v>
      </c>
      <c r="BD11" t="s">
        <v>74</v>
      </c>
      <c r="BE11" t="s">
        <v>131</v>
      </c>
      <c r="BF11" t="s">
        <v>132</v>
      </c>
      <c r="BH11" t="s">
        <v>77</v>
      </c>
      <c r="BI11" t="s">
        <v>88</v>
      </c>
      <c r="BJ11" t="s">
        <v>79</v>
      </c>
      <c r="BM11">
        <v>0</v>
      </c>
      <c r="BN11">
        <v>1</v>
      </c>
      <c r="BO11">
        <v>1</v>
      </c>
      <c r="BP11" t="s">
        <v>80</v>
      </c>
      <c r="BR11">
        <v>0</v>
      </c>
      <c r="BS11">
        <v>6</v>
      </c>
      <c r="BU11">
        <v>720000</v>
      </c>
    </row>
    <row r="12" spans="1:73" x14ac:dyDescent="0.3">
      <c r="A12" t="s">
        <v>133</v>
      </c>
      <c r="B12">
        <v>0</v>
      </c>
      <c r="C12">
        <v>0</v>
      </c>
      <c r="D12">
        <v>3</v>
      </c>
      <c r="E12">
        <v>705600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</v>
      </c>
      <c r="BC12" s="1">
        <v>1276800</v>
      </c>
      <c r="BD12" t="s">
        <v>74</v>
      </c>
      <c r="BE12" t="s">
        <v>134</v>
      </c>
      <c r="BF12" t="s">
        <v>135</v>
      </c>
      <c r="BH12" t="s">
        <v>136</v>
      </c>
      <c r="BI12" t="s">
        <v>137</v>
      </c>
      <c r="BJ12" t="s">
        <v>125</v>
      </c>
      <c r="BM12">
        <v>0</v>
      </c>
      <c r="BN12">
        <v>1</v>
      </c>
      <c r="BO12">
        <v>1</v>
      </c>
      <c r="BP12" t="s">
        <v>80</v>
      </c>
      <c r="BR12">
        <v>0</v>
      </c>
      <c r="BS12">
        <v>6</v>
      </c>
      <c r="BU12">
        <v>705600</v>
      </c>
    </row>
    <row r="13" spans="1:73" x14ac:dyDescent="0.3">
      <c r="A13" t="s">
        <v>148</v>
      </c>
      <c r="B13">
        <v>0</v>
      </c>
      <c r="C13">
        <v>0</v>
      </c>
      <c r="D13">
        <v>1</v>
      </c>
      <c r="E13">
        <v>400000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 s="1">
        <v>400000</v>
      </c>
      <c r="BD13" t="s">
        <v>74</v>
      </c>
      <c r="BE13" t="s">
        <v>149</v>
      </c>
      <c r="BF13" t="s">
        <v>150</v>
      </c>
      <c r="BH13" t="s">
        <v>77</v>
      </c>
      <c r="BI13" t="s">
        <v>88</v>
      </c>
      <c r="BJ13" t="s">
        <v>79</v>
      </c>
      <c r="BM13">
        <v>0</v>
      </c>
      <c r="BN13">
        <v>1</v>
      </c>
      <c r="BO13">
        <v>1</v>
      </c>
      <c r="BP13" t="s">
        <v>80</v>
      </c>
      <c r="BR13">
        <v>0</v>
      </c>
      <c r="BS13">
        <v>6</v>
      </c>
      <c r="BU13">
        <v>400000</v>
      </c>
    </row>
    <row r="14" spans="1:73" x14ac:dyDescent="0.3">
      <c r="A14" t="s">
        <v>151</v>
      </c>
      <c r="B14">
        <v>0</v>
      </c>
      <c r="C14">
        <v>0</v>
      </c>
      <c r="D14">
        <v>1</v>
      </c>
      <c r="E14">
        <v>28496</v>
      </c>
      <c r="F14">
        <v>0</v>
      </c>
      <c r="G14">
        <v>0</v>
      </c>
      <c r="H14">
        <v>4</v>
      </c>
      <c r="I14">
        <v>96992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5</v>
      </c>
      <c r="BC14" s="1">
        <v>496992</v>
      </c>
      <c r="BD14" t="s">
        <v>74</v>
      </c>
      <c r="BE14" t="s">
        <v>152</v>
      </c>
      <c r="BF14" t="s">
        <v>153</v>
      </c>
      <c r="BH14" t="s">
        <v>77</v>
      </c>
      <c r="BI14" t="s">
        <v>88</v>
      </c>
      <c r="BJ14" t="s">
        <v>79</v>
      </c>
      <c r="BM14">
        <v>0</v>
      </c>
      <c r="BN14">
        <v>2</v>
      </c>
      <c r="BO14">
        <v>2</v>
      </c>
      <c r="BP14" t="s">
        <v>80</v>
      </c>
      <c r="BR14">
        <v>0</v>
      </c>
      <c r="BS14">
        <v>6</v>
      </c>
      <c r="BU14">
        <v>125488</v>
      </c>
    </row>
    <row r="15" spans="1:73" x14ac:dyDescent="0.3">
      <c r="A15" t="s">
        <v>161</v>
      </c>
      <c r="B15">
        <v>0</v>
      </c>
      <c r="C15">
        <v>0</v>
      </c>
      <c r="D15">
        <v>2</v>
      </c>
      <c r="E15">
        <v>300000</v>
      </c>
      <c r="F15">
        <v>0</v>
      </c>
      <c r="G15">
        <v>0</v>
      </c>
      <c r="H15">
        <v>13</v>
      </c>
      <c r="I15">
        <v>180000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15</v>
      </c>
      <c r="BC15" s="1">
        <v>480000</v>
      </c>
      <c r="BD15" t="s">
        <v>74</v>
      </c>
      <c r="BE15" t="s">
        <v>162</v>
      </c>
      <c r="BF15" t="s">
        <v>163</v>
      </c>
      <c r="BH15" t="s">
        <v>164</v>
      </c>
      <c r="BI15" t="s">
        <v>165</v>
      </c>
      <c r="BJ15" t="s">
        <v>79</v>
      </c>
      <c r="BM15">
        <v>0</v>
      </c>
      <c r="BN15">
        <v>2</v>
      </c>
      <c r="BO15">
        <v>2</v>
      </c>
      <c r="BP15" t="s">
        <v>99</v>
      </c>
      <c r="BR15">
        <v>0</v>
      </c>
      <c r="BS15">
        <v>6</v>
      </c>
      <c r="BU15">
        <v>480000</v>
      </c>
    </row>
    <row r="16" spans="1:73" x14ac:dyDescent="0.3">
      <c r="A16" t="s">
        <v>166</v>
      </c>
      <c r="B16">
        <v>1</v>
      </c>
      <c r="C16">
        <v>474545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73535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 s="1">
        <v>548080</v>
      </c>
      <c r="BD16" t="s">
        <v>74</v>
      </c>
      <c r="BE16" t="s">
        <v>167</v>
      </c>
      <c r="BF16" t="s">
        <v>168</v>
      </c>
      <c r="BH16" t="s">
        <v>77</v>
      </c>
      <c r="BI16" t="s">
        <v>129</v>
      </c>
      <c r="BJ16" t="s">
        <v>79</v>
      </c>
      <c r="BM16">
        <v>1</v>
      </c>
      <c r="BN16">
        <v>1</v>
      </c>
      <c r="BO16">
        <v>2</v>
      </c>
      <c r="BP16" t="s">
        <v>80</v>
      </c>
      <c r="BR16">
        <v>0</v>
      </c>
      <c r="BS16">
        <v>6</v>
      </c>
      <c r="BU16">
        <v>548080</v>
      </c>
    </row>
    <row r="17" spans="1:73" x14ac:dyDescent="0.3">
      <c r="A17" t="s">
        <v>172</v>
      </c>
      <c r="B17">
        <v>0</v>
      </c>
      <c r="C17">
        <v>0</v>
      </c>
      <c r="D17">
        <v>1</v>
      </c>
      <c r="E17">
        <v>1350000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</v>
      </c>
      <c r="BC17" s="1">
        <v>2700000</v>
      </c>
      <c r="BD17" t="s">
        <v>74</v>
      </c>
      <c r="BE17" t="s">
        <v>173</v>
      </c>
      <c r="BF17" t="s">
        <v>174</v>
      </c>
      <c r="BH17" t="s">
        <v>175</v>
      </c>
      <c r="BI17" t="s">
        <v>176</v>
      </c>
      <c r="BJ17" t="s">
        <v>125</v>
      </c>
      <c r="BM17">
        <v>0</v>
      </c>
      <c r="BN17">
        <v>1</v>
      </c>
      <c r="BO17">
        <v>1</v>
      </c>
      <c r="BP17" t="s">
        <v>80</v>
      </c>
      <c r="BR17">
        <v>0</v>
      </c>
      <c r="BS17">
        <v>6</v>
      </c>
      <c r="BU17">
        <v>1350000</v>
      </c>
    </row>
    <row r="18" spans="1:73" x14ac:dyDescent="0.3">
      <c r="A18" t="s">
        <v>177</v>
      </c>
      <c r="B18">
        <v>0</v>
      </c>
      <c r="C18">
        <v>0</v>
      </c>
      <c r="D18">
        <v>1</v>
      </c>
      <c r="E18">
        <v>462857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 s="1">
        <v>925714</v>
      </c>
      <c r="BD18" t="s">
        <v>74</v>
      </c>
      <c r="BE18" t="s">
        <v>178</v>
      </c>
      <c r="BF18" t="s">
        <v>179</v>
      </c>
      <c r="BH18" t="s">
        <v>77</v>
      </c>
      <c r="BI18" t="s">
        <v>88</v>
      </c>
      <c r="BJ18" t="s">
        <v>79</v>
      </c>
      <c r="BM18">
        <v>0</v>
      </c>
      <c r="BN18">
        <v>1</v>
      </c>
      <c r="BO18">
        <v>1</v>
      </c>
      <c r="BP18" t="s">
        <v>80</v>
      </c>
      <c r="BR18">
        <v>0</v>
      </c>
      <c r="BS18">
        <v>6</v>
      </c>
      <c r="BU18">
        <v>462857</v>
      </c>
    </row>
    <row r="19" spans="1:73" x14ac:dyDescent="0.3">
      <c r="A19" t="s">
        <v>180</v>
      </c>
      <c r="B19">
        <v>1</v>
      </c>
      <c r="C19">
        <v>254568</v>
      </c>
      <c r="D19">
        <v>6</v>
      </c>
      <c r="E19">
        <v>2985914</v>
      </c>
      <c r="F19">
        <v>0</v>
      </c>
      <c r="G19">
        <v>0</v>
      </c>
      <c r="H19">
        <v>15</v>
      </c>
      <c r="I19">
        <v>300400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23</v>
      </c>
      <c r="BC19" s="1">
        <v>6484981</v>
      </c>
      <c r="BD19" t="s">
        <v>74</v>
      </c>
      <c r="BE19" t="s">
        <v>181</v>
      </c>
      <c r="BF19" t="s">
        <v>174</v>
      </c>
      <c r="BH19" t="s">
        <v>175</v>
      </c>
      <c r="BI19" t="s">
        <v>176</v>
      </c>
      <c r="BJ19" t="s">
        <v>125</v>
      </c>
      <c r="BM19">
        <v>0</v>
      </c>
      <c r="BN19">
        <v>3</v>
      </c>
      <c r="BO19">
        <v>3</v>
      </c>
      <c r="BP19" t="s">
        <v>99</v>
      </c>
      <c r="BR19">
        <v>0</v>
      </c>
      <c r="BS19">
        <v>6</v>
      </c>
      <c r="BU19">
        <v>3540882</v>
      </c>
    </row>
    <row r="20" spans="1:73" x14ac:dyDescent="0.3">
      <c r="A20" t="s">
        <v>188</v>
      </c>
      <c r="B20">
        <v>0</v>
      </c>
      <c r="C20">
        <v>0</v>
      </c>
      <c r="D20">
        <v>2</v>
      </c>
      <c r="E20">
        <v>290000</v>
      </c>
      <c r="F20">
        <v>0</v>
      </c>
      <c r="G20">
        <v>0</v>
      </c>
      <c r="H20">
        <v>2</v>
      </c>
      <c r="I20">
        <v>40000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</v>
      </c>
      <c r="BC20" s="1">
        <v>580000</v>
      </c>
      <c r="BD20" t="s">
        <v>74</v>
      </c>
      <c r="BE20" t="s">
        <v>189</v>
      </c>
      <c r="BF20" t="s">
        <v>190</v>
      </c>
      <c r="BH20" t="s">
        <v>136</v>
      </c>
      <c r="BI20" t="s">
        <v>191</v>
      </c>
      <c r="BJ20" t="s">
        <v>125</v>
      </c>
      <c r="BM20">
        <v>0</v>
      </c>
      <c r="BN20">
        <v>2</v>
      </c>
      <c r="BO20">
        <v>2</v>
      </c>
      <c r="BP20" t="s">
        <v>80</v>
      </c>
      <c r="BR20">
        <v>0</v>
      </c>
      <c r="BS20">
        <v>6</v>
      </c>
      <c r="BU20">
        <v>330000</v>
      </c>
    </row>
    <row r="21" spans="1:73" x14ac:dyDescent="0.3">
      <c r="A21" t="s">
        <v>201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268548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</v>
      </c>
      <c r="BC21" s="1">
        <v>268548</v>
      </c>
      <c r="BD21" t="s">
        <v>74</v>
      </c>
      <c r="BE21" t="s">
        <v>202</v>
      </c>
      <c r="BF21" t="s">
        <v>203</v>
      </c>
      <c r="BH21" t="s">
        <v>77</v>
      </c>
      <c r="BI21" t="s">
        <v>204</v>
      </c>
      <c r="BJ21" t="s">
        <v>79</v>
      </c>
      <c r="BM21">
        <v>0</v>
      </c>
      <c r="BN21">
        <v>1</v>
      </c>
      <c r="BO21">
        <v>1</v>
      </c>
      <c r="BP21" t="s">
        <v>99</v>
      </c>
      <c r="BR21">
        <v>0</v>
      </c>
      <c r="BS21">
        <v>6</v>
      </c>
      <c r="BU21">
        <v>268548</v>
      </c>
    </row>
    <row r="22" spans="1:73" x14ac:dyDescent="0.3">
      <c r="A22" t="s">
        <v>209</v>
      </c>
      <c r="B22">
        <v>0</v>
      </c>
      <c r="C22">
        <v>0</v>
      </c>
      <c r="D22">
        <v>2</v>
      </c>
      <c r="E22">
        <v>700000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</v>
      </c>
      <c r="BC22" s="1">
        <v>1400000</v>
      </c>
      <c r="BD22" t="s">
        <v>74</v>
      </c>
      <c r="BE22" t="s">
        <v>210</v>
      </c>
      <c r="BF22" t="s">
        <v>211</v>
      </c>
      <c r="BH22" t="s">
        <v>77</v>
      </c>
      <c r="BI22" t="s">
        <v>84</v>
      </c>
      <c r="BJ22" t="s">
        <v>79</v>
      </c>
      <c r="BM22">
        <v>0</v>
      </c>
      <c r="BN22">
        <v>1</v>
      </c>
      <c r="BO22">
        <v>1</v>
      </c>
      <c r="BP22" t="s">
        <v>80</v>
      </c>
      <c r="BR22">
        <v>0</v>
      </c>
      <c r="BS22">
        <v>6</v>
      </c>
      <c r="BU22">
        <v>700000</v>
      </c>
    </row>
    <row r="23" spans="1:73" x14ac:dyDescent="0.3">
      <c r="A23" t="s">
        <v>212</v>
      </c>
      <c r="B23">
        <v>1</v>
      </c>
      <c r="C23">
        <v>54273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 s="1">
        <v>54273</v>
      </c>
      <c r="BD23" t="s">
        <v>74</v>
      </c>
      <c r="BE23" t="s">
        <v>213</v>
      </c>
      <c r="BF23" t="s">
        <v>214</v>
      </c>
      <c r="BM23">
        <v>0</v>
      </c>
      <c r="BN23">
        <v>1</v>
      </c>
      <c r="BO23">
        <v>1</v>
      </c>
      <c r="BP23" t="s">
        <v>80</v>
      </c>
      <c r="BR23">
        <v>0</v>
      </c>
      <c r="BS23">
        <v>6</v>
      </c>
      <c r="BU23">
        <v>54273</v>
      </c>
    </row>
    <row r="24" spans="1:73" x14ac:dyDescent="0.3">
      <c r="A24" t="s">
        <v>218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20000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 s="1">
        <v>20000</v>
      </c>
      <c r="BD24" t="s">
        <v>74</v>
      </c>
      <c r="BE24" t="s">
        <v>219</v>
      </c>
      <c r="BF24" t="s">
        <v>220</v>
      </c>
      <c r="BH24" t="s">
        <v>114</v>
      </c>
      <c r="BI24" t="s">
        <v>221</v>
      </c>
      <c r="BJ24" t="s">
        <v>79</v>
      </c>
      <c r="BM24">
        <v>0</v>
      </c>
      <c r="BN24">
        <v>1</v>
      </c>
      <c r="BO24">
        <v>1</v>
      </c>
      <c r="BP24" t="s">
        <v>99</v>
      </c>
      <c r="BR24">
        <v>0</v>
      </c>
      <c r="BS24">
        <v>6</v>
      </c>
      <c r="BU24">
        <v>20000</v>
      </c>
    </row>
    <row r="25" spans="1:73" x14ac:dyDescent="0.3">
      <c r="A25" t="s">
        <v>222</v>
      </c>
      <c r="B25">
        <v>0</v>
      </c>
      <c r="C25">
        <v>0</v>
      </c>
      <c r="D25">
        <v>1</v>
      </c>
      <c r="E25">
        <v>668000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 s="1">
        <v>668000</v>
      </c>
      <c r="BD25" t="s">
        <v>74</v>
      </c>
      <c r="BE25" t="s">
        <v>223</v>
      </c>
      <c r="BF25" t="s">
        <v>224</v>
      </c>
      <c r="BH25" t="s">
        <v>77</v>
      </c>
      <c r="BI25" t="s">
        <v>129</v>
      </c>
      <c r="BJ25" t="s">
        <v>79</v>
      </c>
      <c r="BM25">
        <v>0</v>
      </c>
      <c r="BN25">
        <v>1</v>
      </c>
      <c r="BO25">
        <v>1</v>
      </c>
      <c r="BP25" t="s">
        <v>80</v>
      </c>
      <c r="BR25">
        <v>0</v>
      </c>
      <c r="BS25">
        <v>6</v>
      </c>
      <c r="BU25">
        <v>668000</v>
      </c>
    </row>
    <row r="26" spans="1:73" x14ac:dyDescent="0.3">
      <c r="A26" t="s">
        <v>225</v>
      </c>
      <c r="B26">
        <v>0</v>
      </c>
      <c r="C26">
        <v>0</v>
      </c>
      <c r="D26">
        <v>1</v>
      </c>
      <c r="E26">
        <v>192000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 s="1">
        <v>192000</v>
      </c>
      <c r="BD26" t="s">
        <v>74</v>
      </c>
      <c r="BE26" t="s">
        <v>226</v>
      </c>
      <c r="BF26" t="s">
        <v>227</v>
      </c>
      <c r="BH26" t="s">
        <v>77</v>
      </c>
      <c r="BI26" t="s">
        <v>228</v>
      </c>
      <c r="BJ26" t="s">
        <v>79</v>
      </c>
      <c r="BM26">
        <v>0</v>
      </c>
      <c r="BN26">
        <v>1</v>
      </c>
      <c r="BO26">
        <v>1</v>
      </c>
      <c r="BP26" t="s">
        <v>80</v>
      </c>
      <c r="BR26">
        <v>0</v>
      </c>
      <c r="BS26">
        <v>6</v>
      </c>
      <c r="BU26">
        <v>192000</v>
      </c>
    </row>
    <row r="27" spans="1:73" x14ac:dyDescent="0.3">
      <c r="A27" t="s">
        <v>233</v>
      </c>
      <c r="B27">
        <v>0</v>
      </c>
      <c r="C27">
        <v>0</v>
      </c>
      <c r="D27">
        <v>34</v>
      </c>
      <c r="E27" s="1">
        <v>29490088</v>
      </c>
      <c r="F27">
        <v>0</v>
      </c>
      <c r="G27">
        <v>0</v>
      </c>
      <c r="H27">
        <v>54</v>
      </c>
      <c r="I27">
        <v>1572806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85</v>
      </c>
      <c r="BC27" s="1">
        <v>47038324</v>
      </c>
      <c r="BD27" t="s">
        <v>74</v>
      </c>
      <c r="BE27" t="s">
        <v>234</v>
      </c>
      <c r="BF27" t="s">
        <v>235</v>
      </c>
      <c r="BH27" t="s">
        <v>77</v>
      </c>
      <c r="BI27" t="s">
        <v>129</v>
      </c>
      <c r="BJ27" t="s">
        <v>79</v>
      </c>
      <c r="BM27">
        <v>0</v>
      </c>
      <c r="BN27">
        <v>2</v>
      </c>
      <c r="BO27">
        <v>2</v>
      </c>
      <c r="BP27" t="s">
        <v>80</v>
      </c>
      <c r="BR27">
        <v>0</v>
      </c>
      <c r="BS27">
        <v>3</v>
      </c>
      <c r="BU27">
        <v>31062894</v>
      </c>
    </row>
    <row r="28" spans="1:73" x14ac:dyDescent="0.3">
      <c r="A28" t="s">
        <v>236</v>
      </c>
      <c r="B28">
        <v>0</v>
      </c>
      <c r="C28">
        <v>0</v>
      </c>
      <c r="D28">
        <v>1</v>
      </c>
      <c r="E28">
        <v>468000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 s="1">
        <v>468000</v>
      </c>
      <c r="BD28" t="s">
        <v>74</v>
      </c>
      <c r="BE28" t="s">
        <v>237</v>
      </c>
      <c r="BF28" t="s">
        <v>238</v>
      </c>
      <c r="BH28" t="s">
        <v>77</v>
      </c>
      <c r="BI28" t="s">
        <v>92</v>
      </c>
      <c r="BJ28" t="s">
        <v>79</v>
      </c>
      <c r="BM28">
        <v>0</v>
      </c>
      <c r="BN28">
        <v>1</v>
      </c>
      <c r="BO28">
        <v>1</v>
      </c>
      <c r="BP28" t="s">
        <v>80</v>
      </c>
      <c r="BR28">
        <v>0</v>
      </c>
      <c r="BS28">
        <v>6</v>
      </c>
      <c r="BU28">
        <v>468000</v>
      </c>
    </row>
    <row r="29" spans="1:73" x14ac:dyDescent="0.3">
      <c r="A29" t="s">
        <v>243</v>
      </c>
      <c r="B29">
        <v>0</v>
      </c>
      <c r="C29">
        <v>0</v>
      </c>
      <c r="D29">
        <v>2</v>
      </c>
      <c r="E29">
        <v>59197</v>
      </c>
      <c r="F29">
        <v>0</v>
      </c>
      <c r="G29">
        <v>0</v>
      </c>
      <c r="H29">
        <v>3</v>
      </c>
      <c r="I29">
        <v>79197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</v>
      </c>
      <c r="BC29" s="1">
        <v>1543197</v>
      </c>
      <c r="BD29" t="s">
        <v>74</v>
      </c>
      <c r="BE29" t="s">
        <v>244</v>
      </c>
      <c r="BF29" t="s">
        <v>245</v>
      </c>
      <c r="BH29" t="s">
        <v>77</v>
      </c>
      <c r="BI29" t="s">
        <v>129</v>
      </c>
      <c r="BJ29" t="s">
        <v>79</v>
      </c>
      <c r="BM29">
        <v>0</v>
      </c>
      <c r="BN29">
        <v>2</v>
      </c>
      <c r="BO29">
        <v>2</v>
      </c>
      <c r="BP29" t="s">
        <v>80</v>
      </c>
      <c r="BR29">
        <v>0</v>
      </c>
      <c r="BS29">
        <v>6</v>
      </c>
      <c r="BU29">
        <v>138394</v>
      </c>
    </row>
    <row r="30" spans="1:73" x14ac:dyDescent="0.3">
      <c r="A30" t="s">
        <v>249</v>
      </c>
      <c r="B30">
        <v>0</v>
      </c>
      <c r="C30">
        <v>0</v>
      </c>
      <c r="D30">
        <v>1</v>
      </c>
      <c r="E30">
        <v>120910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 s="1">
        <v>120910</v>
      </c>
      <c r="BD30" t="s">
        <v>74</v>
      </c>
      <c r="BE30" t="s">
        <v>250</v>
      </c>
      <c r="BF30" t="s">
        <v>251</v>
      </c>
      <c r="BH30" t="s">
        <v>77</v>
      </c>
      <c r="BI30" t="s">
        <v>84</v>
      </c>
      <c r="BJ30" t="s">
        <v>79</v>
      </c>
      <c r="BM30">
        <v>0</v>
      </c>
      <c r="BN30">
        <v>1</v>
      </c>
      <c r="BO30">
        <v>1</v>
      </c>
      <c r="BP30" t="s">
        <v>80</v>
      </c>
      <c r="BR30">
        <v>0</v>
      </c>
      <c r="BS30">
        <v>6</v>
      </c>
      <c r="BU30">
        <v>120910</v>
      </c>
    </row>
    <row r="31" spans="1:73" x14ac:dyDescent="0.3">
      <c r="A31" t="s">
        <v>252</v>
      </c>
      <c r="B31">
        <v>0</v>
      </c>
      <c r="C31">
        <v>0</v>
      </c>
      <c r="D31">
        <v>1</v>
      </c>
      <c r="E31">
        <v>184000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 s="1">
        <v>368000</v>
      </c>
      <c r="BD31" t="s">
        <v>74</v>
      </c>
      <c r="BE31" t="s">
        <v>253</v>
      </c>
      <c r="BF31" t="s">
        <v>254</v>
      </c>
      <c r="BH31" t="s">
        <v>175</v>
      </c>
      <c r="BI31" t="s">
        <v>255</v>
      </c>
      <c r="BJ31" t="s">
        <v>125</v>
      </c>
      <c r="BM31">
        <v>0</v>
      </c>
      <c r="BN31">
        <v>1</v>
      </c>
      <c r="BO31">
        <v>1</v>
      </c>
      <c r="BP31" t="s">
        <v>80</v>
      </c>
      <c r="BR31">
        <v>0</v>
      </c>
      <c r="BS31">
        <v>6</v>
      </c>
      <c r="BU31">
        <v>184000</v>
      </c>
    </row>
    <row r="32" spans="1:73" x14ac:dyDescent="0.3">
      <c r="A32" t="s">
        <v>256</v>
      </c>
      <c r="B32">
        <v>0</v>
      </c>
      <c r="C32">
        <v>0</v>
      </c>
      <c r="D32">
        <v>1</v>
      </c>
      <c r="E32">
        <v>1800000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 s="1">
        <v>1800000</v>
      </c>
      <c r="BD32" t="s">
        <v>74</v>
      </c>
      <c r="BE32" t="s">
        <v>257</v>
      </c>
      <c r="BF32" t="s">
        <v>258</v>
      </c>
      <c r="BH32" t="s">
        <v>77</v>
      </c>
      <c r="BI32" t="s">
        <v>88</v>
      </c>
      <c r="BJ32" t="s">
        <v>79</v>
      </c>
      <c r="BM32">
        <v>0</v>
      </c>
      <c r="BN32">
        <v>1</v>
      </c>
      <c r="BO32">
        <v>1</v>
      </c>
      <c r="BP32" t="s">
        <v>80</v>
      </c>
      <c r="BR32">
        <v>0</v>
      </c>
      <c r="BS32">
        <v>6</v>
      </c>
      <c r="BU32">
        <v>1800000</v>
      </c>
    </row>
    <row r="33" spans="1:73" x14ac:dyDescent="0.3">
      <c r="A33" t="s">
        <v>259</v>
      </c>
      <c r="B33">
        <v>0</v>
      </c>
      <c r="C33">
        <v>0</v>
      </c>
      <c r="D33">
        <v>1</v>
      </c>
      <c r="E33">
        <v>384000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</v>
      </c>
      <c r="BC33" s="1">
        <v>1637629</v>
      </c>
      <c r="BD33" t="s">
        <v>74</v>
      </c>
      <c r="BE33" t="s">
        <v>260</v>
      </c>
      <c r="BF33" t="s">
        <v>261</v>
      </c>
      <c r="BH33" t="s">
        <v>175</v>
      </c>
      <c r="BI33" t="s">
        <v>176</v>
      </c>
      <c r="BJ33" t="s">
        <v>125</v>
      </c>
      <c r="BM33">
        <v>0</v>
      </c>
      <c r="BN33">
        <v>1</v>
      </c>
      <c r="BO33">
        <v>1</v>
      </c>
      <c r="BP33" t="s">
        <v>80</v>
      </c>
      <c r="BR33">
        <v>0</v>
      </c>
      <c r="BS33">
        <v>6</v>
      </c>
      <c r="BU33">
        <v>384000</v>
      </c>
    </row>
    <row r="34" spans="1:73" x14ac:dyDescent="0.3">
      <c r="A34" t="s">
        <v>266</v>
      </c>
      <c r="B34">
        <v>0</v>
      </c>
      <c r="C34">
        <v>0</v>
      </c>
      <c r="D34">
        <v>1</v>
      </c>
      <c r="E34">
        <v>260000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</v>
      </c>
      <c r="BC34" s="1">
        <v>520000</v>
      </c>
      <c r="BD34" t="s">
        <v>74</v>
      </c>
      <c r="BE34" t="s">
        <v>267</v>
      </c>
      <c r="BF34" t="s">
        <v>268</v>
      </c>
      <c r="BH34" t="s">
        <v>77</v>
      </c>
      <c r="BI34" t="s">
        <v>84</v>
      </c>
      <c r="BJ34" t="s">
        <v>79</v>
      </c>
      <c r="BM34">
        <v>0</v>
      </c>
      <c r="BN34">
        <v>1</v>
      </c>
      <c r="BO34">
        <v>1</v>
      </c>
      <c r="BP34" t="s">
        <v>80</v>
      </c>
      <c r="BR34">
        <v>0</v>
      </c>
      <c r="BS34">
        <v>6</v>
      </c>
      <c r="BU34">
        <v>260000</v>
      </c>
    </row>
    <row r="35" spans="1:73" x14ac:dyDescent="0.3">
      <c r="A35" t="s">
        <v>278</v>
      </c>
      <c r="B35">
        <v>0</v>
      </c>
      <c r="C35">
        <v>0</v>
      </c>
      <c r="D35">
        <v>1</v>
      </c>
      <c r="E35">
        <v>350000</v>
      </c>
      <c r="F35">
        <v>0</v>
      </c>
      <c r="G35">
        <v>0</v>
      </c>
      <c r="H35">
        <v>2</v>
      </c>
      <c r="I35">
        <v>40000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</v>
      </c>
      <c r="BC35" s="1">
        <v>390000</v>
      </c>
      <c r="BD35" t="s">
        <v>74</v>
      </c>
      <c r="BE35" t="s">
        <v>279</v>
      </c>
      <c r="BF35" t="s">
        <v>280</v>
      </c>
      <c r="BH35" t="s">
        <v>77</v>
      </c>
      <c r="BI35" t="s">
        <v>281</v>
      </c>
      <c r="BJ35" t="s">
        <v>79</v>
      </c>
      <c r="BM35">
        <v>0</v>
      </c>
      <c r="BN35">
        <v>2</v>
      </c>
      <c r="BO35">
        <v>2</v>
      </c>
      <c r="BP35" t="s">
        <v>80</v>
      </c>
      <c r="BR35">
        <v>0</v>
      </c>
      <c r="BS35">
        <v>6</v>
      </c>
      <c r="BU35">
        <v>390000</v>
      </c>
    </row>
    <row r="36" spans="1:73" x14ac:dyDescent="0.3">
      <c r="A36" t="s">
        <v>282</v>
      </c>
      <c r="B36">
        <v>0</v>
      </c>
      <c r="C36">
        <v>0</v>
      </c>
      <c r="D36">
        <v>1</v>
      </c>
      <c r="E36">
        <v>327273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 s="1">
        <v>755844</v>
      </c>
      <c r="BD36" t="s">
        <v>74</v>
      </c>
      <c r="BE36" t="s">
        <v>283</v>
      </c>
      <c r="BF36" t="s">
        <v>284</v>
      </c>
      <c r="BH36" t="s">
        <v>77</v>
      </c>
      <c r="BI36" t="s">
        <v>84</v>
      </c>
      <c r="BJ36" t="s">
        <v>79</v>
      </c>
      <c r="BM36">
        <v>0</v>
      </c>
      <c r="BN36">
        <v>1</v>
      </c>
      <c r="BO36">
        <v>1</v>
      </c>
      <c r="BP36" t="s">
        <v>80</v>
      </c>
      <c r="BR36">
        <v>0</v>
      </c>
      <c r="BS36">
        <v>6</v>
      </c>
      <c r="BU36">
        <v>327273</v>
      </c>
    </row>
    <row r="37" spans="1:73" x14ac:dyDescent="0.3">
      <c r="A37" t="s">
        <v>292</v>
      </c>
      <c r="B37">
        <v>0</v>
      </c>
      <c r="C37">
        <v>1615854</v>
      </c>
      <c r="D37">
        <v>6</v>
      </c>
      <c r="E37">
        <v>4442328</v>
      </c>
      <c r="F37">
        <v>1</v>
      </c>
      <c r="G37">
        <v>1283400</v>
      </c>
      <c r="H37">
        <v>18</v>
      </c>
      <c r="I37">
        <v>652311</v>
      </c>
      <c r="J37">
        <v>0</v>
      </c>
      <c r="K37">
        <v>0</v>
      </c>
      <c r="L37">
        <v>0</v>
      </c>
      <c r="M37">
        <v>0</v>
      </c>
      <c r="N37">
        <v>1</v>
      </c>
      <c r="O37">
        <v>1283400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33</v>
      </c>
      <c r="BC37" s="1">
        <v>14486421</v>
      </c>
      <c r="BD37" t="s">
        <v>74</v>
      </c>
      <c r="BE37" t="s">
        <v>293</v>
      </c>
      <c r="BF37" t="s">
        <v>294</v>
      </c>
      <c r="BH37" t="s">
        <v>77</v>
      </c>
      <c r="BI37" t="s">
        <v>84</v>
      </c>
      <c r="BJ37" t="s">
        <v>79</v>
      </c>
      <c r="BM37">
        <v>0</v>
      </c>
      <c r="BN37">
        <v>4</v>
      </c>
      <c r="BO37">
        <v>4</v>
      </c>
      <c r="BP37" t="s">
        <v>80</v>
      </c>
      <c r="BR37">
        <v>0</v>
      </c>
      <c r="BS37">
        <v>5</v>
      </c>
      <c r="BU37">
        <v>9277293</v>
      </c>
    </row>
    <row r="38" spans="1:73" x14ac:dyDescent="0.3">
      <c r="A38" t="s">
        <v>302</v>
      </c>
      <c r="B38">
        <v>0</v>
      </c>
      <c r="C38">
        <v>0</v>
      </c>
      <c r="D38">
        <v>1</v>
      </c>
      <c r="E38">
        <v>700000</v>
      </c>
      <c r="F38">
        <v>0</v>
      </c>
      <c r="G38">
        <v>0</v>
      </c>
      <c r="H38">
        <v>6</v>
      </c>
      <c r="I38">
        <v>120000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59255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27713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13</v>
      </c>
      <c r="BC38" s="1">
        <v>2452364</v>
      </c>
      <c r="BD38" t="s">
        <v>74</v>
      </c>
      <c r="BE38" t="s">
        <v>303</v>
      </c>
      <c r="BF38" t="s">
        <v>304</v>
      </c>
      <c r="BH38" t="s">
        <v>77</v>
      </c>
      <c r="BI38" t="s">
        <v>129</v>
      </c>
      <c r="BJ38" t="s">
        <v>79</v>
      </c>
      <c r="BM38">
        <v>2</v>
      </c>
      <c r="BN38">
        <v>2</v>
      </c>
      <c r="BO38">
        <v>4</v>
      </c>
      <c r="BP38" t="s">
        <v>80</v>
      </c>
      <c r="BR38">
        <v>0</v>
      </c>
      <c r="BS38">
        <v>6</v>
      </c>
      <c r="BU38">
        <v>906968</v>
      </c>
    </row>
    <row r="39" spans="1:73" x14ac:dyDescent="0.3">
      <c r="A39" t="s">
        <v>305</v>
      </c>
      <c r="B39">
        <v>0</v>
      </c>
      <c r="C39">
        <v>0</v>
      </c>
      <c r="D39">
        <v>1</v>
      </c>
      <c r="E39">
        <v>240000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36111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</v>
      </c>
      <c r="BC39" s="1">
        <v>516111</v>
      </c>
      <c r="BD39" t="s">
        <v>74</v>
      </c>
      <c r="BE39" t="s">
        <v>306</v>
      </c>
      <c r="BF39" t="s">
        <v>307</v>
      </c>
      <c r="BH39" t="s">
        <v>77</v>
      </c>
      <c r="BI39" t="s">
        <v>228</v>
      </c>
      <c r="BJ39" t="s">
        <v>79</v>
      </c>
      <c r="BM39">
        <v>1</v>
      </c>
      <c r="BN39">
        <v>1</v>
      </c>
      <c r="BO39">
        <v>2</v>
      </c>
      <c r="BP39" t="s">
        <v>80</v>
      </c>
      <c r="BR39">
        <v>0</v>
      </c>
      <c r="BS39">
        <v>6</v>
      </c>
      <c r="BU39">
        <v>276111</v>
      </c>
    </row>
    <row r="40" spans="1:73" x14ac:dyDescent="0.3">
      <c r="A40" t="s">
        <v>326</v>
      </c>
      <c r="B40">
        <v>0</v>
      </c>
      <c r="C40">
        <v>0</v>
      </c>
      <c r="D40">
        <v>7</v>
      </c>
      <c r="E40">
        <v>1366871</v>
      </c>
      <c r="F40">
        <v>0</v>
      </c>
      <c r="G40">
        <v>0</v>
      </c>
      <c r="H40">
        <v>6</v>
      </c>
      <c r="I40">
        <v>215028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13</v>
      </c>
      <c r="BC40" s="1">
        <v>2728385</v>
      </c>
      <c r="BD40" t="s">
        <v>74</v>
      </c>
      <c r="BE40" t="s">
        <v>327</v>
      </c>
      <c r="BF40" t="s">
        <v>328</v>
      </c>
      <c r="BH40" t="s">
        <v>77</v>
      </c>
      <c r="BI40" t="s">
        <v>329</v>
      </c>
      <c r="BJ40" t="s">
        <v>79</v>
      </c>
      <c r="BM40">
        <v>0</v>
      </c>
      <c r="BN40">
        <v>2</v>
      </c>
      <c r="BO40">
        <v>2</v>
      </c>
      <c r="BP40" t="s">
        <v>80</v>
      </c>
      <c r="BR40">
        <v>0</v>
      </c>
      <c r="BS40">
        <v>6</v>
      </c>
      <c r="BU40">
        <v>1581899</v>
      </c>
    </row>
    <row r="41" spans="1:73" x14ac:dyDescent="0.3">
      <c r="A41" t="s">
        <v>330</v>
      </c>
      <c r="B41">
        <v>0</v>
      </c>
      <c r="C41">
        <v>0</v>
      </c>
      <c r="D41">
        <v>1</v>
      </c>
      <c r="E41">
        <v>246857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 s="1">
        <v>493714</v>
      </c>
      <c r="BD41" t="s">
        <v>74</v>
      </c>
      <c r="BE41" t="s">
        <v>331</v>
      </c>
      <c r="BF41" t="s">
        <v>332</v>
      </c>
      <c r="BH41" t="s">
        <v>136</v>
      </c>
      <c r="BI41" t="s">
        <v>333</v>
      </c>
      <c r="BJ41" t="s">
        <v>125</v>
      </c>
      <c r="BM41">
        <v>0</v>
      </c>
      <c r="BN41">
        <v>1</v>
      </c>
      <c r="BO41">
        <v>1</v>
      </c>
      <c r="BP41" t="s">
        <v>80</v>
      </c>
      <c r="BR41">
        <v>0</v>
      </c>
      <c r="BS41">
        <v>6</v>
      </c>
      <c r="BU41">
        <v>246857</v>
      </c>
    </row>
    <row r="42" spans="1:73" x14ac:dyDescent="0.3">
      <c r="A42" t="s">
        <v>334</v>
      </c>
      <c r="B42">
        <v>0</v>
      </c>
      <c r="C42">
        <v>0</v>
      </c>
      <c r="D42">
        <v>1</v>
      </c>
      <c r="E42">
        <v>168000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 s="1">
        <v>168000</v>
      </c>
      <c r="BD42" t="s">
        <v>74</v>
      </c>
      <c r="BE42" t="s">
        <v>335</v>
      </c>
      <c r="BF42" t="s">
        <v>336</v>
      </c>
      <c r="BH42" t="s">
        <v>77</v>
      </c>
      <c r="BI42" t="s">
        <v>204</v>
      </c>
      <c r="BJ42" t="s">
        <v>79</v>
      </c>
      <c r="BM42">
        <v>0</v>
      </c>
      <c r="BN42">
        <v>1</v>
      </c>
      <c r="BO42">
        <v>1</v>
      </c>
      <c r="BP42" t="s">
        <v>80</v>
      </c>
      <c r="BR42">
        <v>0</v>
      </c>
      <c r="BS42">
        <v>6</v>
      </c>
      <c r="BU42">
        <v>168000</v>
      </c>
    </row>
    <row r="43" spans="1:73" x14ac:dyDescent="0.3">
      <c r="A43" t="s">
        <v>346</v>
      </c>
      <c r="B43">
        <v>0</v>
      </c>
      <c r="C43">
        <v>0</v>
      </c>
      <c r="D43">
        <v>1</v>
      </c>
      <c r="E43">
        <v>540000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 s="1">
        <v>2005715</v>
      </c>
      <c r="BD43" t="s">
        <v>74</v>
      </c>
      <c r="BE43" t="s">
        <v>347</v>
      </c>
      <c r="BF43" t="s">
        <v>348</v>
      </c>
      <c r="BH43" t="s">
        <v>97</v>
      </c>
      <c r="BI43" t="s">
        <v>265</v>
      </c>
      <c r="BJ43" t="s">
        <v>79</v>
      </c>
      <c r="BM43">
        <v>0</v>
      </c>
      <c r="BN43">
        <v>1</v>
      </c>
      <c r="BO43">
        <v>1</v>
      </c>
      <c r="BP43" t="s">
        <v>80</v>
      </c>
      <c r="BR43">
        <v>0</v>
      </c>
      <c r="BS43">
        <v>6</v>
      </c>
      <c r="BU43">
        <v>540000</v>
      </c>
    </row>
    <row r="44" spans="1:73" x14ac:dyDescent="0.3">
      <c r="A44" t="s">
        <v>359</v>
      </c>
      <c r="B44">
        <v>0</v>
      </c>
      <c r="C44">
        <v>0</v>
      </c>
      <c r="D44">
        <v>2</v>
      </c>
      <c r="E44">
        <v>338533</v>
      </c>
      <c r="F44">
        <v>0</v>
      </c>
      <c r="G44">
        <v>0</v>
      </c>
      <c r="H44">
        <v>2</v>
      </c>
      <c r="I44">
        <v>137066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5</v>
      </c>
      <c r="BC44" s="1">
        <v>750601</v>
      </c>
      <c r="BD44" t="s">
        <v>74</v>
      </c>
      <c r="BE44" t="s">
        <v>360</v>
      </c>
      <c r="BF44" t="s">
        <v>361</v>
      </c>
      <c r="BH44" t="s">
        <v>136</v>
      </c>
      <c r="BI44" t="s">
        <v>191</v>
      </c>
      <c r="BJ44" t="s">
        <v>125</v>
      </c>
      <c r="BM44">
        <v>0</v>
      </c>
      <c r="BN44">
        <v>2</v>
      </c>
      <c r="BO44">
        <v>2</v>
      </c>
      <c r="BP44" t="s">
        <v>80</v>
      </c>
      <c r="BR44">
        <v>0</v>
      </c>
      <c r="BS44">
        <v>6</v>
      </c>
      <c r="BU44">
        <v>475599</v>
      </c>
    </row>
    <row r="45" spans="1:73" x14ac:dyDescent="0.3">
      <c r="A45" t="s">
        <v>362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73535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 s="1">
        <v>73535</v>
      </c>
      <c r="BD45" t="s">
        <v>74</v>
      </c>
      <c r="BE45" t="s">
        <v>363</v>
      </c>
      <c r="BF45" t="s">
        <v>364</v>
      </c>
      <c r="BH45" t="s">
        <v>77</v>
      </c>
      <c r="BI45" t="s">
        <v>281</v>
      </c>
      <c r="BJ45" t="s">
        <v>79</v>
      </c>
      <c r="BM45">
        <v>1</v>
      </c>
      <c r="BN45">
        <v>0</v>
      </c>
      <c r="BO45">
        <v>1</v>
      </c>
      <c r="BP45" t="s">
        <v>80</v>
      </c>
      <c r="BR45">
        <v>0</v>
      </c>
      <c r="BS45">
        <v>0</v>
      </c>
      <c r="BU45">
        <v>73535</v>
      </c>
    </row>
    <row r="46" spans="1:73" x14ac:dyDescent="0.3">
      <c r="A46" t="s">
        <v>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40000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</v>
      </c>
      <c r="BC46" s="1">
        <v>40000</v>
      </c>
      <c r="BD46" t="s">
        <v>74</v>
      </c>
      <c r="BE46" t="s">
        <v>369</v>
      </c>
      <c r="BF46" t="s">
        <v>370</v>
      </c>
      <c r="BH46" t="s">
        <v>77</v>
      </c>
      <c r="BI46" t="s">
        <v>78</v>
      </c>
      <c r="BJ46" t="s">
        <v>79</v>
      </c>
      <c r="BM46">
        <v>0</v>
      </c>
      <c r="BN46">
        <v>1</v>
      </c>
      <c r="BO46">
        <v>1</v>
      </c>
      <c r="BP46" t="s">
        <v>80</v>
      </c>
      <c r="BR46">
        <v>0</v>
      </c>
      <c r="BS46">
        <v>6</v>
      </c>
      <c r="BU46">
        <v>40000</v>
      </c>
    </row>
    <row r="47" spans="1:73" x14ac:dyDescent="0.3">
      <c r="A47" t="s">
        <v>377</v>
      </c>
      <c r="B47">
        <v>0</v>
      </c>
      <c r="C47">
        <v>0</v>
      </c>
      <c r="D47">
        <v>1</v>
      </c>
      <c r="E47">
        <v>192000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</v>
      </c>
      <c r="BC47" s="1">
        <v>384000</v>
      </c>
      <c r="BD47" t="s">
        <v>74</v>
      </c>
      <c r="BE47" t="s">
        <v>378</v>
      </c>
      <c r="BF47" t="s">
        <v>379</v>
      </c>
      <c r="BH47" t="s">
        <v>136</v>
      </c>
      <c r="BI47" t="s">
        <v>333</v>
      </c>
      <c r="BJ47" t="s">
        <v>125</v>
      </c>
      <c r="BM47">
        <v>0</v>
      </c>
      <c r="BN47">
        <v>1</v>
      </c>
      <c r="BO47">
        <v>1</v>
      </c>
      <c r="BP47" t="s">
        <v>80</v>
      </c>
      <c r="BR47">
        <v>0</v>
      </c>
      <c r="BS47">
        <v>6</v>
      </c>
      <c r="BU47">
        <v>192000</v>
      </c>
    </row>
    <row r="48" spans="1:73" x14ac:dyDescent="0.3">
      <c r="A48" t="s">
        <v>383</v>
      </c>
      <c r="B48">
        <v>0</v>
      </c>
      <c r="C48">
        <v>0</v>
      </c>
      <c r="D48">
        <v>1</v>
      </c>
      <c r="E48">
        <v>231428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</v>
      </c>
      <c r="BC48" s="1">
        <v>462856</v>
      </c>
      <c r="BD48" t="s">
        <v>74</v>
      </c>
      <c r="BE48" t="s">
        <v>384</v>
      </c>
      <c r="BF48" t="s">
        <v>385</v>
      </c>
      <c r="BH48" t="s">
        <v>77</v>
      </c>
      <c r="BI48" t="s">
        <v>92</v>
      </c>
      <c r="BJ48" t="s">
        <v>79</v>
      </c>
      <c r="BM48">
        <v>0</v>
      </c>
      <c r="BN48">
        <v>1</v>
      </c>
      <c r="BO48">
        <v>1</v>
      </c>
      <c r="BP48" t="s">
        <v>80</v>
      </c>
      <c r="BR48">
        <v>0</v>
      </c>
      <c r="BS48">
        <v>6</v>
      </c>
      <c r="BU48">
        <v>231428</v>
      </c>
    </row>
    <row r="49" spans="1:73" x14ac:dyDescent="0.3">
      <c r="A49" t="s">
        <v>386</v>
      </c>
      <c r="B49">
        <v>0</v>
      </c>
      <c r="C49">
        <v>0</v>
      </c>
      <c r="D49">
        <v>1</v>
      </c>
      <c r="E49">
        <v>1875000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 s="1">
        <v>1875000</v>
      </c>
      <c r="BD49" t="s">
        <v>74</v>
      </c>
      <c r="BE49" t="s">
        <v>387</v>
      </c>
      <c r="BF49" t="s">
        <v>388</v>
      </c>
      <c r="BH49" t="s">
        <v>77</v>
      </c>
      <c r="BI49" t="s">
        <v>129</v>
      </c>
      <c r="BJ49" t="s">
        <v>79</v>
      </c>
      <c r="BM49">
        <v>0</v>
      </c>
      <c r="BN49">
        <v>1</v>
      </c>
      <c r="BO49">
        <v>1</v>
      </c>
      <c r="BP49" t="s">
        <v>80</v>
      </c>
      <c r="BR49">
        <v>0</v>
      </c>
      <c r="BS49">
        <v>6</v>
      </c>
      <c r="BU49">
        <v>1875000</v>
      </c>
    </row>
    <row r="50" spans="1:73" x14ac:dyDescent="0.3">
      <c r="A50" t="s">
        <v>405</v>
      </c>
      <c r="B50">
        <v>9</v>
      </c>
      <c r="C50">
        <v>1758780</v>
      </c>
      <c r="D50">
        <v>3</v>
      </c>
      <c r="E50">
        <v>651818</v>
      </c>
      <c r="F50">
        <v>0</v>
      </c>
      <c r="G50">
        <v>0</v>
      </c>
      <c r="H50">
        <v>18</v>
      </c>
      <c r="I50">
        <v>1110755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73535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33</v>
      </c>
      <c r="BC50" s="1">
        <v>3715796</v>
      </c>
      <c r="BD50" t="s">
        <v>74</v>
      </c>
      <c r="BE50" t="s">
        <v>406</v>
      </c>
      <c r="BF50" t="s">
        <v>407</v>
      </c>
      <c r="BH50" t="s">
        <v>114</v>
      </c>
      <c r="BI50" t="s">
        <v>408</v>
      </c>
      <c r="BJ50" t="s">
        <v>79</v>
      </c>
      <c r="BM50">
        <v>1</v>
      </c>
      <c r="BN50">
        <v>3</v>
      </c>
      <c r="BO50">
        <v>4</v>
      </c>
      <c r="BP50" t="s">
        <v>99</v>
      </c>
      <c r="BR50">
        <v>0</v>
      </c>
      <c r="BS50">
        <v>6</v>
      </c>
      <c r="BU50">
        <v>3594888</v>
      </c>
    </row>
    <row r="51" spans="1:73" x14ac:dyDescent="0.3">
      <c r="A51" t="s">
        <v>412</v>
      </c>
      <c r="B51">
        <v>1</v>
      </c>
      <c r="C51">
        <v>895124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 s="1">
        <v>895124</v>
      </c>
      <c r="BD51" t="s">
        <v>74</v>
      </c>
      <c r="BE51" t="s">
        <v>413</v>
      </c>
      <c r="BF51" t="s">
        <v>414</v>
      </c>
      <c r="BM51">
        <v>0</v>
      </c>
      <c r="BN51">
        <v>1</v>
      </c>
      <c r="BO51">
        <v>1</v>
      </c>
      <c r="BP51" t="s">
        <v>80</v>
      </c>
      <c r="BR51">
        <v>0</v>
      </c>
      <c r="BS51">
        <v>6</v>
      </c>
      <c r="BU51">
        <v>895124</v>
      </c>
    </row>
    <row r="52" spans="1:73" x14ac:dyDescent="0.3">
      <c r="A52" t="s">
        <v>418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40888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</v>
      </c>
      <c r="BC52" s="1">
        <v>40888</v>
      </c>
      <c r="BD52" t="s">
        <v>74</v>
      </c>
      <c r="BE52" t="s">
        <v>419</v>
      </c>
      <c r="BF52" t="s">
        <v>420</v>
      </c>
      <c r="BH52" t="s">
        <v>77</v>
      </c>
      <c r="BI52" t="s">
        <v>88</v>
      </c>
      <c r="BJ52" t="s">
        <v>79</v>
      </c>
      <c r="BM52">
        <v>0</v>
      </c>
      <c r="BN52">
        <v>1</v>
      </c>
      <c r="BO52">
        <v>1</v>
      </c>
      <c r="BP52" t="s">
        <v>80</v>
      </c>
      <c r="BR52">
        <v>0</v>
      </c>
      <c r="BS52">
        <v>6</v>
      </c>
      <c r="BU52">
        <v>40888</v>
      </c>
    </row>
    <row r="53" spans="1:73" x14ac:dyDescent="0.3">
      <c r="A53" t="s">
        <v>421</v>
      </c>
      <c r="B53">
        <v>0</v>
      </c>
      <c r="C53">
        <v>0</v>
      </c>
      <c r="D53">
        <v>3</v>
      </c>
      <c r="E53">
        <v>245715</v>
      </c>
      <c r="F53">
        <v>0</v>
      </c>
      <c r="G53">
        <v>0</v>
      </c>
      <c r="H53">
        <v>4</v>
      </c>
      <c r="I53">
        <v>80000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6</v>
      </c>
      <c r="BC53" s="1">
        <v>491430</v>
      </c>
      <c r="BD53" t="s">
        <v>74</v>
      </c>
      <c r="BE53" t="s">
        <v>422</v>
      </c>
      <c r="BF53" t="s">
        <v>423</v>
      </c>
      <c r="BH53" t="s">
        <v>77</v>
      </c>
      <c r="BI53" t="s">
        <v>88</v>
      </c>
      <c r="BJ53" t="s">
        <v>79</v>
      </c>
      <c r="BM53">
        <v>0</v>
      </c>
      <c r="BN53">
        <v>2</v>
      </c>
      <c r="BO53">
        <v>2</v>
      </c>
      <c r="BP53" t="s">
        <v>80</v>
      </c>
      <c r="BR53">
        <v>0</v>
      </c>
      <c r="BS53">
        <v>6</v>
      </c>
      <c r="BU53">
        <v>325715</v>
      </c>
    </row>
    <row r="54" spans="1:73" x14ac:dyDescent="0.3">
      <c r="A54" t="s">
        <v>424</v>
      </c>
      <c r="B54">
        <v>0</v>
      </c>
      <c r="C54">
        <v>0</v>
      </c>
      <c r="D54">
        <v>1</v>
      </c>
      <c r="E54">
        <v>857143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</v>
      </c>
      <c r="BC54" s="1">
        <v>1714286</v>
      </c>
      <c r="BD54" t="s">
        <v>74</v>
      </c>
      <c r="BE54" t="s">
        <v>425</v>
      </c>
      <c r="BF54" t="s">
        <v>426</v>
      </c>
      <c r="BH54" t="s">
        <v>175</v>
      </c>
      <c r="BI54" t="s">
        <v>176</v>
      </c>
      <c r="BJ54" t="s">
        <v>125</v>
      </c>
      <c r="BM54">
        <v>0</v>
      </c>
      <c r="BN54">
        <v>1</v>
      </c>
      <c r="BO54">
        <v>1</v>
      </c>
      <c r="BP54" t="s">
        <v>80</v>
      </c>
      <c r="BR54">
        <v>0</v>
      </c>
      <c r="BS54">
        <v>6</v>
      </c>
      <c r="BU54">
        <v>857143</v>
      </c>
    </row>
    <row r="55" spans="1:73" x14ac:dyDescent="0.3">
      <c r="A55" t="s">
        <v>430</v>
      </c>
      <c r="B55">
        <v>0</v>
      </c>
      <c r="C55">
        <v>0</v>
      </c>
      <c r="D55">
        <v>1</v>
      </c>
      <c r="E55">
        <v>168000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</v>
      </c>
      <c r="BC55" s="1">
        <v>336000</v>
      </c>
      <c r="BD55" t="s">
        <v>74</v>
      </c>
      <c r="BE55" t="s">
        <v>431</v>
      </c>
      <c r="BF55" t="s">
        <v>432</v>
      </c>
      <c r="BH55" t="s">
        <v>77</v>
      </c>
      <c r="BI55" t="s">
        <v>204</v>
      </c>
      <c r="BJ55" t="s">
        <v>79</v>
      </c>
      <c r="BM55">
        <v>0</v>
      </c>
      <c r="BN55">
        <v>1</v>
      </c>
      <c r="BO55">
        <v>1</v>
      </c>
      <c r="BP55" t="s">
        <v>80</v>
      </c>
      <c r="BR55">
        <v>0</v>
      </c>
      <c r="BS55">
        <v>6</v>
      </c>
      <c r="BU55">
        <v>168000</v>
      </c>
    </row>
    <row r="56" spans="1:73" x14ac:dyDescent="0.3">
      <c r="A56" t="s">
        <v>436</v>
      </c>
      <c r="B56">
        <v>1</v>
      </c>
      <c r="C56">
        <v>435936</v>
      </c>
      <c r="D56">
        <v>5</v>
      </c>
      <c r="E56">
        <v>985948</v>
      </c>
      <c r="F56">
        <v>0</v>
      </c>
      <c r="G56">
        <v>0</v>
      </c>
      <c r="H56">
        <v>6</v>
      </c>
      <c r="I56">
        <v>371896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</v>
      </c>
      <c r="BC56" s="1">
        <v>2427624</v>
      </c>
      <c r="BD56" t="s">
        <v>74</v>
      </c>
      <c r="BE56" t="s">
        <v>437</v>
      </c>
      <c r="BF56" t="s">
        <v>438</v>
      </c>
      <c r="BH56" t="s">
        <v>136</v>
      </c>
      <c r="BI56" t="s">
        <v>439</v>
      </c>
      <c r="BJ56" t="s">
        <v>125</v>
      </c>
      <c r="BM56">
        <v>0</v>
      </c>
      <c r="BN56">
        <v>3</v>
      </c>
      <c r="BO56">
        <v>3</v>
      </c>
      <c r="BP56" t="s">
        <v>80</v>
      </c>
      <c r="BR56">
        <v>0</v>
      </c>
      <c r="BS56">
        <v>6</v>
      </c>
      <c r="BU56">
        <v>1793780</v>
      </c>
    </row>
    <row r="57" spans="1:73" x14ac:dyDescent="0.3">
      <c r="A57" t="s">
        <v>440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4</v>
      </c>
      <c r="I57">
        <v>80000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</v>
      </c>
      <c r="BC57" s="1">
        <v>80000</v>
      </c>
      <c r="BD57" t="s">
        <v>74</v>
      </c>
      <c r="BE57" t="s">
        <v>441</v>
      </c>
      <c r="BF57" t="s">
        <v>442</v>
      </c>
      <c r="BH57" t="s">
        <v>77</v>
      </c>
      <c r="BI57" t="s">
        <v>129</v>
      </c>
      <c r="BJ57" t="s">
        <v>79</v>
      </c>
      <c r="BM57">
        <v>0</v>
      </c>
      <c r="BN57">
        <v>1</v>
      </c>
      <c r="BO57">
        <v>1</v>
      </c>
      <c r="BP57" t="s">
        <v>80</v>
      </c>
      <c r="BR57">
        <v>0</v>
      </c>
      <c r="BS57">
        <v>6</v>
      </c>
      <c r="BU57">
        <v>80000</v>
      </c>
    </row>
    <row r="58" spans="1:73" x14ac:dyDescent="0.3">
      <c r="A58" t="s">
        <v>443</v>
      </c>
      <c r="B58">
        <v>1</v>
      </c>
      <c r="C58">
        <v>180956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 s="1">
        <v>180956</v>
      </c>
      <c r="BD58" t="s">
        <v>74</v>
      </c>
      <c r="BE58" t="s">
        <v>444</v>
      </c>
      <c r="BF58" t="s">
        <v>445</v>
      </c>
      <c r="BM58">
        <v>0</v>
      </c>
      <c r="BN58">
        <v>1</v>
      </c>
      <c r="BO58">
        <v>1</v>
      </c>
      <c r="BP58" t="s">
        <v>80</v>
      </c>
      <c r="BR58">
        <v>0</v>
      </c>
      <c r="BS58">
        <v>6</v>
      </c>
      <c r="BU58">
        <v>180956</v>
      </c>
    </row>
    <row r="59" spans="1:73" x14ac:dyDescent="0.3">
      <c r="A59" t="s">
        <v>458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20000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 s="1">
        <v>20000</v>
      </c>
      <c r="BD59" t="s">
        <v>74</v>
      </c>
      <c r="BE59" t="s">
        <v>459</v>
      </c>
      <c r="BF59" t="s">
        <v>460</v>
      </c>
      <c r="BH59" t="s">
        <v>77</v>
      </c>
      <c r="BI59" t="s">
        <v>92</v>
      </c>
      <c r="BJ59" t="s">
        <v>79</v>
      </c>
      <c r="BM59">
        <v>0</v>
      </c>
      <c r="BN59">
        <v>1</v>
      </c>
      <c r="BO59">
        <v>1</v>
      </c>
      <c r="BP59" t="s">
        <v>80</v>
      </c>
      <c r="BR59">
        <v>0</v>
      </c>
      <c r="BS59">
        <v>6</v>
      </c>
      <c r="BU59">
        <v>20000</v>
      </c>
    </row>
    <row r="60" spans="1:73" x14ac:dyDescent="0.3">
      <c r="A60" t="s">
        <v>461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47916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 s="1">
        <v>47916</v>
      </c>
      <c r="BD60" t="s">
        <v>74</v>
      </c>
      <c r="BE60" t="s">
        <v>462</v>
      </c>
      <c r="BF60" t="s">
        <v>463</v>
      </c>
      <c r="BH60" t="s">
        <v>77</v>
      </c>
      <c r="BI60" t="s">
        <v>92</v>
      </c>
      <c r="BJ60" t="s">
        <v>79</v>
      </c>
      <c r="BM60">
        <v>1</v>
      </c>
      <c r="BN60">
        <v>0</v>
      </c>
      <c r="BO60">
        <v>1</v>
      </c>
      <c r="BP60" t="s">
        <v>80</v>
      </c>
      <c r="BR60">
        <v>0</v>
      </c>
      <c r="BS60">
        <v>0</v>
      </c>
      <c r="BU60">
        <v>47916</v>
      </c>
    </row>
    <row r="61" spans="1:73" x14ac:dyDescent="0.3">
      <c r="A61" t="s">
        <v>464</v>
      </c>
      <c r="B61">
        <v>0</v>
      </c>
      <c r="C61">
        <v>68183</v>
      </c>
      <c r="D61">
        <v>1</v>
      </c>
      <c r="E61">
        <v>181818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 s="1">
        <v>250001</v>
      </c>
      <c r="BD61" t="s">
        <v>74</v>
      </c>
      <c r="BE61" t="s">
        <v>465</v>
      </c>
      <c r="BF61" t="s">
        <v>466</v>
      </c>
      <c r="BH61" t="s">
        <v>77</v>
      </c>
      <c r="BI61" t="s">
        <v>78</v>
      </c>
      <c r="BJ61" t="s">
        <v>79</v>
      </c>
      <c r="BM61">
        <v>0</v>
      </c>
      <c r="BN61">
        <v>1</v>
      </c>
      <c r="BO61">
        <v>1</v>
      </c>
      <c r="BP61" t="s">
        <v>80</v>
      </c>
      <c r="BR61">
        <v>0</v>
      </c>
      <c r="BS61">
        <v>6</v>
      </c>
      <c r="BU61">
        <v>250001</v>
      </c>
    </row>
    <row r="62" spans="1:73" x14ac:dyDescent="0.3">
      <c r="A62" t="s">
        <v>467</v>
      </c>
      <c r="B62">
        <v>0</v>
      </c>
      <c r="C62">
        <v>0</v>
      </c>
      <c r="D62">
        <v>2</v>
      </c>
      <c r="E62">
        <v>308000</v>
      </c>
      <c r="F62">
        <v>0</v>
      </c>
      <c r="G62">
        <v>0</v>
      </c>
      <c r="H62">
        <v>2</v>
      </c>
      <c r="I62">
        <v>40000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</v>
      </c>
      <c r="BC62" s="1">
        <v>616000</v>
      </c>
      <c r="BD62" t="s">
        <v>74</v>
      </c>
      <c r="BE62" t="s">
        <v>468</v>
      </c>
      <c r="BF62" t="s">
        <v>469</v>
      </c>
      <c r="BH62" t="s">
        <v>77</v>
      </c>
      <c r="BI62" t="s">
        <v>204</v>
      </c>
      <c r="BJ62" t="s">
        <v>79</v>
      </c>
      <c r="BM62">
        <v>0</v>
      </c>
      <c r="BN62">
        <v>2</v>
      </c>
      <c r="BO62">
        <v>2</v>
      </c>
      <c r="BP62" t="s">
        <v>80</v>
      </c>
      <c r="BR62">
        <v>0</v>
      </c>
      <c r="BS62">
        <v>6</v>
      </c>
      <c r="BU62">
        <v>348000</v>
      </c>
    </row>
    <row r="63" spans="1:73" x14ac:dyDescent="0.3">
      <c r="A63" t="s">
        <v>478</v>
      </c>
      <c r="B63">
        <v>0</v>
      </c>
      <c r="C63">
        <v>0</v>
      </c>
      <c r="D63">
        <v>4</v>
      </c>
      <c r="E63">
        <v>3240000</v>
      </c>
      <c r="F63">
        <v>0</v>
      </c>
      <c r="G63">
        <v>0</v>
      </c>
      <c r="H63">
        <v>2</v>
      </c>
      <c r="I63">
        <v>40000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9</v>
      </c>
      <c r="BC63" s="1">
        <v>7337143</v>
      </c>
      <c r="BD63" t="s">
        <v>74</v>
      </c>
      <c r="BE63" t="s">
        <v>479</v>
      </c>
      <c r="BF63" t="s">
        <v>480</v>
      </c>
      <c r="BH63" t="s">
        <v>175</v>
      </c>
      <c r="BI63" t="s">
        <v>176</v>
      </c>
      <c r="BJ63" t="s">
        <v>125</v>
      </c>
      <c r="BM63">
        <v>0</v>
      </c>
      <c r="BN63">
        <v>2</v>
      </c>
      <c r="BO63">
        <v>2</v>
      </c>
      <c r="BP63" t="s">
        <v>80</v>
      </c>
      <c r="BR63">
        <v>0</v>
      </c>
      <c r="BS63">
        <v>6</v>
      </c>
      <c r="BU63">
        <v>3280000</v>
      </c>
    </row>
    <row r="64" spans="1:73" x14ac:dyDescent="0.3">
      <c r="A64" t="s">
        <v>481</v>
      </c>
      <c r="B64">
        <v>0</v>
      </c>
      <c r="C64">
        <v>0</v>
      </c>
      <c r="D64">
        <v>1</v>
      </c>
      <c r="E64">
        <v>429091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 s="1">
        <v>429091</v>
      </c>
      <c r="BD64" t="s">
        <v>74</v>
      </c>
      <c r="BE64" t="s">
        <v>482</v>
      </c>
      <c r="BF64" t="s">
        <v>91</v>
      </c>
      <c r="BH64" t="s">
        <v>77</v>
      </c>
      <c r="BI64" t="s">
        <v>92</v>
      </c>
      <c r="BJ64" t="s">
        <v>79</v>
      </c>
      <c r="BM64">
        <v>0</v>
      </c>
      <c r="BN64">
        <v>1</v>
      </c>
      <c r="BO64">
        <v>1</v>
      </c>
      <c r="BP64" t="s">
        <v>80</v>
      </c>
      <c r="BR64">
        <v>0</v>
      </c>
      <c r="BS64">
        <v>6</v>
      </c>
      <c r="BU64">
        <v>429091</v>
      </c>
    </row>
    <row r="65" spans="1:73" x14ac:dyDescent="0.3">
      <c r="A65" t="s">
        <v>483</v>
      </c>
      <c r="B65">
        <v>0</v>
      </c>
      <c r="C65">
        <v>0</v>
      </c>
      <c r="D65">
        <v>2</v>
      </c>
      <c r="E65">
        <v>850000</v>
      </c>
      <c r="F65">
        <v>0</v>
      </c>
      <c r="G65">
        <v>0</v>
      </c>
      <c r="H65">
        <v>1</v>
      </c>
      <c r="I65">
        <v>20000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4</v>
      </c>
      <c r="BC65" s="1">
        <v>1570000</v>
      </c>
      <c r="BD65" t="s">
        <v>74</v>
      </c>
      <c r="BE65" t="s">
        <v>484</v>
      </c>
      <c r="BF65" t="s">
        <v>485</v>
      </c>
      <c r="BH65" t="s">
        <v>114</v>
      </c>
      <c r="BI65" t="s">
        <v>221</v>
      </c>
      <c r="BJ65" t="s">
        <v>79</v>
      </c>
      <c r="BM65">
        <v>0</v>
      </c>
      <c r="BN65">
        <v>2</v>
      </c>
      <c r="BO65">
        <v>2</v>
      </c>
      <c r="BP65" t="s">
        <v>80</v>
      </c>
      <c r="BR65">
        <v>0</v>
      </c>
      <c r="BS65">
        <v>6</v>
      </c>
      <c r="BU65">
        <v>870000</v>
      </c>
    </row>
    <row r="66" spans="1:73" x14ac:dyDescent="0.3">
      <c r="A66" t="s">
        <v>489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40000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</v>
      </c>
      <c r="BC66" s="1">
        <v>40000</v>
      </c>
      <c r="BD66" t="s">
        <v>74</v>
      </c>
      <c r="BE66" t="s">
        <v>490</v>
      </c>
      <c r="BF66" t="s">
        <v>491</v>
      </c>
      <c r="BH66" t="s">
        <v>77</v>
      </c>
      <c r="BI66" t="s">
        <v>204</v>
      </c>
      <c r="BJ66" t="s">
        <v>79</v>
      </c>
      <c r="BM66">
        <v>0</v>
      </c>
      <c r="BN66">
        <v>1</v>
      </c>
      <c r="BO66">
        <v>1</v>
      </c>
      <c r="BP66" t="s">
        <v>80</v>
      </c>
      <c r="BR66">
        <v>0</v>
      </c>
      <c r="BS66">
        <v>6</v>
      </c>
      <c r="BU66">
        <v>40000</v>
      </c>
    </row>
    <row r="67" spans="1:73" x14ac:dyDescent="0.3">
      <c r="A67" t="s">
        <v>492</v>
      </c>
      <c r="B67">
        <v>1</v>
      </c>
      <c r="C67">
        <v>126105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 s="1">
        <v>126105</v>
      </c>
      <c r="BD67" t="s">
        <v>74</v>
      </c>
      <c r="BE67" t="s">
        <v>493</v>
      </c>
      <c r="BF67" t="s">
        <v>494</v>
      </c>
      <c r="BH67" t="s">
        <v>77</v>
      </c>
      <c r="BI67" t="s">
        <v>228</v>
      </c>
      <c r="BJ67" t="s">
        <v>79</v>
      </c>
      <c r="BM67">
        <v>0</v>
      </c>
      <c r="BN67">
        <v>1</v>
      </c>
      <c r="BO67">
        <v>1</v>
      </c>
      <c r="BP67" t="s">
        <v>80</v>
      </c>
      <c r="BR67">
        <v>0</v>
      </c>
      <c r="BS67">
        <v>6</v>
      </c>
      <c r="BU67">
        <v>126105</v>
      </c>
    </row>
    <row r="68" spans="1:73" x14ac:dyDescent="0.3">
      <c r="A68" t="s">
        <v>495</v>
      </c>
      <c r="B68">
        <v>1</v>
      </c>
      <c r="C68">
        <v>176363</v>
      </c>
      <c r="D68">
        <v>2</v>
      </c>
      <c r="E68">
        <v>750000</v>
      </c>
      <c r="F68">
        <v>0</v>
      </c>
      <c r="G68">
        <v>0</v>
      </c>
      <c r="H68">
        <v>7</v>
      </c>
      <c r="I68">
        <v>160000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18182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45682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11526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15</v>
      </c>
      <c r="BC68" s="1">
        <v>1679935</v>
      </c>
      <c r="BD68" t="s">
        <v>74</v>
      </c>
      <c r="BE68" t="s">
        <v>496</v>
      </c>
      <c r="BF68" t="s">
        <v>497</v>
      </c>
      <c r="BH68" t="s">
        <v>77</v>
      </c>
      <c r="BI68" t="s">
        <v>228</v>
      </c>
      <c r="BJ68" t="s">
        <v>79</v>
      </c>
      <c r="BM68">
        <v>2</v>
      </c>
      <c r="BN68">
        <v>4</v>
      </c>
      <c r="BO68">
        <v>6</v>
      </c>
      <c r="BP68" t="s">
        <v>80</v>
      </c>
      <c r="BR68">
        <v>0</v>
      </c>
      <c r="BS68">
        <v>6</v>
      </c>
      <c r="BU68">
        <v>1161753</v>
      </c>
    </row>
    <row r="69" spans="1:73" x14ac:dyDescent="0.3">
      <c r="A69" t="s">
        <v>501</v>
      </c>
      <c r="B69">
        <v>1</v>
      </c>
      <c r="C69">
        <v>331371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 s="1">
        <v>331371</v>
      </c>
      <c r="BD69" t="s">
        <v>74</v>
      </c>
      <c r="BE69" t="s">
        <v>502</v>
      </c>
      <c r="BF69" t="s">
        <v>503</v>
      </c>
      <c r="BH69" t="s">
        <v>77</v>
      </c>
      <c r="BI69" t="s">
        <v>78</v>
      </c>
      <c r="BJ69" t="s">
        <v>79</v>
      </c>
      <c r="BM69">
        <v>0</v>
      </c>
      <c r="BN69">
        <v>1</v>
      </c>
      <c r="BO69">
        <v>1</v>
      </c>
      <c r="BP69" t="s">
        <v>80</v>
      </c>
      <c r="BR69">
        <v>0</v>
      </c>
      <c r="BS69">
        <v>6</v>
      </c>
      <c r="BU69">
        <v>331371</v>
      </c>
    </row>
    <row r="70" spans="1:73" x14ac:dyDescent="0.3">
      <c r="A70" t="s">
        <v>504</v>
      </c>
      <c r="B70">
        <v>0</v>
      </c>
      <c r="C70">
        <v>0</v>
      </c>
      <c r="D70">
        <v>1</v>
      </c>
      <c r="E70">
        <v>720000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</v>
      </c>
      <c r="BC70" s="1">
        <v>1440000</v>
      </c>
      <c r="BD70" t="s">
        <v>74</v>
      </c>
      <c r="BE70" t="s">
        <v>505</v>
      </c>
      <c r="BF70" t="s">
        <v>506</v>
      </c>
      <c r="BH70" t="s">
        <v>77</v>
      </c>
      <c r="BI70" t="s">
        <v>92</v>
      </c>
      <c r="BJ70" t="s">
        <v>79</v>
      </c>
      <c r="BM70">
        <v>0</v>
      </c>
      <c r="BN70">
        <v>1</v>
      </c>
      <c r="BO70">
        <v>1</v>
      </c>
      <c r="BP70" t="s">
        <v>80</v>
      </c>
      <c r="BR70">
        <v>0</v>
      </c>
      <c r="BS70">
        <v>6</v>
      </c>
      <c r="BU70">
        <v>720000</v>
      </c>
    </row>
    <row r="71" spans="1:73" x14ac:dyDescent="0.3">
      <c r="A71" t="s">
        <v>511</v>
      </c>
      <c r="B71">
        <v>1</v>
      </c>
      <c r="C71">
        <v>380029</v>
      </c>
      <c r="D71">
        <v>13</v>
      </c>
      <c r="E71">
        <v>3129692</v>
      </c>
      <c r="F71">
        <v>0</v>
      </c>
      <c r="G71">
        <v>0</v>
      </c>
      <c r="H71">
        <v>16</v>
      </c>
      <c r="I71">
        <v>342403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36</v>
      </c>
      <c r="BC71" s="1">
        <v>4861071</v>
      </c>
      <c r="BD71" t="s">
        <v>74</v>
      </c>
      <c r="BE71" t="s">
        <v>512</v>
      </c>
      <c r="BF71" t="s">
        <v>513</v>
      </c>
      <c r="BH71" t="s">
        <v>77</v>
      </c>
      <c r="BI71" t="s">
        <v>204</v>
      </c>
      <c r="BJ71" t="s">
        <v>79</v>
      </c>
      <c r="BM71">
        <v>0</v>
      </c>
      <c r="BN71">
        <v>3</v>
      </c>
      <c r="BO71">
        <v>3</v>
      </c>
      <c r="BP71" t="s">
        <v>514</v>
      </c>
      <c r="BR71">
        <v>0</v>
      </c>
      <c r="BS71">
        <v>6</v>
      </c>
      <c r="BU71">
        <v>3852124</v>
      </c>
    </row>
    <row r="72" spans="1:73" x14ac:dyDescent="0.3">
      <c r="A72" t="s">
        <v>521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30000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80000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62070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17929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</v>
      </c>
      <c r="BC72" s="1">
        <v>189999</v>
      </c>
      <c r="BD72" t="s">
        <v>74</v>
      </c>
      <c r="BE72" t="s">
        <v>522</v>
      </c>
      <c r="BF72" t="s">
        <v>523</v>
      </c>
      <c r="BH72" t="s">
        <v>77</v>
      </c>
      <c r="BI72" t="s">
        <v>524</v>
      </c>
      <c r="BJ72" t="s">
        <v>79</v>
      </c>
      <c r="BM72">
        <v>2</v>
      </c>
      <c r="BN72">
        <v>2</v>
      </c>
      <c r="BO72">
        <v>4</v>
      </c>
      <c r="BP72" t="s">
        <v>80</v>
      </c>
      <c r="BR72">
        <v>0</v>
      </c>
      <c r="BS72">
        <v>6</v>
      </c>
      <c r="BU72">
        <v>189999</v>
      </c>
    </row>
    <row r="73" spans="1:73" x14ac:dyDescent="0.3">
      <c r="A73" t="s">
        <v>528</v>
      </c>
      <c r="B73">
        <v>0</v>
      </c>
      <c r="C73">
        <v>0</v>
      </c>
      <c r="D73">
        <v>1</v>
      </c>
      <c r="E73">
        <v>428571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  <c r="BC73" s="1">
        <v>857142</v>
      </c>
      <c r="BD73" t="s">
        <v>74</v>
      </c>
      <c r="BE73" t="s">
        <v>529</v>
      </c>
      <c r="BF73" t="s">
        <v>211</v>
      </c>
      <c r="BH73" t="s">
        <v>77</v>
      </c>
      <c r="BI73" t="s">
        <v>84</v>
      </c>
      <c r="BJ73" t="s">
        <v>79</v>
      </c>
      <c r="BM73">
        <v>0</v>
      </c>
      <c r="BN73">
        <v>1</v>
      </c>
      <c r="BO73">
        <v>1</v>
      </c>
      <c r="BP73" t="s">
        <v>80</v>
      </c>
      <c r="BR73">
        <v>0</v>
      </c>
      <c r="BS73">
        <v>6</v>
      </c>
      <c r="BU73">
        <v>428571</v>
      </c>
    </row>
    <row r="74" spans="1:73" x14ac:dyDescent="0.3">
      <c r="A74" t="s">
        <v>530</v>
      </c>
      <c r="B74">
        <v>0</v>
      </c>
      <c r="C74">
        <v>0</v>
      </c>
      <c r="D74">
        <v>1</v>
      </c>
      <c r="E74">
        <v>190000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</v>
      </c>
      <c r="BC74" s="1">
        <v>380000</v>
      </c>
      <c r="BD74" t="s">
        <v>74</v>
      </c>
      <c r="BE74" t="s">
        <v>531</v>
      </c>
      <c r="BF74" t="s">
        <v>532</v>
      </c>
      <c r="BH74" t="s">
        <v>175</v>
      </c>
      <c r="BI74" t="s">
        <v>176</v>
      </c>
      <c r="BJ74" t="s">
        <v>125</v>
      </c>
      <c r="BM74">
        <v>0</v>
      </c>
      <c r="BN74">
        <v>1</v>
      </c>
      <c r="BO74">
        <v>1</v>
      </c>
      <c r="BP74" t="s">
        <v>80</v>
      </c>
      <c r="BR74">
        <v>0</v>
      </c>
      <c r="BS74">
        <v>6</v>
      </c>
      <c r="BU74">
        <v>190000</v>
      </c>
    </row>
    <row r="75" spans="1:73" x14ac:dyDescent="0.3">
      <c r="A75" t="s">
        <v>533</v>
      </c>
      <c r="B75">
        <v>0</v>
      </c>
      <c r="C75">
        <v>0</v>
      </c>
      <c r="D75">
        <v>1</v>
      </c>
      <c r="E75">
        <v>1080000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</v>
      </c>
      <c r="BC75" s="1">
        <v>2160000</v>
      </c>
      <c r="BD75" t="s">
        <v>74</v>
      </c>
      <c r="BE75" t="s">
        <v>534</v>
      </c>
      <c r="BF75" t="s">
        <v>535</v>
      </c>
      <c r="BH75" t="s">
        <v>77</v>
      </c>
      <c r="BI75" t="s">
        <v>88</v>
      </c>
      <c r="BJ75" t="s">
        <v>79</v>
      </c>
      <c r="BM75">
        <v>0</v>
      </c>
      <c r="BN75">
        <v>1</v>
      </c>
      <c r="BO75">
        <v>1</v>
      </c>
      <c r="BP75" t="s">
        <v>80</v>
      </c>
      <c r="BR75">
        <v>0</v>
      </c>
      <c r="BS75">
        <v>6</v>
      </c>
      <c r="BU75">
        <v>1080000</v>
      </c>
    </row>
    <row r="76" spans="1:73" x14ac:dyDescent="0.3">
      <c r="A76" t="s">
        <v>536</v>
      </c>
      <c r="B76">
        <v>0</v>
      </c>
      <c r="C76">
        <v>0</v>
      </c>
      <c r="D76">
        <v>4</v>
      </c>
      <c r="E76">
        <v>3670857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11</v>
      </c>
      <c r="BC76" s="1">
        <v>7902623</v>
      </c>
      <c r="BD76" t="s">
        <v>74</v>
      </c>
      <c r="BE76" t="s">
        <v>537</v>
      </c>
      <c r="BF76" t="s">
        <v>538</v>
      </c>
      <c r="BH76" t="s">
        <v>136</v>
      </c>
      <c r="BI76" t="s">
        <v>539</v>
      </c>
      <c r="BJ76" t="s">
        <v>125</v>
      </c>
      <c r="BM76">
        <v>0</v>
      </c>
      <c r="BN76">
        <v>1</v>
      </c>
      <c r="BO76">
        <v>1</v>
      </c>
      <c r="BP76" t="s">
        <v>99</v>
      </c>
      <c r="BR76">
        <v>0</v>
      </c>
      <c r="BS76">
        <v>6</v>
      </c>
      <c r="BU76">
        <v>3670857</v>
      </c>
    </row>
    <row r="77" spans="1:73" x14ac:dyDescent="0.3">
      <c r="A77" t="s">
        <v>540</v>
      </c>
      <c r="B77">
        <v>1</v>
      </c>
      <c r="C77">
        <v>328641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 s="1">
        <v>328641</v>
      </c>
      <c r="BD77" t="s">
        <v>74</v>
      </c>
      <c r="BE77" t="s">
        <v>541</v>
      </c>
      <c r="BF77" t="s">
        <v>542</v>
      </c>
      <c r="BM77">
        <v>0</v>
      </c>
      <c r="BN77">
        <v>1</v>
      </c>
      <c r="BO77">
        <v>1</v>
      </c>
      <c r="BP77" t="s">
        <v>99</v>
      </c>
      <c r="BR77">
        <v>0</v>
      </c>
      <c r="BS77">
        <v>6</v>
      </c>
      <c r="BU77">
        <v>328641</v>
      </c>
    </row>
    <row r="78" spans="1:73" x14ac:dyDescent="0.3">
      <c r="A78" t="s">
        <v>543</v>
      </c>
      <c r="B78">
        <v>0</v>
      </c>
      <c r="C78">
        <v>0</v>
      </c>
      <c r="D78">
        <v>1</v>
      </c>
      <c r="E78">
        <v>520000</v>
      </c>
      <c r="F78">
        <v>0</v>
      </c>
      <c r="G78">
        <v>0</v>
      </c>
      <c r="H78">
        <v>2</v>
      </c>
      <c r="I78">
        <v>40000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 s="1">
        <v>560000</v>
      </c>
      <c r="BD78" t="s">
        <v>74</v>
      </c>
      <c r="BE78" t="s">
        <v>544</v>
      </c>
      <c r="BF78" t="s">
        <v>545</v>
      </c>
      <c r="BH78" t="s">
        <v>77</v>
      </c>
      <c r="BI78" t="s">
        <v>84</v>
      </c>
      <c r="BJ78" t="s">
        <v>79</v>
      </c>
      <c r="BM78">
        <v>0</v>
      </c>
      <c r="BN78">
        <v>2</v>
      </c>
      <c r="BO78">
        <v>2</v>
      </c>
      <c r="BP78" t="s">
        <v>80</v>
      </c>
      <c r="BR78">
        <v>0</v>
      </c>
      <c r="BS78">
        <v>6</v>
      </c>
      <c r="BU78">
        <v>560000</v>
      </c>
    </row>
    <row r="79" spans="1:73" x14ac:dyDescent="0.3">
      <c r="A79" t="s">
        <v>546</v>
      </c>
      <c r="B79">
        <v>0</v>
      </c>
      <c r="C79">
        <v>0</v>
      </c>
      <c r="D79">
        <v>2</v>
      </c>
      <c r="E79">
        <v>1419062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</v>
      </c>
      <c r="BC79" s="1">
        <v>1419062</v>
      </c>
      <c r="BD79" t="s">
        <v>74</v>
      </c>
      <c r="BE79" t="s">
        <v>547</v>
      </c>
      <c r="BF79" t="s">
        <v>548</v>
      </c>
      <c r="BH79" t="s">
        <v>114</v>
      </c>
      <c r="BI79" t="s">
        <v>549</v>
      </c>
      <c r="BJ79" t="s">
        <v>79</v>
      </c>
      <c r="BM79">
        <v>0</v>
      </c>
      <c r="BN79">
        <v>1</v>
      </c>
      <c r="BO79">
        <v>1</v>
      </c>
      <c r="BP79" t="s">
        <v>99</v>
      </c>
      <c r="BR79">
        <v>0</v>
      </c>
      <c r="BS79">
        <v>6</v>
      </c>
      <c r="BU79">
        <v>1419062</v>
      </c>
    </row>
    <row r="80" spans="1:73" x14ac:dyDescent="0.3">
      <c r="A80" t="s">
        <v>563</v>
      </c>
      <c r="B80">
        <v>0</v>
      </c>
      <c r="C80">
        <v>0</v>
      </c>
      <c r="D80">
        <v>2</v>
      </c>
      <c r="E80">
        <v>170000</v>
      </c>
      <c r="F80">
        <v>0</v>
      </c>
      <c r="G80">
        <v>0</v>
      </c>
      <c r="H80">
        <v>5</v>
      </c>
      <c r="I80">
        <v>183183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</v>
      </c>
      <c r="BC80" s="1">
        <v>333183</v>
      </c>
      <c r="BD80" t="s">
        <v>74</v>
      </c>
      <c r="BE80" t="s">
        <v>564</v>
      </c>
      <c r="BF80" t="s">
        <v>565</v>
      </c>
      <c r="BH80" t="s">
        <v>77</v>
      </c>
      <c r="BI80" t="s">
        <v>78</v>
      </c>
      <c r="BJ80" t="s">
        <v>79</v>
      </c>
      <c r="BM80">
        <v>0</v>
      </c>
      <c r="BN80">
        <v>2</v>
      </c>
      <c r="BO80">
        <v>2</v>
      </c>
      <c r="BP80" t="s">
        <v>514</v>
      </c>
      <c r="BR80">
        <v>0</v>
      </c>
      <c r="BS80">
        <v>6</v>
      </c>
      <c r="BU80">
        <v>353183</v>
      </c>
    </row>
    <row r="81" spans="1:73" x14ac:dyDescent="0.3">
      <c r="A81" t="s">
        <v>566</v>
      </c>
      <c r="B81">
        <v>0</v>
      </c>
      <c r="C81">
        <v>0</v>
      </c>
      <c r="D81">
        <v>3</v>
      </c>
      <c r="E81">
        <v>190000</v>
      </c>
      <c r="F81">
        <v>0</v>
      </c>
      <c r="G81">
        <v>0</v>
      </c>
      <c r="H81">
        <v>4</v>
      </c>
      <c r="I81">
        <v>80000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6</v>
      </c>
      <c r="BC81" s="1">
        <v>380000</v>
      </c>
      <c r="BD81" t="s">
        <v>74</v>
      </c>
      <c r="BE81" t="s">
        <v>567</v>
      </c>
      <c r="BF81" t="s">
        <v>568</v>
      </c>
      <c r="BH81" t="s">
        <v>77</v>
      </c>
      <c r="BI81" t="s">
        <v>78</v>
      </c>
      <c r="BJ81" t="s">
        <v>79</v>
      </c>
      <c r="BM81">
        <v>0</v>
      </c>
      <c r="BN81">
        <v>2</v>
      </c>
      <c r="BO81">
        <v>2</v>
      </c>
      <c r="BP81" t="s">
        <v>80</v>
      </c>
      <c r="BR81">
        <v>0</v>
      </c>
      <c r="BS81">
        <v>6</v>
      </c>
      <c r="BU81">
        <v>270000</v>
      </c>
    </row>
    <row r="82" spans="1:73" x14ac:dyDescent="0.3">
      <c r="A82" t="s">
        <v>569</v>
      </c>
      <c r="B82">
        <v>0</v>
      </c>
      <c r="C82">
        <v>0</v>
      </c>
      <c r="D82">
        <v>2</v>
      </c>
      <c r="E82">
        <v>7542858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5</v>
      </c>
      <c r="BC82" s="1">
        <v>15257144</v>
      </c>
      <c r="BD82" t="s">
        <v>74</v>
      </c>
      <c r="BE82" t="s">
        <v>570</v>
      </c>
      <c r="BF82" t="s">
        <v>211</v>
      </c>
      <c r="BH82" t="s">
        <v>136</v>
      </c>
      <c r="BI82" t="s">
        <v>539</v>
      </c>
      <c r="BJ82" t="s">
        <v>125</v>
      </c>
      <c r="BM82">
        <v>0</v>
      </c>
      <c r="BN82">
        <v>1</v>
      </c>
      <c r="BO82">
        <v>1</v>
      </c>
      <c r="BP82" t="s">
        <v>80</v>
      </c>
      <c r="BR82">
        <v>0</v>
      </c>
      <c r="BS82">
        <v>5</v>
      </c>
      <c r="BU82">
        <v>7542858</v>
      </c>
    </row>
    <row r="83" spans="1:73" x14ac:dyDescent="0.3">
      <c r="A83" t="s">
        <v>571</v>
      </c>
      <c r="B83">
        <v>0</v>
      </c>
      <c r="C83">
        <v>1654546</v>
      </c>
      <c r="D83">
        <v>3</v>
      </c>
      <c r="E83">
        <v>1808052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7</v>
      </c>
      <c r="BC83" s="1">
        <v>6284936</v>
      </c>
      <c r="BD83" t="s">
        <v>74</v>
      </c>
      <c r="BE83" t="s">
        <v>572</v>
      </c>
      <c r="BF83" t="s">
        <v>573</v>
      </c>
      <c r="BH83" t="s">
        <v>77</v>
      </c>
      <c r="BI83" t="s">
        <v>574</v>
      </c>
      <c r="BJ83" t="s">
        <v>79</v>
      </c>
      <c r="BM83">
        <v>0</v>
      </c>
      <c r="BN83">
        <v>1</v>
      </c>
      <c r="BO83">
        <v>1</v>
      </c>
      <c r="BP83" t="s">
        <v>80</v>
      </c>
      <c r="BR83">
        <v>0</v>
      </c>
      <c r="BS83">
        <v>6</v>
      </c>
      <c r="BU83">
        <v>3462598</v>
      </c>
    </row>
    <row r="84" spans="1:73" x14ac:dyDescent="0.3">
      <c r="A84" t="s">
        <v>584</v>
      </c>
      <c r="B84">
        <v>1</v>
      </c>
      <c r="C84">
        <v>139197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</v>
      </c>
      <c r="Z84">
        <v>328938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18</v>
      </c>
      <c r="BC84" s="1">
        <v>3741517</v>
      </c>
      <c r="BD84" t="s">
        <v>74</v>
      </c>
      <c r="BE84" t="s">
        <v>585</v>
      </c>
      <c r="BF84" t="s">
        <v>586</v>
      </c>
      <c r="BH84" t="s">
        <v>97</v>
      </c>
      <c r="BI84" t="s">
        <v>103</v>
      </c>
      <c r="BJ84" t="s">
        <v>79</v>
      </c>
      <c r="BM84">
        <v>1</v>
      </c>
      <c r="BN84">
        <v>1</v>
      </c>
      <c r="BO84">
        <v>2</v>
      </c>
      <c r="BP84" t="s">
        <v>99</v>
      </c>
      <c r="BR84">
        <v>0</v>
      </c>
      <c r="BS84">
        <v>6</v>
      </c>
      <c r="BU84">
        <v>468135</v>
      </c>
    </row>
    <row r="85" spans="1:73" x14ac:dyDescent="0.3">
      <c r="A85" t="s">
        <v>590</v>
      </c>
      <c r="B85">
        <v>0</v>
      </c>
      <c r="C85">
        <v>0</v>
      </c>
      <c r="D85">
        <v>1</v>
      </c>
      <c r="E85">
        <v>240000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</v>
      </c>
      <c r="BC85" s="1">
        <v>480000</v>
      </c>
      <c r="BD85" t="s">
        <v>74</v>
      </c>
      <c r="BE85" t="s">
        <v>591</v>
      </c>
      <c r="BF85" t="s">
        <v>592</v>
      </c>
      <c r="BH85" t="s">
        <v>77</v>
      </c>
      <c r="BI85" t="s">
        <v>593</v>
      </c>
      <c r="BJ85" t="s">
        <v>79</v>
      </c>
      <c r="BM85">
        <v>0</v>
      </c>
      <c r="BN85">
        <v>1</v>
      </c>
      <c r="BO85">
        <v>1</v>
      </c>
      <c r="BP85" t="s">
        <v>80</v>
      </c>
      <c r="BR85">
        <v>0</v>
      </c>
      <c r="BS85">
        <v>6</v>
      </c>
      <c r="BU85">
        <v>240000</v>
      </c>
    </row>
    <row r="86" spans="1:73" x14ac:dyDescent="0.3">
      <c r="A86" t="s">
        <v>594</v>
      </c>
      <c r="B86">
        <v>1</v>
      </c>
      <c r="C86">
        <v>363636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 s="1">
        <v>363636</v>
      </c>
      <c r="BD86" t="s">
        <v>74</v>
      </c>
      <c r="BE86" t="s">
        <v>595</v>
      </c>
      <c r="BF86" t="s">
        <v>596</v>
      </c>
      <c r="BM86">
        <v>0</v>
      </c>
      <c r="BN86">
        <v>1</v>
      </c>
      <c r="BO86">
        <v>1</v>
      </c>
      <c r="BP86" t="s">
        <v>80</v>
      </c>
      <c r="BR86">
        <v>0</v>
      </c>
      <c r="BS86">
        <v>0</v>
      </c>
      <c r="BU86">
        <v>363636</v>
      </c>
    </row>
    <row r="87" spans="1:73" x14ac:dyDescent="0.3">
      <c r="A87" t="s">
        <v>597</v>
      </c>
      <c r="B87">
        <v>0</v>
      </c>
      <c r="C87">
        <v>0</v>
      </c>
      <c r="D87">
        <v>3</v>
      </c>
      <c r="E87">
        <v>1485246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5</v>
      </c>
      <c r="BC87" s="1">
        <v>2538492</v>
      </c>
      <c r="BD87" t="s">
        <v>74</v>
      </c>
      <c r="BE87" t="s">
        <v>598</v>
      </c>
      <c r="BF87" t="s">
        <v>599</v>
      </c>
      <c r="BH87" t="s">
        <v>600</v>
      </c>
      <c r="BI87" t="s">
        <v>601</v>
      </c>
      <c r="BJ87" t="s">
        <v>125</v>
      </c>
      <c r="BM87">
        <v>0</v>
      </c>
      <c r="BN87">
        <v>1</v>
      </c>
      <c r="BO87">
        <v>1</v>
      </c>
      <c r="BP87" t="s">
        <v>80</v>
      </c>
      <c r="BR87">
        <v>0</v>
      </c>
      <c r="BS87">
        <v>6</v>
      </c>
      <c r="BU87">
        <v>1485246</v>
      </c>
    </row>
    <row r="88" spans="1:73" x14ac:dyDescent="0.3">
      <c r="A88" t="s">
        <v>621</v>
      </c>
      <c r="B88">
        <v>1</v>
      </c>
      <c r="C88">
        <v>411156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 s="1">
        <v>411156</v>
      </c>
      <c r="BD88" t="s">
        <v>74</v>
      </c>
      <c r="BE88" t="s">
        <v>622</v>
      </c>
      <c r="BF88" t="s">
        <v>623</v>
      </c>
      <c r="BM88">
        <v>0</v>
      </c>
      <c r="BN88">
        <v>1</v>
      </c>
      <c r="BO88">
        <v>1</v>
      </c>
      <c r="BP88" t="s">
        <v>80</v>
      </c>
      <c r="BR88">
        <v>0</v>
      </c>
      <c r="BS88">
        <v>6</v>
      </c>
      <c r="BU88">
        <v>411156</v>
      </c>
    </row>
    <row r="89" spans="1:73" x14ac:dyDescent="0.3">
      <c r="A89" t="s">
        <v>627</v>
      </c>
      <c r="B89">
        <v>0</v>
      </c>
      <c r="C89">
        <v>0</v>
      </c>
      <c r="D89">
        <v>1</v>
      </c>
      <c r="E89">
        <v>1000000</v>
      </c>
      <c r="F89">
        <v>0</v>
      </c>
      <c r="G89">
        <v>0</v>
      </c>
      <c r="H89">
        <v>5</v>
      </c>
      <c r="I89">
        <v>279591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6</v>
      </c>
      <c r="BC89" s="1">
        <v>1279591</v>
      </c>
      <c r="BD89" t="s">
        <v>74</v>
      </c>
      <c r="BE89" t="s">
        <v>628</v>
      </c>
      <c r="BF89" t="s">
        <v>629</v>
      </c>
      <c r="BH89" t="s">
        <v>77</v>
      </c>
      <c r="BI89" t="s">
        <v>574</v>
      </c>
      <c r="BJ89" t="s">
        <v>79</v>
      </c>
      <c r="BM89">
        <v>0</v>
      </c>
      <c r="BN89">
        <v>2</v>
      </c>
      <c r="BO89">
        <v>2</v>
      </c>
      <c r="BP89" t="s">
        <v>80</v>
      </c>
      <c r="BR89">
        <v>0</v>
      </c>
      <c r="BS89">
        <v>6</v>
      </c>
      <c r="BU89">
        <v>1279591</v>
      </c>
    </row>
    <row r="90" spans="1:73" x14ac:dyDescent="0.3">
      <c r="A90" t="s">
        <v>633</v>
      </c>
      <c r="B90">
        <v>0</v>
      </c>
      <c r="C90">
        <v>0</v>
      </c>
      <c r="D90">
        <v>5</v>
      </c>
      <c r="E90">
        <v>1728830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9</v>
      </c>
      <c r="BC90" s="1">
        <v>2917660</v>
      </c>
      <c r="BD90" t="s">
        <v>74</v>
      </c>
      <c r="BE90" t="s">
        <v>634</v>
      </c>
      <c r="BF90" t="s">
        <v>211</v>
      </c>
      <c r="BH90" t="s">
        <v>136</v>
      </c>
      <c r="BI90" t="s">
        <v>539</v>
      </c>
      <c r="BJ90" t="s">
        <v>125</v>
      </c>
      <c r="BM90">
        <v>0</v>
      </c>
      <c r="BN90">
        <v>1</v>
      </c>
      <c r="BO90">
        <v>1</v>
      </c>
      <c r="BP90" t="s">
        <v>80</v>
      </c>
      <c r="BR90">
        <v>0</v>
      </c>
      <c r="BS90">
        <v>6</v>
      </c>
      <c r="BU90">
        <v>1728830</v>
      </c>
    </row>
    <row r="91" spans="1:73" x14ac:dyDescent="0.3">
      <c r="A91" t="s">
        <v>640</v>
      </c>
      <c r="B91">
        <v>1</v>
      </c>
      <c r="C91">
        <v>1259415</v>
      </c>
      <c r="D91">
        <v>15</v>
      </c>
      <c r="E91">
        <v>8228250</v>
      </c>
      <c r="F91">
        <v>0</v>
      </c>
      <c r="G91">
        <v>0</v>
      </c>
      <c r="H91">
        <v>5</v>
      </c>
      <c r="I91">
        <v>108304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50000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217</v>
      </c>
      <c r="BC91" s="1">
        <v>25711802</v>
      </c>
      <c r="BD91" t="s">
        <v>74</v>
      </c>
      <c r="BE91" t="s">
        <v>641</v>
      </c>
      <c r="BF91" t="s">
        <v>642</v>
      </c>
      <c r="BH91" t="s">
        <v>77</v>
      </c>
      <c r="BI91" t="s">
        <v>78</v>
      </c>
      <c r="BJ91" t="s">
        <v>79</v>
      </c>
      <c r="BM91">
        <v>0</v>
      </c>
      <c r="BN91">
        <v>4</v>
      </c>
      <c r="BO91">
        <v>4</v>
      </c>
      <c r="BP91" t="s">
        <v>514</v>
      </c>
      <c r="BR91">
        <v>0</v>
      </c>
      <c r="BS91">
        <v>5</v>
      </c>
      <c r="BU91">
        <v>9645969</v>
      </c>
    </row>
    <row r="92" spans="1:73" x14ac:dyDescent="0.3">
      <c r="A92" t="s">
        <v>643</v>
      </c>
      <c r="B92">
        <v>12</v>
      </c>
      <c r="C92">
        <v>3296516</v>
      </c>
      <c r="D92">
        <v>8</v>
      </c>
      <c r="E92">
        <v>3540205</v>
      </c>
      <c r="F92">
        <v>0</v>
      </c>
      <c r="G92">
        <v>0</v>
      </c>
      <c r="H92">
        <v>12</v>
      </c>
      <c r="I92">
        <v>320410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290000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34</v>
      </c>
      <c r="BC92" s="1">
        <v>10896926</v>
      </c>
      <c r="BD92" t="s">
        <v>74</v>
      </c>
      <c r="BE92" t="s">
        <v>644</v>
      </c>
      <c r="BF92" t="s">
        <v>645</v>
      </c>
      <c r="BH92" t="s">
        <v>175</v>
      </c>
      <c r="BI92" t="s">
        <v>646</v>
      </c>
      <c r="BJ92" t="s">
        <v>125</v>
      </c>
      <c r="BM92">
        <v>1</v>
      </c>
      <c r="BN92">
        <v>3</v>
      </c>
      <c r="BO92">
        <v>4</v>
      </c>
      <c r="BP92" t="s">
        <v>80</v>
      </c>
      <c r="BR92">
        <v>0</v>
      </c>
      <c r="BS92">
        <v>5</v>
      </c>
      <c r="BU92">
        <v>7447131</v>
      </c>
    </row>
    <row r="93" spans="1:73" x14ac:dyDescent="0.3">
      <c r="A93" t="s">
        <v>671</v>
      </c>
      <c r="B93">
        <v>1</v>
      </c>
      <c r="C93">
        <v>479494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 s="1">
        <v>479494</v>
      </c>
      <c r="BD93" t="s">
        <v>74</v>
      </c>
      <c r="BE93" t="s">
        <v>672</v>
      </c>
      <c r="BF93" t="s">
        <v>673</v>
      </c>
      <c r="BH93" t="s">
        <v>77</v>
      </c>
      <c r="BI93" t="s">
        <v>78</v>
      </c>
      <c r="BJ93" t="s">
        <v>79</v>
      </c>
      <c r="BM93">
        <v>0</v>
      </c>
      <c r="BN93">
        <v>1</v>
      </c>
      <c r="BO93">
        <v>1</v>
      </c>
      <c r="BP93" t="s">
        <v>80</v>
      </c>
      <c r="BR93">
        <v>0</v>
      </c>
      <c r="BS93">
        <v>6</v>
      </c>
      <c r="BU93">
        <v>479494</v>
      </c>
    </row>
    <row r="94" spans="1:73" x14ac:dyDescent="0.3">
      <c r="A94" t="s">
        <v>681</v>
      </c>
      <c r="B94">
        <v>9</v>
      </c>
      <c r="C94">
        <v>3170203</v>
      </c>
      <c r="D94">
        <v>22</v>
      </c>
      <c r="E94">
        <v>5032349</v>
      </c>
      <c r="F94">
        <v>0</v>
      </c>
      <c r="G94">
        <v>0</v>
      </c>
      <c r="H94">
        <v>30</v>
      </c>
      <c r="I94">
        <v>638698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53</v>
      </c>
      <c r="BC94" s="1">
        <v>13234901</v>
      </c>
      <c r="BD94" t="s">
        <v>74</v>
      </c>
      <c r="BE94" t="s">
        <v>682</v>
      </c>
      <c r="BF94" t="s">
        <v>683</v>
      </c>
      <c r="BH94" t="s">
        <v>136</v>
      </c>
      <c r="BI94" t="s">
        <v>191</v>
      </c>
      <c r="BJ94" t="s">
        <v>125</v>
      </c>
      <c r="BM94">
        <v>0</v>
      </c>
      <c r="BN94">
        <v>3</v>
      </c>
      <c r="BO94">
        <v>3</v>
      </c>
      <c r="BP94" t="s">
        <v>80</v>
      </c>
      <c r="BR94">
        <v>0</v>
      </c>
      <c r="BS94">
        <v>5</v>
      </c>
      <c r="BU94">
        <v>8841250</v>
      </c>
    </row>
    <row r="95" spans="1:73" x14ac:dyDescent="0.3">
      <c r="A95" t="s">
        <v>684</v>
      </c>
      <c r="B95">
        <v>0</v>
      </c>
      <c r="C95">
        <v>0</v>
      </c>
      <c r="D95">
        <v>3</v>
      </c>
      <c r="E95">
        <v>2290000</v>
      </c>
      <c r="F95">
        <v>0</v>
      </c>
      <c r="G95">
        <v>0</v>
      </c>
      <c r="H95">
        <v>8</v>
      </c>
      <c r="I95">
        <v>90668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31666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12</v>
      </c>
      <c r="BC95" s="1">
        <v>4654000</v>
      </c>
      <c r="BD95" t="s">
        <v>74</v>
      </c>
      <c r="BE95" t="s">
        <v>685</v>
      </c>
      <c r="BF95" t="s">
        <v>686</v>
      </c>
      <c r="BH95" t="s">
        <v>77</v>
      </c>
      <c r="BI95" t="s">
        <v>84</v>
      </c>
      <c r="BJ95" t="s">
        <v>79</v>
      </c>
      <c r="BM95">
        <v>1</v>
      </c>
      <c r="BN95">
        <v>2</v>
      </c>
      <c r="BO95">
        <v>3</v>
      </c>
      <c r="BP95" t="s">
        <v>80</v>
      </c>
      <c r="BR95">
        <v>0</v>
      </c>
      <c r="BS95">
        <v>6</v>
      </c>
      <c r="BU95">
        <v>2412334</v>
      </c>
    </row>
    <row r="96" spans="1:73" x14ac:dyDescent="0.3">
      <c r="A96" t="s">
        <v>687</v>
      </c>
      <c r="B96">
        <v>2</v>
      </c>
      <c r="C96">
        <v>495780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</v>
      </c>
      <c r="BC96" s="1">
        <v>495780</v>
      </c>
      <c r="BD96" t="s">
        <v>74</v>
      </c>
      <c r="BE96" t="s">
        <v>688</v>
      </c>
      <c r="BF96" t="s">
        <v>689</v>
      </c>
      <c r="BH96" t="s">
        <v>77</v>
      </c>
      <c r="BI96" t="s">
        <v>574</v>
      </c>
      <c r="BJ96" t="s">
        <v>79</v>
      </c>
      <c r="BM96">
        <v>0</v>
      </c>
      <c r="BN96">
        <v>1</v>
      </c>
      <c r="BO96">
        <v>1</v>
      </c>
      <c r="BP96" t="s">
        <v>80</v>
      </c>
      <c r="BR96">
        <v>0</v>
      </c>
      <c r="BS96">
        <v>6</v>
      </c>
      <c r="BU96">
        <v>495780</v>
      </c>
    </row>
    <row r="97" spans="1:73" x14ac:dyDescent="0.3">
      <c r="A97" t="s">
        <v>693</v>
      </c>
      <c r="B97">
        <v>2</v>
      </c>
      <c r="C97">
        <v>421661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</v>
      </c>
      <c r="BC97" s="1">
        <v>421661</v>
      </c>
      <c r="BD97" t="s">
        <v>74</v>
      </c>
      <c r="BE97" t="s">
        <v>694</v>
      </c>
      <c r="BF97" t="s">
        <v>695</v>
      </c>
      <c r="BH97" t="s">
        <v>114</v>
      </c>
      <c r="BI97" t="s">
        <v>141</v>
      </c>
      <c r="BJ97" t="s">
        <v>79</v>
      </c>
      <c r="BM97">
        <v>0</v>
      </c>
      <c r="BN97">
        <v>1</v>
      </c>
      <c r="BO97">
        <v>1</v>
      </c>
      <c r="BP97" t="s">
        <v>80</v>
      </c>
      <c r="BR97">
        <v>0</v>
      </c>
      <c r="BS97">
        <v>6</v>
      </c>
      <c r="BU97">
        <v>421661</v>
      </c>
    </row>
    <row r="98" spans="1:73" x14ac:dyDescent="0.3">
      <c r="A98" t="s">
        <v>699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17</v>
      </c>
      <c r="I98">
        <v>1172771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17</v>
      </c>
      <c r="BC98" s="1">
        <v>1172771</v>
      </c>
      <c r="BD98" t="s">
        <v>74</v>
      </c>
      <c r="BE98" t="s">
        <v>700</v>
      </c>
      <c r="BF98" t="s">
        <v>701</v>
      </c>
      <c r="BH98" t="s">
        <v>77</v>
      </c>
      <c r="BI98" t="s">
        <v>228</v>
      </c>
      <c r="BJ98" t="s">
        <v>79</v>
      </c>
      <c r="BM98">
        <v>0</v>
      </c>
      <c r="BN98">
        <v>1</v>
      </c>
      <c r="BO98">
        <v>1</v>
      </c>
      <c r="BP98" t="s">
        <v>80</v>
      </c>
      <c r="BR98">
        <v>0</v>
      </c>
      <c r="BS98">
        <v>6</v>
      </c>
      <c r="BU98">
        <v>1172771</v>
      </c>
    </row>
    <row r="99" spans="1:73" x14ac:dyDescent="0.3">
      <c r="A99" t="s">
        <v>705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40000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  <c r="BC99" s="1">
        <v>40000</v>
      </c>
      <c r="BD99" t="s">
        <v>74</v>
      </c>
      <c r="BE99" t="s">
        <v>706</v>
      </c>
      <c r="BF99" t="s">
        <v>707</v>
      </c>
      <c r="BH99" t="s">
        <v>77</v>
      </c>
      <c r="BI99" t="s">
        <v>78</v>
      </c>
      <c r="BJ99" t="s">
        <v>79</v>
      </c>
      <c r="BM99">
        <v>0</v>
      </c>
      <c r="BN99">
        <v>1</v>
      </c>
      <c r="BO99">
        <v>1</v>
      </c>
      <c r="BP99" t="s">
        <v>80</v>
      </c>
      <c r="BR99">
        <v>0</v>
      </c>
      <c r="BS99">
        <v>6</v>
      </c>
      <c r="BU99">
        <v>40000</v>
      </c>
    </row>
    <row r="100" spans="1:73" x14ac:dyDescent="0.3">
      <c r="A100" t="s">
        <v>708</v>
      </c>
      <c r="B100">
        <v>1</v>
      </c>
      <c r="C100">
        <v>429786</v>
      </c>
      <c r="D100">
        <v>3</v>
      </c>
      <c r="E100">
        <v>1341279</v>
      </c>
      <c r="F100">
        <v>0</v>
      </c>
      <c r="G100">
        <v>0</v>
      </c>
      <c r="H100">
        <v>4</v>
      </c>
      <c r="I100">
        <v>82558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17</v>
      </c>
      <c r="BC100" s="1">
        <v>3719616</v>
      </c>
      <c r="BD100" t="s">
        <v>74</v>
      </c>
      <c r="BE100" t="s">
        <v>709</v>
      </c>
      <c r="BF100" t="s">
        <v>710</v>
      </c>
      <c r="BH100" t="s">
        <v>77</v>
      </c>
      <c r="BI100" t="s">
        <v>88</v>
      </c>
      <c r="BJ100" t="s">
        <v>79</v>
      </c>
      <c r="BM100">
        <v>0</v>
      </c>
      <c r="BN100">
        <v>3</v>
      </c>
      <c r="BO100">
        <v>3</v>
      </c>
      <c r="BP100" t="s">
        <v>80</v>
      </c>
      <c r="BR100">
        <v>0</v>
      </c>
      <c r="BS100">
        <v>6</v>
      </c>
      <c r="BU100">
        <v>1853623</v>
      </c>
    </row>
    <row r="101" spans="1:73" x14ac:dyDescent="0.3">
      <c r="A101" t="s">
        <v>711</v>
      </c>
      <c r="B101">
        <v>0</v>
      </c>
      <c r="C101">
        <v>0</v>
      </c>
      <c r="D101">
        <v>1</v>
      </c>
      <c r="E101">
        <v>340000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73535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4</v>
      </c>
      <c r="BC101" s="1">
        <v>827070</v>
      </c>
      <c r="BD101" t="s">
        <v>74</v>
      </c>
      <c r="BE101" t="s">
        <v>712</v>
      </c>
      <c r="BF101" t="s">
        <v>713</v>
      </c>
      <c r="BH101" t="s">
        <v>77</v>
      </c>
      <c r="BI101" t="s">
        <v>204</v>
      </c>
      <c r="BJ101" t="s">
        <v>79</v>
      </c>
      <c r="BM101">
        <v>1</v>
      </c>
      <c r="BN101">
        <v>1</v>
      </c>
      <c r="BO101">
        <v>2</v>
      </c>
      <c r="BP101" t="s">
        <v>80</v>
      </c>
      <c r="BR101">
        <v>0</v>
      </c>
      <c r="BS101">
        <v>6</v>
      </c>
      <c r="BU101">
        <v>413535</v>
      </c>
    </row>
    <row r="102" spans="1:73" x14ac:dyDescent="0.3">
      <c r="A102" t="s">
        <v>717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73535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 s="1">
        <v>147070</v>
      </c>
      <c r="BD102" t="s">
        <v>74</v>
      </c>
      <c r="BE102" t="s">
        <v>718</v>
      </c>
      <c r="BF102" t="s">
        <v>719</v>
      </c>
      <c r="BH102" t="s">
        <v>77</v>
      </c>
      <c r="BI102" t="s">
        <v>720</v>
      </c>
      <c r="BJ102" t="s">
        <v>79</v>
      </c>
      <c r="BM102">
        <v>1</v>
      </c>
      <c r="BN102">
        <v>0</v>
      </c>
      <c r="BO102">
        <v>1</v>
      </c>
      <c r="BP102" t="s">
        <v>80</v>
      </c>
      <c r="BR102">
        <v>0</v>
      </c>
      <c r="BS102">
        <v>0</v>
      </c>
      <c r="BU102">
        <v>73535</v>
      </c>
    </row>
    <row r="103" spans="1:73" x14ac:dyDescent="0.3">
      <c r="A103" t="s">
        <v>727</v>
      </c>
      <c r="B103">
        <v>1</v>
      </c>
      <c r="C103">
        <v>399091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 s="1">
        <v>399091</v>
      </c>
      <c r="BD103" t="s">
        <v>74</v>
      </c>
      <c r="BE103" t="s">
        <v>728</v>
      </c>
      <c r="BF103" t="s">
        <v>729</v>
      </c>
      <c r="BH103" t="s">
        <v>77</v>
      </c>
      <c r="BI103" t="s">
        <v>88</v>
      </c>
      <c r="BJ103" t="s">
        <v>79</v>
      </c>
      <c r="BM103">
        <v>0</v>
      </c>
      <c r="BN103">
        <v>1</v>
      </c>
      <c r="BO103">
        <v>1</v>
      </c>
      <c r="BP103" t="s">
        <v>80</v>
      </c>
      <c r="BR103">
        <v>0</v>
      </c>
      <c r="BS103">
        <v>6</v>
      </c>
      <c r="BU103">
        <v>399091</v>
      </c>
    </row>
    <row r="104" spans="1:73" x14ac:dyDescent="0.3">
      <c r="A104" t="s">
        <v>736</v>
      </c>
      <c r="B104">
        <v>0</v>
      </c>
      <c r="C104">
        <v>0</v>
      </c>
      <c r="D104">
        <v>2</v>
      </c>
      <c r="E104">
        <v>666909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</v>
      </c>
      <c r="BC104" s="1">
        <v>1333818</v>
      </c>
      <c r="BD104" t="s">
        <v>74</v>
      </c>
      <c r="BE104" t="s">
        <v>737</v>
      </c>
      <c r="BF104" t="s">
        <v>738</v>
      </c>
      <c r="BH104" t="s">
        <v>77</v>
      </c>
      <c r="BI104" t="s">
        <v>739</v>
      </c>
      <c r="BJ104" t="s">
        <v>79</v>
      </c>
      <c r="BM104">
        <v>0</v>
      </c>
      <c r="BN104">
        <v>1</v>
      </c>
      <c r="BO104">
        <v>1</v>
      </c>
      <c r="BP104" t="s">
        <v>80</v>
      </c>
      <c r="BR104">
        <v>0</v>
      </c>
      <c r="BS104">
        <v>6</v>
      </c>
      <c r="BU104">
        <v>666909</v>
      </c>
    </row>
    <row r="105" spans="1:73" x14ac:dyDescent="0.3">
      <c r="A105" t="s">
        <v>743</v>
      </c>
      <c r="B105">
        <v>0</v>
      </c>
      <c r="C105">
        <v>0</v>
      </c>
      <c r="D105">
        <v>2</v>
      </c>
      <c r="E105">
        <v>899999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</v>
      </c>
      <c r="BC105" s="1">
        <v>1131427</v>
      </c>
      <c r="BD105" t="s">
        <v>74</v>
      </c>
      <c r="BE105" t="s">
        <v>744</v>
      </c>
      <c r="BF105" t="s">
        <v>745</v>
      </c>
      <c r="BH105" t="s">
        <v>77</v>
      </c>
      <c r="BI105" t="s">
        <v>574</v>
      </c>
      <c r="BJ105" t="s">
        <v>79</v>
      </c>
      <c r="BM105">
        <v>0</v>
      </c>
      <c r="BN105">
        <v>1</v>
      </c>
      <c r="BO105">
        <v>1</v>
      </c>
      <c r="BP105" t="s">
        <v>80</v>
      </c>
      <c r="BR105">
        <v>0</v>
      </c>
      <c r="BS105">
        <v>6</v>
      </c>
      <c r="BU105">
        <v>899999</v>
      </c>
    </row>
    <row r="106" spans="1:73" x14ac:dyDescent="0.3">
      <c r="A106" t="s">
        <v>746</v>
      </c>
      <c r="B106">
        <v>0</v>
      </c>
      <c r="C106">
        <v>0</v>
      </c>
      <c r="D106">
        <v>1</v>
      </c>
      <c r="E106">
        <v>246857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 s="1">
        <v>493714</v>
      </c>
      <c r="BD106" t="s">
        <v>74</v>
      </c>
      <c r="BE106" t="s">
        <v>747</v>
      </c>
      <c r="BF106" t="s">
        <v>748</v>
      </c>
      <c r="BH106" t="s">
        <v>136</v>
      </c>
      <c r="BI106" t="s">
        <v>333</v>
      </c>
      <c r="BJ106" t="s">
        <v>125</v>
      </c>
      <c r="BM106">
        <v>0</v>
      </c>
      <c r="BN106">
        <v>1</v>
      </c>
      <c r="BO106">
        <v>1</v>
      </c>
      <c r="BP106" t="s">
        <v>80</v>
      </c>
      <c r="BR106">
        <v>0</v>
      </c>
      <c r="BS106">
        <v>6</v>
      </c>
      <c r="BU106">
        <v>246857</v>
      </c>
    </row>
    <row r="107" spans="1:73" x14ac:dyDescent="0.3">
      <c r="A107" t="s">
        <v>749</v>
      </c>
      <c r="B107">
        <v>0</v>
      </c>
      <c r="C107">
        <v>0</v>
      </c>
      <c r="D107">
        <v>15</v>
      </c>
      <c r="E107">
        <v>2166154</v>
      </c>
      <c r="F107">
        <v>0</v>
      </c>
      <c r="G107">
        <v>0</v>
      </c>
      <c r="H107">
        <v>22</v>
      </c>
      <c r="I107">
        <v>690308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30</v>
      </c>
      <c r="BC107" s="1">
        <v>4332308</v>
      </c>
      <c r="BD107" t="s">
        <v>74</v>
      </c>
      <c r="BE107" t="s">
        <v>750</v>
      </c>
      <c r="BF107" t="s">
        <v>751</v>
      </c>
      <c r="BH107" t="s">
        <v>77</v>
      </c>
      <c r="BI107" t="s">
        <v>88</v>
      </c>
      <c r="BJ107" t="s">
        <v>79</v>
      </c>
      <c r="BM107">
        <v>0</v>
      </c>
      <c r="BN107">
        <v>2</v>
      </c>
      <c r="BO107">
        <v>2</v>
      </c>
      <c r="BP107" t="s">
        <v>80</v>
      </c>
      <c r="BR107">
        <v>0</v>
      </c>
      <c r="BS107">
        <v>6</v>
      </c>
      <c r="BU107">
        <v>2856462</v>
      </c>
    </row>
    <row r="108" spans="1:73" x14ac:dyDescent="0.3">
      <c r="A108" t="s">
        <v>752</v>
      </c>
      <c r="B108">
        <v>1</v>
      </c>
      <c r="C108">
        <v>499090</v>
      </c>
      <c r="D108">
        <v>5</v>
      </c>
      <c r="E108">
        <v>2793029</v>
      </c>
      <c r="F108">
        <v>0</v>
      </c>
      <c r="G108">
        <v>0</v>
      </c>
      <c r="H108">
        <v>6</v>
      </c>
      <c r="I108">
        <v>286058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12</v>
      </c>
      <c r="BC108" s="1">
        <v>6158683</v>
      </c>
      <c r="BD108" t="s">
        <v>74</v>
      </c>
      <c r="BE108" t="s">
        <v>753</v>
      </c>
      <c r="BF108" t="s">
        <v>754</v>
      </c>
      <c r="BH108" t="s">
        <v>136</v>
      </c>
      <c r="BI108" t="s">
        <v>191</v>
      </c>
      <c r="BJ108" t="s">
        <v>125</v>
      </c>
      <c r="BM108">
        <v>0</v>
      </c>
      <c r="BN108">
        <v>3</v>
      </c>
      <c r="BO108">
        <v>3</v>
      </c>
      <c r="BP108" t="s">
        <v>80</v>
      </c>
      <c r="BR108">
        <v>0</v>
      </c>
      <c r="BS108">
        <v>6</v>
      </c>
      <c r="BU108">
        <v>3578177</v>
      </c>
    </row>
    <row r="109" spans="1:73" x14ac:dyDescent="0.3">
      <c r="A109" t="s">
        <v>755</v>
      </c>
      <c r="B109">
        <v>0</v>
      </c>
      <c r="C109">
        <v>0</v>
      </c>
      <c r="D109">
        <v>5</v>
      </c>
      <c r="E109">
        <v>630000</v>
      </c>
      <c r="F109">
        <v>0</v>
      </c>
      <c r="G109">
        <v>0</v>
      </c>
      <c r="H109">
        <v>6</v>
      </c>
      <c r="I109">
        <v>120000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10</v>
      </c>
      <c r="BC109" s="1">
        <v>1260000</v>
      </c>
      <c r="BD109" t="s">
        <v>74</v>
      </c>
      <c r="BE109" t="s">
        <v>756</v>
      </c>
      <c r="BF109" t="s">
        <v>757</v>
      </c>
      <c r="BH109" t="s">
        <v>77</v>
      </c>
      <c r="BI109" t="s">
        <v>129</v>
      </c>
      <c r="BJ109" t="s">
        <v>79</v>
      </c>
      <c r="BM109">
        <v>0</v>
      </c>
      <c r="BN109">
        <v>2</v>
      </c>
      <c r="BO109">
        <v>2</v>
      </c>
      <c r="BP109" t="s">
        <v>80</v>
      </c>
      <c r="BR109">
        <v>0</v>
      </c>
      <c r="BS109">
        <v>6</v>
      </c>
      <c r="BU109">
        <v>750000</v>
      </c>
    </row>
    <row r="110" spans="1:73" x14ac:dyDescent="0.3">
      <c r="A110" t="s">
        <v>758</v>
      </c>
      <c r="B110">
        <v>0</v>
      </c>
      <c r="C110">
        <v>0</v>
      </c>
      <c r="D110">
        <v>4</v>
      </c>
      <c r="E110">
        <v>1860000</v>
      </c>
      <c r="F110">
        <v>0</v>
      </c>
      <c r="G110">
        <v>0</v>
      </c>
      <c r="H110">
        <v>6</v>
      </c>
      <c r="I110">
        <v>120000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8</v>
      </c>
      <c r="BC110" s="1">
        <v>3720000</v>
      </c>
      <c r="BD110" t="s">
        <v>74</v>
      </c>
      <c r="BE110" t="s">
        <v>759</v>
      </c>
      <c r="BF110" t="s">
        <v>760</v>
      </c>
      <c r="BH110" t="s">
        <v>136</v>
      </c>
      <c r="BI110" t="s">
        <v>191</v>
      </c>
      <c r="BJ110" t="s">
        <v>125</v>
      </c>
      <c r="BM110">
        <v>0</v>
      </c>
      <c r="BN110">
        <v>2</v>
      </c>
      <c r="BO110">
        <v>2</v>
      </c>
      <c r="BP110" t="s">
        <v>80</v>
      </c>
      <c r="BR110">
        <v>0</v>
      </c>
      <c r="BS110">
        <v>6</v>
      </c>
      <c r="BU110">
        <v>1980000</v>
      </c>
    </row>
    <row r="111" spans="1:73" x14ac:dyDescent="0.3">
      <c r="A111" t="s">
        <v>761</v>
      </c>
      <c r="B111">
        <v>0</v>
      </c>
      <c r="C111">
        <v>0</v>
      </c>
      <c r="D111">
        <v>3</v>
      </c>
      <c r="E111">
        <v>979632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</v>
      </c>
      <c r="BC111" s="1">
        <v>1479264</v>
      </c>
      <c r="BD111" t="s">
        <v>74</v>
      </c>
      <c r="BE111" t="s">
        <v>762</v>
      </c>
      <c r="BF111" t="s">
        <v>763</v>
      </c>
      <c r="BH111" t="s">
        <v>77</v>
      </c>
      <c r="BI111" t="s">
        <v>84</v>
      </c>
      <c r="BJ111" t="s">
        <v>79</v>
      </c>
      <c r="BM111">
        <v>0</v>
      </c>
      <c r="BN111">
        <v>1</v>
      </c>
      <c r="BO111">
        <v>1</v>
      </c>
      <c r="BP111" t="s">
        <v>80</v>
      </c>
      <c r="BR111">
        <v>0</v>
      </c>
      <c r="BS111">
        <v>6</v>
      </c>
      <c r="BU111">
        <v>979632</v>
      </c>
    </row>
    <row r="112" spans="1:73" x14ac:dyDescent="0.3">
      <c r="A112" t="s">
        <v>771</v>
      </c>
      <c r="B112">
        <v>0</v>
      </c>
      <c r="C112">
        <v>0</v>
      </c>
      <c r="D112">
        <v>6</v>
      </c>
      <c r="E112">
        <v>734981</v>
      </c>
      <c r="F112">
        <v>0</v>
      </c>
      <c r="G112">
        <v>0</v>
      </c>
      <c r="H112">
        <v>8</v>
      </c>
      <c r="I112">
        <v>173600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73535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19792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16</v>
      </c>
      <c r="BC112" s="1">
        <v>1656616</v>
      </c>
      <c r="BD112" t="s">
        <v>74</v>
      </c>
      <c r="BE112" t="s">
        <v>772</v>
      </c>
      <c r="BF112" t="s">
        <v>773</v>
      </c>
      <c r="BH112" t="s">
        <v>77</v>
      </c>
      <c r="BI112" t="s">
        <v>129</v>
      </c>
      <c r="BJ112" t="s">
        <v>79</v>
      </c>
      <c r="BM112">
        <v>2</v>
      </c>
      <c r="BN112">
        <v>2</v>
      </c>
      <c r="BO112">
        <v>4</v>
      </c>
      <c r="BP112" t="s">
        <v>80</v>
      </c>
      <c r="BR112">
        <v>0</v>
      </c>
      <c r="BS112">
        <v>6</v>
      </c>
      <c r="BU112">
        <v>1001908</v>
      </c>
    </row>
    <row r="113" spans="1:73" x14ac:dyDescent="0.3">
      <c r="A113" t="s">
        <v>774</v>
      </c>
      <c r="B113">
        <v>2</v>
      </c>
      <c r="C113">
        <v>89090</v>
      </c>
      <c r="D113">
        <v>9</v>
      </c>
      <c r="E113">
        <v>689087</v>
      </c>
      <c r="F113">
        <v>0</v>
      </c>
      <c r="G113">
        <v>0</v>
      </c>
      <c r="H113">
        <v>18</v>
      </c>
      <c r="I113">
        <v>502460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22</v>
      </c>
      <c r="BC113" s="1">
        <v>1517264</v>
      </c>
      <c r="BD113" t="s">
        <v>74</v>
      </c>
      <c r="BE113" t="s">
        <v>775</v>
      </c>
      <c r="BF113" t="s">
        <v>245</v>
      </c>
      <c r="BH113" t="s">
        <v>136</v>
      </c>
      <c r="BI113" t="s">
        <v>191</v>
      </c>
      <c r="BJ113" t="s">
        <v>125</v>
      </c>
      <c r="BM113">
        <v>0</v>
      </c>
      <c r="BN113">
        <v>3</v>
      </c>
      <c r="BO113">
        <v>3</v>
      </c>
      <c r="BP113" t="s">
        <v>80</v>
      </c>
      <c r="BR113">
        <v>0</v>
      </c>
      <c r="BS113">
        <v>6</v>
      </c>
      <c r="BU113">
        <v>1280637</v>
      </c>
    </row>
    <row r="114" spans="1:73" x14ac:dyDescent="0.3">
      <c r="A114" t="s">
        <v>785</v>
      </c>
      <c r="B114">
        <v>2</v>
      </c>
      <c r="C114">
        <v>452726</v>
      </c>
      <c r="D114">
        <v>6</v>
      </c>
      <c r="E114">
        <v>2508203</v>
      </c>
      <c r="F114">
        <v>0</v>
      </c>
      <c r="G114">
        <v>0</v>
      </c>
      <c r="H114">
        <v>8</v>
      </c>
      <c r="I114">
        <v>446406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14</v>
      </c>
      <c r="BC114" s="1">
        <v>5469132</v>
      </c>
      <c r="BD114" t="s">
        <v>74</v>
      </c>
      <c r="BE114" t="s">
        <v>786</v>
      </c>
      <c r="BF114" t="s">
        <v>787</v>
      </c>
      <c r="BH114" t="s">
        <v>136</v>
      </c>
      <c r="BI114" t="s">
        <v>191</v>
      </c>
      <c r="BJ114" t="s">
        <v>125</v>
      </c>
      <c r="BM114">
        <v>0</v>
      </c>
      <c r="BN114">
        <v>3</v>
      </c>
      <c r="BO114">
        <v>3</v>
      </c>
      <c r="BP114" t="s">
        <v>80</v>
      </c>
      <c r="BR114">
        <v>0</v>
      </c>
      <c r="BS114">
        <v>6</v>
      </c>
      <c r="BU114">
        <v>3407335</v>
      </c>
    </row>
    <row r="115" spans="1:73" x14ac:dyDescent="0.3">
      <c r="A115" t="s">
        <v>794</v>
      </c>
      <c r="B115">
        <v>7</v>
      </c>
      <c r="C115">
        <v>2838718</v>
      </c>
      <c r="D115">
        <v>1</v>
      </c>
      <c r="E115">
        <v>108773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12</v>
      </c>
      <c r="BC115" s="1">
        <v>3413127</v>
      </c>
      <c r="BD115" t="s">
        <v>74</v>
      </c>
      <c r="BE115" t="s">
        <v>795</v>
      </c>
      <c r="BF115" t="s">
        <v>796</v>
      </c>
      <c r="BH115" t="s">
        <v>77</v>
      </c>
      <c r="BI115" t="s">
        <v>92</v>
      </c>
      <c r="BJ115" t="s">
        <v>79</v>
      </c>
      <c r="BM115">
        <v>0</v>
      </c>
      <c r="BN115">
        <v>2</v>
      </c>
      <c r="BO115">
        <v>2</v>
      </c>
      <c r="BP115" t="s">
        <v>80</v>
      </c>
      <c r="BR115">
        <v>0</v>
      </c>
      <c r="BS115">
        <v>6</v>
      </c>
      <c r="BU115">
        <v>2947491</v>
      </c>
    </row>
    <row r="116" spans="1:73" x14ac:dyDescent="0.3">
      <c r="A116" t="s">
        <v>797</v>
      </c>
      <c r="B116">
        <v>0</v>
      </c>
      <c r="C116">
        <v>0</v>
      </c>
      <c r="D116">
        <v>4</v>
      </c>
      <c r="E116">
        <v>1672271</v>
      </c>
      <c r="F116">
        <v>0</v>
      </c>
      <c r="G116">
        <v>0</v>
      </c>
      <c r="H116">
        <v>6</v>
      </c>
      <c r="I116">
        <v>144542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8</v>
      </c>
      <c r="BC116" s="1">
        <v>3344542</v>
      </c>
      <c r="BD116" t="s">
        <v>74</v>
      </c>
      <c r="BE116" t="s">
        <v>798</v>
      </c>
      <c r="BF116" t="s">
        <v>799</v>
      </c>
      <c r="BH116" t="s">
        <v>77</v>
      </c>
      <c r="BI116" t="s">
        <v>129</v>
      </c>
      <c r="BJ116" t="s">
        <v>79</v>
      </c>
      <c r="BM116">
        <v>0</v>
      </c>
      <c r="BN116">
        <v>2</v>
      </c>
      <c r="BO116">
        <v>2</v>
      </c>
      <c r="BP116" t="s">
        <v>80</v>
      </c>
      <c r="BR116">
        <v>0</v>
      </c>
      <c r="BS116">
        <v>6</v>
      </c>
      <c r="BU116">
        <v>1816813</v>
      </c>
    </row>
    <row r="117" spans="1:73" x14ac:dyDescent="0.3">
      <c r="A117" t="s">
        <v>805</v>
      </c>
      <c r="B117">
        <v>2</v>
      </c>
      <c r="C117">
        <v>1475093</v>
      </c>
      <c r="D117">
        <v>6</v>
      </c>
      <c r="E117">
        <v>1400000</v>
      </c>
      <c r="F117">
        <v>0</v>
      </c>
      <c r="G117">
        <v>0</v>
      </c>
      <c r="H117">
        <v>7</v>
      </c>
      <c r="I117">
        <v>140000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135000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147070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20000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22</v>
      </c>
      <c r="BC117" s="1">
        <v>4404283</v>
      </c>
      <c r="BD117" t="s">
        <v>74</v>
      </c>
      <c r="BE117" t="s">
        <v>806</v>
      </c>
      <c r="BF117" t="s">
        <v>807</v>
      </c>
      <c r="BH117" t="s">
        <v>77</v>
      </c>
      <c r="BI117" t="s">
        <v>281</v>
      </c>
      <c r="BJ117" t="s">
        <v>79</v>
      </c>
      <c r="BM117">
        <v>2</v>
      </c>
      <c r="BN117">
        <v>4</v>
      </c>
      <c r="BO117">
        <v>6</v>
      </c>
      <c r="BP117" t="s">
        <v>80</v>
      </c>
      <c r="BR117">
        <v>0</v>
      </c>
      <c r="BS117">
        <v>6</v>
      </c>
      <c r="BU117">
        <v>3317163</v>
      </c>
    </row>
    <row r="118" spans="1:73" x14ac:dyDescent="0.3">
      <c r="A118" t="s">
        <v>817</v>
      </c>
      <c r="B118">
        <v>0</v>
      </c>
      <c r="C118">
        <v>0</v>
      </c>
      <c r="D118">
        <v>14</v>
      </c>
      <c r="E118">
        <v>1092938</v>
      </c>
      <c r="F118">
        <v>0</v>
      </c>
      <c r="G118">
        <v>0</v>
      </c>
      <c r="H118">
        <v>24</v>
      </c>
      <c r="I118">
        <v>844036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28</v>
      </c>
      <c r="BC118" s="1">
        <v>2185876</v>
      </c>
      <c r="BD118" t="s">
        <v>74</v>
      </c>
      <c r="BE118" t="s">
        <v>818</v>
      </c>
      <c r="BF118" t="s">
        <v>819</v>
      </c>
      <c r="BH118" t="s">
        <v>77</v>
      </c>
      <c r="BI118" t="s">
        <v>129</v>
      </c>
      <c r="BJ118" t="s">
        <v>79</v>
      </c>
      <c r="BM118">
        <v>0</v>
      </c>
      <c r="BN118">
        <v>2</v>
      </c>
      <c r="BO118">
        <v>2</v>
      </c>
      <c r="BP118" t="s">
        <v>80</v>
      </c>
      <c r="BR118">
        <v>0</v>
      </c>
      <c r="BS118">
        <v>6</v>
      </c>
      <c r="BU118">
        <v>1936974</v>
      </c>
    </row>
    <row r="119" spans="1:73" x14ac:dyDescent="0.3">
      <c r="A119" t="s">
        <v>820</v>
      </c>
      <c r="B119">
        <v>0</v>
      </c>
      <c r="C119">
        <v>885818</v>
      </c>
      <c r="D119">
        <v>2</v>
      </c>
      <c r="E119">
        <v>663564</v>
      </c>
      <c r="F119">
        <v>0</v>
      </c>
      <c r="G119">
        <v>0</v>
      </c>
      <c r="H119">
        <v>3</v>
      </c>
      <c r="I119">
        <v>60000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8</v>
      </c>
      <c r="BC119" s="1">
        <v>5472946</v>
      </c>
      <c r="BD119" t="s">
        <v>74</v>
      </c>
      <c r="BE119" t="s">
        <v>821</v>
      </c>
      <c r="BF119" t="s">
        <v>822</v>
      </c>
      <c r="BH119" t="s">
        <v>77</v>
      </c>
      <c r="BI119" t="s">
        <v>129</v>
      </c>
      <c r="BJ119" t="s">
        <v>79</v>
      </c>
      <c r="BM119">
        <v>0</v>
      </c>
      <c r="BN119">
        <v>2</v>
      </c>
      <c r="BO119">
        <v>2</v>
      </c>
      <c r="BP119" t="s">
        <v>99</v>
      </c>
      <c r="BR119">
        <v>0</v>
      </c>
      <c r="BS119">
        <v>6</v>
      </c>
      <c r="BU119">
        <v>1609382</v>
      </c>
    </row>
    <row r="120" spans="1:73" x14ac:dyDescent="0.3">
      <c r="A120" t="s">
        <v>829</v>
      </c>
      <c r="B120">
        <v>3</v>
      </c>
      <c r="C120">
        <v>601988</v>
      </c>
      <c r="D120">
        <v>11</v>
      </c>
      <c r="E120">
        <v>2322792</v>
      </c>
      <c r="F120">
        <v>0</v>
      </c>
      <c r="G120">
        <v>0</v>
      </c>
      <c r="H120">
        <v>16</v>
      </c>
      <c r="I120">
        <v>372856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376857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4394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28</v>
      </c>
      <c r="BC120" s="1">
        <v>5628823</v>
      </c>
      <c r="BD120" t="s">
        <v>74</v>
      </c>
      <c r="BE120" t="s">
        <v>830</v>
      </c>
      <c r="BF120" t="s">
        <v>831</v>
      </c>
      <c r="BH120" t="s">
        <v>77</v>
      </c>
      <c r="BI120" t="s">
        <v>129</v>
      </c>
      <c r="BJ120" t="s">
        <v>79</v>
      </c>
      <c r="BM120">
        <v>2</v>
      </c>
      <c r="BN120">
        <v>3</v>
      </c>
      <c r="BO120">
        <v>5</v>
      </c>
      <c r="BP120" t="s">
        <v>99</v>
      </c>
      <c r="BR120">
        <v>0</v>
      </c>
      <c r="BS120">
        <v>6</v>
      </c>
      <c r="BU120">
        <v>3678887</v>
      </c>
    </row>
    <row r="121" spans="1:73" x14ac:dyDescent="0.3">
      <c r="A121" t="s">
        <v>832</v>
      </c>
      <c r="B121">
        <v>0</v>
      </c>
      <c r="C121">
        <v>0</v>
      </c>
      <c r="D121">
        <v>1</v>
      </c>
      <c r="E121">
        <v>428571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  <c r="BC121" s="1">
        <v>857142</v>
      </c>
      <c r="BD121" t="s">
        <v>74</v>
      </c>
      <c r="BE121" t="s">
        <v>833</v>
      </c>
      <c r="BF121" t="s">
        <v>834</v>
      </c>
      <c r="BH121" t="s">
        <v>136</v>
      </c>
      <c r="BI121" t="s">
        <v>439</v>
      </c>
      <c r="BJ121" t="s">
        <v>125</v>
      </c>
      <c r="BM121">
        <v>0</v>
      </c>
      <c r="BN121">
        <v>1</v>
      </c>
      <c r="BO121">
        <v>1</v>
      </c>
      <c r="BP121" t="s">
        <v>80</v>
      </c>
      <c r="BR121">
        <v>0</v>
      </c>
      <c r="BS121">
        <v>6</v>
      </c>
      <c r="BU121">
        <v>428571</v>
      </c>
    </row>
    <row r="122" spans="1:73" x14ac:dyDescent="0.3">
      <c r="A122" t="s">
        <v>841</v>
      </c>
      <c r="B122">
        <v>1</v>
      </c>
      <c r="C122">
        <v>163090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 s="1">
        <v>163090</v>
      </c>
      <c r="BD122" t="s">
        <v>74</v>
      </c>
      <c r="BE122" t="s">
        <v>842</v>
      </c>
      <c r="BF122" t="s">
        <v>843</v>
      </c>
      <c r="BH122" t="s">
        <v>77</v>
      </c>
      <c r="BI122" t="s">
        <v>88</v>
      </c>
      <c r="BJ122" t="s">
        <v>79</v>
      </c>
      <c r="BM122">
        <v>0</v>
      </c>
      <c r="BN122">
        <v>1</v>
      </c>
      <c r="BO122">
        <v>1</v>
      </c>
      <c r="BP122" t="s">
        <v>80</v>
      </c>
      <c r="BR122">
        <v>0</v>
      </c>
      <c r="BS122">
        <v>6</v>
      </c>
      <c r="BU122">
        <v>163090</v>
      </c>
    </row>
    <row r="123" spans="1:73" x14ac:dyDescent="0.3">
      <c r="A123" t="s">
        <v>844</v>
      </c>
      <c r="B123">
        <v>0</v>
      </c>
      <c r="C123">
        <v>0</v>
      </c>
      <c r="D123">
        <v>10</v>
      </c>
      <c r="E123">
        <v>200000</v>
      </c>
      <c r="F123">
        <v>0</v>
      </c>
      <c r="G123">
        <v>0</v>
      </c>
      <c r="H123">
        <v>20</v>
      </c>
      <c r="I123">
        <v>400000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21</v>
      </c>
      <c r="BC123" s="1">
        <v>1180000</v>
      </c>
      <c r="BD123" t="s">
        <v>74</v>
      </c>
      <c r="BE123" t="s">
        <v>845</v>
      </c>
      <c r="BF123" t="s">
        <v>245</v>
      </c>
      <c r="BH123" t="s">
        <v>77</v>
      </c>
      <c r="BI123" t="s">
        <v>129</v>
      </c>
      <c r="BJ123" t="s">
        <v>79</v>
      </c>
      <c r="BM123">
        <v>0</v>
      </c>
      <c r="BN123">
        <v>2</v>
      </c>
      <c r="BO123">
        <v>2</v>
      </c>
      <c r="BP123" t="s">
        <v>80</v>
      </c>
      <c r="BR123">
        <v>0</v>
      </c>
      <c r="BS123">
        <v>6</v>
      </c>
      <c r="BU123">
        <v>600000</v>
      </c>
    </row>
    <row r="124" spans="1:73" x14ac:dyDescent="0.3">
      <c r="A124" t="s">
        <v>846</v>
      </c>
      <c r="B124">
        <v>1</v>
      </c>
      <c r="C124">
        <v>199361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 s="1">
        <v>199361</v>
      </c>
      <c r="BD124" t="s">
        <v>74</v>
      </c>
      <c r="BE124" t="s">
        <v>847</v>
      </c>
      <c r="BF124" t="s">
        <v>848</v>
      </c>
      <c r="BH124" t="s">
        <v>849</v>
      </c>
      <c r="BI124" t="s">
        <v>850</v>
      </c>
      <c r="BJ124" t="s">
        <v>79</v>
      </c>
      <c r="BM124">
        <v>0</v>
      </c>
      <c r="BN124">
        <v>1</v>
      </c>
      <c r="BO124">
        <v>1</v>
      </c>
      <c r="BP124" t="s">
        <v>80</v>
      </c>
      <c r="BR124">
        <v>0</v>
      </c>
      <c r="BS124">
        <v>6</v>
      </c>
      <c r="BU124">
        <v>199361</v>
      </c>
    </row>
    <row r="125" spans="1:73" x14ac:dyDescent="0.3">
      <c r="A125" t="s">
        <v>854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73535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  <c r="BC125" s="1">
        <v>264444</v>
      </c>
      <c r="BD125" t="s">
        <v>74</v>
      </c>
      <c r="BE125" t="s">
        <v>855</v>
      </c>
      <c r="BF125" t="s">
        <v>856</v>
      </c>
      <c r="BH125" t="s">
        <v>175</v>
      </c>
      <c r="BI125" t="s">
        <v>857</v>
      </c>
      <c r="BJ125" t="s">
        <v>125</v>
      </c>
      <c r="BM125">
        <v>1</v>
      </c>
      <c r="BN125">
        <v>0</v>
      </c>
      <c r="BO125">
        <v>1</v>
      </c>
      <c r="BP125" t="s">
        <v>80</v>
      </c>
      <c r="BR125">
        <v>0</v>
      </c>
      <c r="BS125">
        <v>0</v>
      </c>
      <c r="BU125">
        <v>73535</v>
      </c>
    </row>
    <row r="126" spans="1:73" x14ac:dyDescent="0.3">
      <c r="A126" t="s">
        <v>861</v>
      </c>
      <c r="B126">
        <v>0</v>
      </c>
      <c r="C126">
        <v>136364</v>
      </c>
      <c r="D126">
        <v>1</v>
      </c>
      <c r="E126">
        <v>181818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</v>
      </c>
      <c r="BC126" s="1">
        <v>500000</v>
      </c>
      <c r="BD126" t="s">
        <v>74</v>
      </c>
      <c r="BE126" t="s">
        <v>862</v>
      </c>
      <c r="BF126" t="s">
        <v>863</v>
      </c>
      <c r="BH126" t="s">
        <v>77</v>
      </c>
      <c r="BI126" t="s">
        <v>204</v>
      </c>
      <c r="BJ126" t="s">
        <v>79</v>
      </c>
      <c r="BM126">
        <v>0</v>
      </c>
      <c r="BN126">
        <v>1</v>
      </c>
      <c r="BO126">
        <v>1</v>
      </c>
      <c r="BP126" t="s">
        <v>80</v>
      </c>
      <c r="BR126">
        <v>0</v>
      </c>
      <c r="BS126">
        <v>6</v>
      </c>
      <c r="BU126">
        <v>318182</v>
      </c>
    </row>
    <row r="127" spans="1:73" x14ac:dyDescent="0.3">
      <c r="A127" t="s">
        <v>867</v>
      </c>
      <c r="B127">
        <v>0</v>
      </c>
      <c r="C127">
        <v>0</v>
      </c>
      <c r="D127">
        <v>3</v>
      </c>
      <c r="E127">
        <v>2240000</v>
      </c>
      <c r="F127">
        <v>0</v>
      </c>
      <c r="G127">
        <v>0</v>
      </c>
      <c r="H127">
        <v>4</v>
      </c>
      <c r="I127">
        <v>80000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6</v>
      </c>
      <c r="BC127" s="1">
        <v>4480000</v>
      </c>
      <c r="BD127" t="s">
        <v>74</v>
      </c>
      <c r="BE127" t="s">
        <v>868</v>
      </c>
      <c r="BF127" t="s">
        <v>869</v>
      </c>
      <c r="BH127" t="s">
        <v>77</v>
      </c>
      <c r="BI127" t="s">
        <v>129</v>
      </c>
      <c r="BJ127" t="s">
        <v>79</v>
      </c>
      <c r="BM127">
        <v>0</v>
      </c>
      <c r="BN127">
        <v>2</v>
      </c>
      <c r="BO127">
        <v>2</v>
      </c>
      <c r="BP127" t="s">
        <v>80</v>
      </c>
      <c r="BR127">
        <v>0</v>
      </c>
      <c r="BS127">
        <v>6</v>
      </c>
      <c r="BU127">
        <v>2320000</v>
      </c>
    </row>
    <row r="128" spans="1:73" x14ac:dyDescent="0.3">
      <c r="A128" t="s">
        <v>873</v>
      </c>
      <c r="B128">
        <v>0</v>
      </c>
      <c r="C128">
        <v>0</v>
      </c>
      <c r="D128">
        <v>1</v>
      </c>
      <c r="E128">
        <v>20000</v>
      </c>
      <c r="F128">
        <v>0</v>
      </c>
      <c r="G128">
        <v>0</v>
      </c>
      <c r="H128">
        <v>2</v>
      </c>
      <c r="I128">
        <v>40000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73535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19792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4</v>
      </c>
      <c r="BC128" s="1">
        <v>133327</v>
      </c>
      <c r="BD128" t="s">
        <v>74</v>
      </c>
      <c r="BE128" t="s">
        <v>874</v>
      </c>
      <c r="BF128" t="s">
        <v>875</v>
      </c>
      <c r="BH128" t="s">
        <v>77</v>
      </c>
      <c r="BI128" t="s">
        <v>593</v>
      </c>
      <c r="BJ128" t="s">
        <v>79</v>
      </c>
      <c r="BM128">
        <v>2</v>
      </c>
      <c r="BN128">
        <v>2</v>
      </c>
      <c r="BO128">
        <v>4</v>
      </c>
      <c r="BP128" t="s">
        <v>80</v>
      </c>
      <c r="BR128">
        <v>0</v>
      </c>
      <c r="BS128">
        <v>6</v>
      </c>
      <c r="BU128">
        <v>153327</v>
      </c>
    </row>
    <row r="129" spans="1:73" x14ac:dyDescent="0.3">
      <c r="A129" t="s">
        <v>876</v>
      </c>
      <c r="B129">
        <v>1</v>
      </c>
      <c r="C129">
        <v>231920</v>
      </c>
      <c r="D129">
        <v>1</v>
      </c>
      <c r="E129">
        <v>222857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57208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</v>
      </c>
      <c r="BC129" s="1">
        <v>817835</v>
      </c>
      <c r="BD129" t="s">
        <v>74</v>
      </c>
      <c r="BE129" t="s">
        <v>877</v>
      </c>
      <c r="BF129" t="s">
        <v>878</v>
      </c>
      <c r="BH129" t="s">
        <v>77</v>
      </c>
      <c r="BI129" t="s">
        <v>88</v>
      </c>
      <c r="BJ129" t="s">
        <v>79</v>
      </c>
      <c r="BM129">
        <v>1</v>
      </c>
      <c r="BN129">
        <v>2</v>
      </c>
      <c r="BO129">
        <v>3</v>
      </c>
      <c r="BP129" t="s">
        <v>80</v>
      </c>
      <c r="BR129">
        <v>0</v>
      </c>
      <c r="BS129">
        <v>6</v>
      </c>
      <c r="BU129">
        <v>511985</v>
      </c>
    </row>
    <row r="130" spans="1:73" x14ac:dyDescent="0.3">
      <c r="A130" t="s">
        <v>882</v>
      </c>
      <c r="B130">
        <v>0</v>
      </c>
      <c r="C130">
        <v>0</v>
      </c>
      <c r="D130">
        <v>4</v>
      </c>
      <c r="E130">
        <v>831125</v>
      </c>
      <c r="F130">
        <v>0</v>
      </c>
      <c r="G130">
        <v>0</v>
      </c>
      <c r="H130">
        <v>5</v>
      </c>
      <c r="I130">
        <v>161459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11</v>
      </c>
      <c r="BC130" s="1">
        <v>1754667</v>
      </c>
      <c r="BD130" t="s">
        <v>74</v>
      </c>
      <c r="BE130" t="s">
        <v>883</v>
      </c>
      <c r="BF130" t="s">
        <v>884</v>
      </c>
      <c r="BH130" t="s">
        <v>77</v>
      </c>
      <c r="BI130" t="s">
        <v>204</v>
      </c>
      <c r="BJ130" t="s">
        <v>79</v>
      </c>
      <c r="BM130">
        <v>0</v>
      </c>
      <c r="BN130">
        <v>2</v>
      </c>
      <c r="BO130">
        <v>2</v>
      </c>
      <c r="BP130" t="s">
        <v>80</v>
      </c>
      <c r="BR130">
        <v>0</v>
      </c>
      <c r="BS130">
        <v>6</v>
      </c>
      <c r="BU130">
        <v>992584</v>
      </c>
    </row>
    <row r="131" spans="1:73" x14ac:dyDescent="0.3">
      <c r="A131" t="s">
        <v>885</v>
      </c>
      <c r="B131">
        <v>0</v>
      </c>
      <c r="C131">
        <v>136364</v>
      </c>
      <c r="D131">
        <v>3</v>
      </c>
      <c r="E131">
        <v>235454</v>
      </c>
      <c r="F131">
        <v>0</v>
      </c>
      <c r="G131">
        <v>0</v>
      </c>
      <c r="H131">
        <v>4</v>
      </c>
      <c r="I131">
        <v>107272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6</v>
      </c>
      <c r="BC131" s="1">
        <v>607272</v>
      </c>
      <c r="BD131" t="s">
        <v>74</v>
      </c>
      <c r="BE131" t="s">
        <v>886</v>
      </c>
      <c r="BF131" t="s">
        <v>887</v>
      </c>
      <c r="BH131" t="s">
        <v>77</v>
      </c>
      <c r="BI131" t="s">
        <v>204</v>
      </c>
      <c r="BJ131" t="s">
        <v>79</v>
      </c>
      <c r="BM131">
        <v>0</v>
      </c>
      <c r="BN131">
        <v>2</v>
      </c>
      <c r="BO131">
        <v>2</v>
      </c>
      <c r="BP131" t="s">
        <v>80</v>
      </c>
      <c r="BR131">
        <v>0</v>
      </c>
      <c r="BS131">
        <v>6</v>
      </c>
      <c r="BU131">
        <v>479090</v>
      </c>
    </row>
    <row r="132" spans="1:73" x14ac:dyDescent="0.3">
      <c r="A132" t="s">
        <v>888</v>
      </c>
      <c r="B132">
        <v>0</v>
      </c>
      <c r="C132">
        <v>0</v>
      </c>
      <c r="D132">
        <v>2</v>
      </c>
      <c r="E132">
        <v>290000</v>
      </c>
      <c r="F132">
        <v>0</v>
      </c>
      <c r="G132">
        <v>0</v>
      </c>
      <c r="H132">
        <v>2</v>
      </c>
      <c r="I132">
        <v>40000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19792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7</v>
      </c>
      <c r="BC132" s="1">
        <v>693119</v>
      </c>
      <c r="BD132" t="s">
        <v>74</v>
      </c>
      <c r="BE132" t="s">
        <v>889</v>
      </c>
      <c r="BF132" t="s">
        <v>890</v>
      </c>
      <c r="BH132" t="s">
        <v>77</v>
      </c>
      <c r="BI132" t="s">
        <v>593</v>
      </c>
      <c r="BJ132" t="s">
        <v>79</v>
      </c>
      <c r="BM132">
        <v>1</v>
      </c>
      <c r="BN132">
        <v>2</v>
      </c>
      <c r="BO132">
        <v>3</v>
      </c>
      <c r="BP132" t="s">
        <v>80</v>
      </c>
      <c r="BR132">
        <v>0</v>
      </c>
      <c r="BS132">
        <v>6</v>
      </c>
      <c r="BU132">
        <v>349792</v>
      </c>
    </row>
    <row r="133" spans="1:73" x14ac:dyDescent="0.3">
      <c r="A133" t="s">
        <v>909</v>
      </c>
      <c r="B133">
        <v>0</v>
      </c>
      <c r="C133">
        <v>0</v>
      </c>
      <c r="D133">
        <v>1</v>
      </c>
      <c r="E133">
        <v>160000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 s="1">
        <v>160000</v>
      </c>
      <c r="BD133" t="s">
        <v>74</v>
      </c>
      <c r="BE133" t="s">
        <v>910</v>
      </c>
      <c r="BF133" t="s">
        <v>911</v>
      </c>
      <c r="BH133" t="s">
        <v>77</v>
      </c>
      <c r="BI133" t="s">
        <v>92</v>
      </c>
      <c r="BJ133" t="s">
        <v>79</v>
      </c>
      <c r="BM133">
        <v>0</v>
      </c>
      <c r="BN133">
        <v>1</v>
      </c>
      <c r="BO133">
        <v>1</v>
      </c>
      <c r="BP133" t="s">
        <v>80</v>
      </c>
      <c r="BR133">
        <v>0</v>
      </c>
      <c r="BS133">
        <v>0</v>
      </c>
      <c r="BU133">
        <v>160000</v>
      </c>
    </row>
    <row r="134" spans="1:73" x14ac:dyDescent="0.3">
      <c r="A134" t="s">
        <v>915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20000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 s="1">
        <v>20000</v>
      </c>
      <c r="BD134" t="s">
        <v>74</v>
      </c>
      <c r="BE134" t="s">
        <v>916</v>
      </c>
      <c r="BF134" t="s">
        <v>917</v>
      </c>
      <c r="BH134" t="s">
        <v>77</v>
      </c>
      <c r="BI134" t="s">
        <v>593</v>
      </c>
      <c r="BJ134" t="s">
        <v>79</v>
      </c>
      <c r="BM134">
        <v>0</v>
      </c>
      <c r="BN134">
        <v>1</v>
      </c>
      <c r="BO134">
        <v>1</v>
      </c>
      <c r="BP134" t="s">
        <v>80</v>
      </c>
      <c r="BR134">
        <v>0</v>
      </c>
      <c r="BS134">
        <v>6</v>
      </c>
      <c r="BU134">
        <v>20000</v>
      </c>
    </row>
    <row r="135" spans="1:73" x14ac:dyDescent="0.3">
      <c r="A135" t="s">
        <v>918</v>
      </c>
      <c r="B135">
        <v>5</v>
      </c>
      <c r="C135">
        <v>1780097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80000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9</v>
      </c>
      <c r="BC135" s="1">
        <v>1860097</v>
      </c>
      <c r="BD135" t="s">
        <v>74</v>
      </c>
      <c r="BE135" t="s">
        <v>919</v>
      </c>
      <c r="BF135" t="s">
        <v>920</v>
      </c>
      <c r="BH135" t="s">
        <v>77</v>
      </c>
      <c r="BI135" t="s">
        <v>92</v>
      </c>
      <c r="BJ135" t="s">
        <v>79</v>
      </c>
      <c r="BM135">
        <v>0</v>
      </c>
      <c r="BN135">
        <v>2</v>
      </c>
      <c r="BO135">
        <v>2</v>
      </c>
      <c r="BP135" t="s">
        <v>80</v>
      </c>
      <c r="BR135">
        <v>0</v>
      </c>
      <c r="BS135">
        <v>6</v>
      </c>
      <c r="BU135">
        <v>1860097</v>
      </c>
    </row>
    <row r="136" spans="1:73" x14ac:dyDescent="0.3">
      <c r="A136" t="s">
        <v>921</v>
      </c>
      <c r="B136">
        <v>1</v>
      </c>
      <c r="C136">
        <v>554305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45682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11526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3</v>
      </c>
      <c r="BC136" s="1">
        <v>611513</v>
      </c>
      <c r="BD136" t="s">
        <v>74</v>
      </c>
      <c r="BE136" t="s">
        <v>922</v>
      </c>
      <c r="BF136" t="s">
        <v>923</v>
      </c>
      <c r="BH136" t="s">
        <v>77</v>
      </c>
      <c r="BI136" t="s">
        <v>204</v>
      </c>
      <c r="BJ136" t="s">
        <v>79</v>
      </c>
      <c r="BM136">
        <v>2</v>
      </c>
      <c r="BN136">
        <v>1</v>
      </c>
      <c r="BO136">
        <v>3</v>
      </c>
      <c r="BP136" t="s">
        <v>80</v>
      </c>
      <c r="BR136">
        <v>0</v>
      </c>
      <c r="BS136">
        <v>6</v>
      </c>
      <c r="BU136">
        <v>611513</v>
      </c>
    </row>
    <row r="137" spans="1:73" x14ac:dyDescent="0.3">
      <c r="A137" t="s">
        <v>924</v>
      </c>
      <c r="B137">
        <v>2</v>
      </c>
      <c r="C137">
        <v>488489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3</v>
      </c>
      <c r="BC137" s="1">
        <v>567074</v>
      </c>
      <c r="BD137" t="s">
        <v>74</v>
      </c>
      <c r="BE137" t="s">
        <v>925</v>
      </c>
      <c r="BF137" t="s">
        <v>926</v>
      </c>
      <c r="BH137" t="s">
        <v>77</v>
      </c>
      <c r="BI137" t="s">
        <v>88</v>
      </c>
      <c r="BJ137" t="s">
        <v>79</v>
      </c>
      <c r="BM137">
        <v>0</v>
      </c>
      <c r="BN137">
        <v>1</v>
      </c>
      <c r="BO137">
        <v>1</v>
      </c>
      <c r="BP137" t="s">
        <v>80</v>
      </c>
      <c r="BR137">
        <v>0</v>
      </c>
      <c r="BS137">
        <v>6</v>
      </c>
      <c r="BU137">
        <v>488489</v>
      </c>
    </row>
    <row r="138" spans="1:73" x14ac:dyDescent="0.3">
      <c r="A138" t="s">
        <v>927</v>
      </c>
      <c r="B138">
        <v>1</v>
      </c>
      <c r="C138">
        <v>297349</v>
      </c>
      <c r="D138">
        <v>1</v>
      </c>
      <c r="E138">
        <v>270000</v>
      </c>
      <c r="F138">
        <v>0</v>
      </c>
      <c r="G138">
        <v>0</v>
      </c>
      <c r="H138">
        <v>1</v>
      </c>
      <c r="I138">
        <v>20000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</v>
      </c>
      <c r="BC138" s="1">
        <v>587349</v>
      </c>
      <c r="BD138" t="s">
        <v>74</v>
      </c>
      <c r="BE138" t="s">
        <v>928</v>
      </c>
      <c r="BF138" t="s">
        <v>929</v>
      </c>
      <c r="BH138" t="s">
        <v>77</v>
      </c>
      <c r="BI138" t="s">
        <v>593</v>
      </c>
      <c r="BJ138" t="s">
        <v>79</v>
      </c>
      <c r="BM138">
        <v>0</v>
      </c>
      <c r="BN138">
        <v>3</v>
      </c>
      <c r="BO138">
        <v>3</v>
      </c>
      <c r="BP138" t="s">
        <v>80</v>
      </c>
      <c r="BR138">
        <v>0</v>
      </c>
      <c r="BS138">
        <v>6</v>
      </c>
      <c r="BU138">
        <v>587349</v>
      </c>
    </row>
    <row r="139" spans="1:73" x14ac:dyDescent="0.3">
      <c r="A139" t="s">
        <v>930</v>
      </c>
      <c r="B139">
        <v>1</v>
      </c>
      <c r="C139">
        <v>625280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77098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57208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7</v>
      </c>
      <c r="BC139" s="1">
        <v>839585</v>
      </c>
      <c r="BD139" t="s">
        <v>74</v>
      </c>
      <c r="BE139" t="s">
        <v>931</v>
      </c>
      <c r="BF139" t="s">
        <v>932</v>
      </c>
      <c r="BH139" t="s">
        <v>77</v>
      </c>
      <c r="BI139" t="s">
        <v>204</v>
      </c>
      <c r="BJ139" t="s">
        <v>79</v>
      </c>
      <c r="BM139">
        <v>1</v>
      </c>
      <c r="BN139">
        <v>2</v>
      </c>
      <c r="BO139">
        <v>3</v>
      </c>
      <c r="BP139" t="s">
        <v>80</v>
      </c>
      <c r="BR139">
        <v>0</v>
      </c>
      <c r="BS139">
        <v>6</v>
      </c>
      <c r="BU139">
        <v>759586</v>
      </c>
    </row>
    <row r="140" spans="1:73" x14ac:dyDescent="0.3">
      <c r="A140" t="s">
        <v>936</v>
      </c>
      <c r="B140">
        <v>4</v>
      </c>
      <c r="C140">
        <v>1648110</v>
      </c>
      <c r="D140">
        <v>2</v>
      </c>
      <c r="E140">
        <v>66496</v>
      </c>
      <c r="F140">
        <v>0</v>
      </c>
      <c r="G140">
        <v>0</v>
      </c>
      <c r="H140">
        <v>7</v>
      </c>
      <c r="I140">
        <v>165587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14</v>
      </c>
      <c r="BC140" s="1">
        <v>2292424</v>
      </c>
      <c r="BD140" t="s">
        <v>74</v>
      </c>
      <c r="BE140" t="s">
        <v>937</v>
      </c>
      <c r="BF140" t="s">
        <v>938</v>
      </c>
      <c r="BH140" t="s">
        <v>136</v>
      </c>
      <c r="BI140" t="s">
        <v>939</v>
      </c>
      <c r="BJ140" t="s">
        <v>125</v>
      </c>
      <c r="BM140">
        <v>0</v>
      </c>
      <c r="BN140">
        <v>3</v>
      </c>
      <c r="BO140">
        <v>3</v>
      </c>
      <c r="BP140" t="s">
        <v>80</v>
      </c>
      <c r="BR140">
        <v>0</v>
      </c>
      <c r="BS140">
        <v>6</v>
      </c>
      <c r="BU140">
        <v>1880193</v>
      </c>
    </row>
    <row r="141" spans="1:73" x14ac:dyDescent="0.3">
      <c r="A141" t="s">
        <v>953</v>
      </c>
      <c r="B141">
        <v>0</v>
      </c>
      <c r="C141">
        <v>0</v>
      </c>
      <c r="D141">
        <v>2</v>
      </c>
      <c r="E141">
        <v>697486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3</v>
      </c>
      <c r="BC141" s="1">
        <v>1197486</v>
      </c>
      <c r="BD141" t="s">
        <v>74</v>
      </c>
      <c r="BE141" t="s">
        <v>954</v>
      </c>
      <c r="BF141" t="s">
        <v>955</v>
      </c>
      <c r="BH141" t="s">
        <v>114</v>
      </c>
      <c r="BI141" t="s">
        <v>956</v>
      </c>
      <c r="BJ141" t="s">
        <v>79</v>
      </c>
      <c r="BM141">
        <v>0</v>
      </c>
      <c r="BN141">
        <v>1</v>
      </c>
      <c r="BO141">
        <v>1</v>
      </c>
      <c r="BP141" t="s">
        <v>80</v>
      </c>
      <c r="BR141">
        <v>0</v>
      </c>
      <c r="BS141">
        <v>6</v>
      </c>
      <c r="BU141">
        <v>697486</v>
      </c>
    </row>
    <row r="142" spans="1:73" x14ac:dyDescent="0.3">
      <c r="A142" t="s">
        <v>957</v>
      </c>
      <c r="B142">
        <v>0</v>
      </c>
      <c r="C142">
        <v>0</v>
      </c>
      <c r="D142">
        <v>4</v>
      </c>
      <c r="E142">
        <v>5590909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41</v>
      </c>
      <c r="BC142" s="1">
        <v>11538495</v>
      </c>
      <c r="BD142" t="s">
        <v>74</v>
      </c>
      <c r="BE142" t="s">
        <v>958</v>
      </c>
      <c r="BF142" t="s">
        <v>959</v>
      </c>
      <c r="BH142" t="s">
        <v>77</v>
      </c>
      <c r="BI142" t="s">
        <v>574</v>
      </c>
      <c r="BJ142" t="s">
        <v>79</v>
      </c>
      <c r="BM142">
        <v>0</v>
      </c>
      <c r="BN142">
        <v>1</v>
      </c>
      <c r="BO142">
        <v>1</v>
      </c>
      <c r="BP142" t="s">
        <v>80</v>
      </c>
      <c r="BR142">
        <v>0</v>
      </c>
      <c r="BS142">
        <v>5</v>
      </c>
      <c r="BU142">
        <v>5590909</v>
      </c>
    </row>
    <row r="143" spans="1:73" x14ac:dyDescent="0.3">
      <c r="A143" t="s">
        <v>960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152120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19792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5</v>
      </c>
      <c r="BC143" s="1">
        <v>324032</v>
      </c>
      <c r="BD143" t="s">
        <v>74</v>
      </c>
      <c r="BE143" t="s">
        <v>961</v>
      </c>
      <c r="BF143" t="s">
        <v>962</v>
      </c>
      <c r="BH143" t="s">
        <v>77</v>
      </c>
      <c r="BI143" t="s">
        <v>739</v>
      </c>
      <c r="BJ143" t="s">
        <v>79</v>
      </c>
      <c r="BM143">
        <v>2</v>
      </c>
      <c r="BN143">
        <v>0</v>
      </c>
      <c r="BO143">
        <v>2</v>
      </c>
      <c r="BP143" t="s">
        <v>80</v>
      </c>
      <c r="BR143">
        <v>0</v>
      </c>
      <c r="BS143">
        <v>0</v>
      </c>
      <c r="BU143">
        <v>171912</v>
      </c>
    </row>
    <row r="144" spans="1:73" x14ac:dyDescent="0.3">
      <c r="A144" t="s">
        <v>963</v>
      </c>
      <c r="B144">
        <v>0</v>
      </c>
      <c r="C144">
        <v>0</v>
      </c>
      <c r="D144">
        <v>1</v>
      </c>
      <c r="E144">
        <v>1000000</v>
      </c>
      <c r="F144">
        <v>0</v>
      </c>
      <c r="G144">
        <v>0</v>
      </c>
      <c r="H144">
        <v>8</v>
      </c>
      <c r="I144">
        <v>160000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73535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12</v>
      </c>
      <c r="BC144" s="1">
        <v>1403509</v>
      </c>
      <c r="BD144" t="s">
        <v>74</v>
      </c>
      <c r="BE144" t="s">
        <v>964</v>
      </c>
      <c r="BF144" t="s">
        <v>965</v>
      </c>
      <c r="BH144" t="s">
        <v>77</v>
      </c>
      <c r="BI144" t="s">
        <v>593</v>
      </c>
      <c r="BJ144" t="s">
        <v>79</v>
      </c>
      <c r="BM144">
        <v>1</v>
      </c>
      <c r="BN144">
        <v>2</v>
      </c>
      <c r="BO144">
        <v>3</v>
      </c>
      <c r="BP144" t="s">
        <v>80</v>
      </c>
      <c r="BR144">
        <v>0</v>
      </c>
      <c r="BS144">
        <v>6</v>
      </c>
      <c r="BU144">
        <v>1233535</v>
      </c>
    </row>
    <row r="145" spans="1:73" x14ac:dyDescent="0.3">
      <c r="A145" t="s">
        <v>968</v>
      </c>
      <c r="B145">
        <v>0</v>
      </c>
      <c r="C145">
        <v>0</v>
      </c>
      <c r="D145">
        <v>1</v>
      </c>
      <c r="E145">
        <v>2000000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 s="1">
        <v>2000000</v>
      </c>
      <c r="BD145" t="s">
        <v>74</v>
      </c>
      <c r="BE145" t="s">
        <v>969</v>
      </c>
      <c r="BF145" t="s">
        <v>970</v>
      </c>
      <c r="BH145" t="s">
        <v>77</v>
      </c>
      <c r="BI145" t="s">
        <v>84</v>
      </c>
      <c r="BJ145" t="s">
        <v>79</v>
      </c>
      <c r="BM145">
        <v>0</v>
      </c>
      <c r="BN145">
        <v>1</v>
      </c>
      <c r="BO145">
        <v>1</v>
      </c>
      <c r="BP145" t="s">
        <v>80</v>
      </c>
      <c r="BR145">
        <v>0</v>
      </c>
      <c r="BS145">
        <v>6</v>
      </c>
      <c r="BU145">
        <v>2000000</v>
      </c>
    </row>
    <row r="146" spans="1:73" x14ac:dyDescent="0.3">
      <c r="A146" t="s">
        <v>974</v>
      </c>
      <c r="B146">
        <v>0</v>
      </c>
      <c r="C146">
        <v>0</v>
      </c>
      <c r="D146">
        <v>1</v>
      </c>
      <c r="E146">
        <v>500000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 s="1">
        <v>500000</v>
      </c>
      <c r="BD146" t="s">
        <v>74</v>
      </c>
      <c r="BE146" t="s">
        <v>975</v>
      </c>
      <c r="BF146" t="s">
        <v>976</v>
      </c>
      <c r="BH146" t="s">
        <v>77</v>
      </c>
      <c r="BI146" t="s">
        <v>593</v>
      </c>
      <c r="BJ146" t="s">
        <v>79</v>
      </c>
      <c r="BM146">
        <v>0</v>
      </c>
      <c r="BN146">
        <v>1</v>
      </c>
      <c r="BO146">
        <v>1</v>
      </c>
      <c r="BP146" t="s">
        <v>80</v>
      </c>
      <c r="BR146">
        <v>0</v>
      </c>
      <c r="BS146">
        <v>6</v>
      </c>
      <c r="BU146">
        <v>500000</v>
      </c>
    </row>
    <row r="147" spans="1:73" x14ac:dyDescent="0.3">
      <c r="A147" t="s">
        <v>994</v>
      </c>
      <c r="B147">
        <v>0</v>
      </c>
      <c r="C147">
        <v>0</v>
      </c>
      <c r="D147">
        <v>1</v>
      </c>
      <c r="E147">
        <v>231428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 s="1">
        <v>231428</v>
      </c>
      <c r="BD147" t="s">
        <v>74</v>
      </c>
      <c r="BE147" t="s">
        <v>995</v>
      </c>
      <c r="BF147" t="s">
        <v>996</v>
      </c>
      <c r="BH147" t="s">
        <v>77</v>
      </c>
      <c r="BI147" t="s">
        <v>204</v>
      </c>
      <c r="BJ147" t="s">
        <v>79</v>
      </c>
      <c r="BM147">
        <v>0</v>
      </c>
      <c r="BN147">
        <v>1</v>
      </c>
      <c r="BO147">
        <v>1</v>
      </c>
      <c r="BP147" t="s">
        <v>80</v>
      </c>
      <c r="BR147">
        <v>0</v>
      </c>
      <c r="BS147">
        <v>6</v>
      </c>
      <c r="BU147">
        <v>231428</v>
      </c>
    </row>
    <row r="148" spans="1:73" x14ac:dyDescent="0.3">
      <c r="A148" t="s">
        <v>997</v>
      </c>
      <c r="B148">
        <v>0</v>
      </c>
      <c r="C148">
        <v>0</v>
      </c>
      <c r="D148">
        <v>1</v>
      </c>
      <c r="E148">
        <v>230000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 s="1">
        <v>230000</v>
      </c>
      <c r="BD148" t="s">
        <v>74</v>
      </c>
      <c r="BE148" t="s">
        <v>998</v>
      </c>
      <c r="BF148" t="s">
        <v>999</v>
      </c>
      <c r="BH148" t="s">
        <v>77</v>
      </c>
      <c r="BI148" t="s">
        <v>78</v>
      </c>
      <c r="BJ148" t="s">
        <v>79</v>
      </c>
      <c r="BM148">
        <v>0</v>
      </c>
      <c r="BN148">
        <v>1</v>
      </c>
      <c r="BO148">
        <v>1</v>
      </c>
      <c r="BP148" t="s">
        <v>99</v>
      </c>
      <c r="BR148">
        <v>0</v>
      </c>
      <c r="BS148">
        <v>6</v>
      </c>
      <c r="BU148">
        <v>230000</v>
      </c>
    </row>
    <row r="149" spans="1:73" x14ac:dyDescent="0.3">
      <c r="A149" t="s">
        <v>1007</v>
      </c>
      <c r="B149">
        <v>0</v>
      </c>
      <c r="C149">
        <v>0</v>
      </c>
      <c r="D149">
        <v>3</v>
      </c>
      <c r="E149">
        <v>690000</v>
      </c>
      <c r="F149">
        <v>0</v>
      </c>
      <c r="G149">
        <v>0</v>
      </c>
      <c r="H149">
        <v>4</v>
      </c>
      <c r="I149">
        <v>80000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6</v>
      </c>
      <c r="BC149" s="1">
        <v>1380000</v>
      </c>
      <c r="BD149" t="s">
        <v>74</v>
      </c>
      <c r="BE149" t="s">
        <v>1008</v>
      </c>
      <c r="BF149" t="s">
        <v>1009</v>
      </c>
      <c r="BH149" t="s">
        <v>77</v>
      </c>
      <c r="BI149" t="s">
        <v>88</v>
      </c>
      <c r="BJ149" t="s">
        <v>79</v>
      </c>
      <c r="BM149">
        <v>0</v>
      </c>
      <c r="BN149">
        <v>2</v>
      </c>
      <c r="BO149">
        <v>2</v>
      </c>
      <c r="BP149" t="s">
        <v>80</v>
      </c>
      <c r="BR149">
        <v>0</v>
      </c>
      <c r="BS149">
        <v>6</v>
      </c>
      <c r="BU149">
        <v>770000</v>
      </c>
    </row>
    <row r="150" spans="1:73" x14ac:dyDescent="0.3">
      <c r="A150" t="s">
        <v>1013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73535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19792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3</v>
      </c>
      <c r="BC150" s="1">
        <v>166862</v>
      </c>
      <c r="BD150" t="s">
        <v>74</v>
      </c>
      <c r="BE150" t="s">
        <v>1014</v>
      </c>
      <c r="BF150" t="s">
        <v>1015</v>
      </c>
      <c r="BH150" t="s">
        <v>77</v>
      </c>
      <c r="BI150" t="s">
        <v>92</v>
      </c>
      <c r="BJ150" t="s">
        <v>79</v>
      </c>
      <c r="BM150">
        <v>2</v>
      </c>
      <c r="BN150">
        <v>0</v>
      </c>
      <c r="BO150">
        <v>2</v>
      </c>
      <c r="BP150" t="s">
        <v>80</v>
      </c>
      <c r="BR150">
        <v>0</v>
      </c>
      <c r="BS150">
        <v>6</v>
      </c>
      <c r="BU150">
        <v>93327</v>
      </c>
    </row>
    <row r="151" spans="1:73" x14ac:dyDescent="0.3">
      <c r="A151" t="s">
        <v>1016</v>
      </c>
      <c r="B151">
        <v>0</v>
      </c>
      <c r="C151">
        <v>0</v>
      </c>
      <c r="D151">
        <v>2</v>
      </c>
      <c r="E151">
        <v>298036</v>
      </c>
      <c r="F151">
        <v>0</v>
      </c>
      <c r="G151">
        <v>0</v>
      </c>
      <c r="H151">
        <v>2</v>
      </c>
      <c r="I151">
        <v>148949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</v>
      </c>
      <c r="BC151" s="1">
        <v>745021</v>
      </c>
      <c r="BD151" t="s">
        <v>74</v>
      </c>
      <c r="BE151" t="s">
        <v>1017</v>
      </c>
      <c r="BF151" t="s">
        <v>1018</v>
      </c>
      <c r="BH151" t="s">
        <v>77</v>
      </c>
      <c r="BI151" t="s">
        <v>204</v>
      </c>
      <c r="BJ151" t="s">
        <v>79</v>
      </c>
      <c r="BM151">
        <v>0</v>
      </c>
      <c r="BN151">
        <v>2</v>
      </c>
      <c r="BO151">
        <v>2</v>
      </c>
      <c r="BP151" t="s">
        <v>80</v>
      </c>
      <c r="BR151">
        <v>0</v>
      </c>
      <c r="BS151">
        <v>6</v>
      </c>
      <c r="BU151">
        <v>446985</v>
      </c>
    </row>
    <row r="152" spans="1:73" x14ac:dyDescent="0.3">
      <c r="A152" t="s">
        <v>1022</v>
      </c>
      <c r="B152">
        <v>0</v>
      </c>
      <c r="C152">
        <v>0</v>
      </c>
      <c r="D152">
        <v>6</v>
      </c>
      <c r="E152">
        <v>2771428</v>
      </c>
      <c r="F152">
        <v>0</v>
      </c>
      <c r="G152">
        <v>0</v>
      </c>
      <c r="H152">
        <v>8</v>
      </c>
      <c r="I152">
        <v>160000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73535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13</v>
      </c>
      <c r="BC152" s="1">
        <v>5616391</v>
      </c>
      <c r="BD152" t="s">
        <v>74</v>
      </c>
      <c r="BE152" t="s">
        <v>1023</v>
      </c>
      <c r="BF152" t="s">
        <v>1024</v>
      </c>
      <c r="BH152" t="s">
        <v>77</v>
      </c>
      <c r="BI152" t="s">
        <v>129</v>
      </c>
      <c r="BJ152" t="s">
        <v>79</v>
      </c>
      <c r="BM152">
        <v>1</v>
      </c>
      <c r="BN152">
        <v>2</v>
      </c>
      <c r="BO152">
        <v>3</v>
      </c>
      <c r="BP152" t="s">
        <v>80</v>
      </c>
      <c r="BR152">
        <v>0</v>
      </c>
      <c r="BS152">
        <v>6</v>
      </c>
      <c r="BU152">
        <v>3004963</v>
      </c>
    </row>
    <row r="153" spans="1:73" x14ac:dyDescent="0.3">
      <c r="A153" t="s">
        <v>1028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20000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 s="1">
        <v>20000</v>
      </c>
      <c r="BD153" t="s">
        <v>74</v>
      </c>
      <c r="BE153" t="s">
        <v>1029</v>
      </c>
      <c r="BF153" t="s">
        <v>1030</v>
      </c>
      <c r="BH153" t="s">
        <v>77</v>
      </c>
      <c r="BI153" t="s">
        <v>720</v>
      </c>
      <c r="BJ153" t="s">
        <v>79</v>
      </c>
      <c r="BM153">
        <v>0</v>
      </c>
      <c r="BN153">
        <v>1</v>
      </c>
      <c r="BO153">
        <v>1</v>
      </c>
      <c r="BP153" t="s">
        <v>80</v>
      </c>
      <c r="BR153">
        <v>0</v>
      </c>
      <c r="BS153">
        <v>6</v>
      </c>
      <c r="BU153">
        <v>20000</v>
      </c>
    </row>
    <row r="154" spans="1:73" x14ac:dyDescent="0.3">
      <c r="A154" t="s">
        <v>1038</v>
      </c>
      <c r="B154">
        <v>0</v>
      </c>
      <c r="C154">
        <v>0</v>
      </c>
      <c r="D154">
        <v>1</v>
      </c>
      <c r="E154">
        <v>184000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 s="1">
        <v>184000</v>
      </c>
      <c r="BD154" t="s">
        <v>74</v>
      </c>
      <c r="BE154" t="s">
        <v>1039</v>
      </c>
      <c r="BF154" t="s">
        <v>1040</v>
      </c>
      <c r="BH154" t="s">
        <v>77</v>
      </c>
      <c r="BI154" t="s">
        <v>129</v>
      </c>
      <c r="BJ154" t="s">
        <v>79</v>
      </c>
      <c r="BM154">
        <v>0</v>
      </c>
      <c r="BN154">
        <v>1</v>
      </c>
      <c r="BO154">
        <v>1</v>
      </c>
      <c r="BP154" t="s">
        <v>80</v>
      </c>
      <c r="BR154">
        <v>0</v>
      </c>
      <c r="BS154">
        <v>6</v>
      </c>
      <c r="BU154">
        <v>184000</v>
      </c>
    </row>
    <row r="155" spans="1:73" x14ac:dyDescent="0.3">
      <c r="A155" t="s">
        <v>1041</v>
      </c>
      <c r="B155">
        <v>0</v>
      </c>
      <c r="C155">
        <v>0</v>
      </c>
      <c r="D155">
        <v>1</v>
      </c>
      <c r="E155">
        <v>240000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</v>
      </c>
      <c r="BC155" s="1">
        <v>480000</v>
      </c>
      <c r="BD155" t="s">
        <v>74</v>
      </c>
      <c r="BE155" t="s">
        <v>1042</v>
      </c>
      <c r="BF155" t="s">
        <v>1043</v>
      </c>
      <c r="BH155" t="s">
        <v>136</v>
      </c>
      <c r="BI155" t="s">
        <v>191</v>
      </c>
      <c r="BJ155" t="s">
        <v>125</v>
      </c>
      <c r="BM155">
        <v>0</v>
      </c>
      <c r="BN155">
        <v>1</v>
      </c>
      <c r="BO155">
        <v>1</v>
      </c>
      <c r="BP155" t="s">
        <v>80</v>
      </c>
      <c r="BR155">
        <v>0</v>
      </c>
      <c r="BS155">
        <v>6</v>
      </c>
      <c r="BU155">
        <v>240000</v>
      </c>
    </row>
    <row r="156" spans="1:73" x14ac:dyDescent="0.3">
      <c r="A156" t="s">
        <v>1044</v>
      </c>
      <c r="B156">
        <v>0</v>
      </c>
      <c r="C156">
        <v>0</v>
      </c>
      <c r="D156">
        <v>5</v>
      </c>
      <c r="E156">
        <v>811715</v>
      </c>
      <c r="F156">
        <v>0</v>
      </c>
      <c r="G156">
        <v>0</v>
      </c>
      <c r="H156">
        <v>6</v>
      </c>
      <c r="I156">
        <v>120000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11</v>
      </c>
      <c r="BC156" s="1">
        <v>3423430</v>
      </c>
      <c r="BD156" t="s">
        <v>74</v>
      </c>
      <c r="BE156" t="s">
        <v>1045</v>
      </c>
      <c r="BF156" t="s">
        <v>1046</v>
      </c>
      <c r="BH156" t="s">
        <v>175</v>
      </c>
      <c r="BI156" t="s">
        <v>176</v>
      </c>
      <c r="BJ156" t="s">
        <v>125</v>
      </c>
      <c r="BM156">
        <v>0</v>
      </c>
      <c r="BN156">
        <v>2</v>
      </c>
      <c r="BO156">
        <v>2</v>
      </c>
      <c r="BP156" t="s">
        <v>80</v>
      </c>
      <c r="BR156">
        <v>0</v>
      </c>
      <c r="BS156">
        <v>6</v>
      </c>
      <c r="BU156">
        <v>931715</v>
      </c>
    </row>
    <row r="157" spans="1:73" x14ac:dyDescent="0.3">
      <c r="A157" t="s">
        <v>1047</v>
      </c>
      <c r="B157">
        <v>0</v>
      </c>
      <c r="C157">
        <v>0</v>
      </c>
      <c r="D157">
        <v>1</v>
      </c>
      <c r="E157">
        <v>340000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 s="1">
        <v>340000</v>
      </c>
      <c r="BD157" t="s">
        <v>74</v>
      </c>
      <c r="BE157" t="s">
        <v>1048</v>
      </c>
      <c r="BF157" t="s">
        <v>1049</v>
      </c>
      <c r="BH157" t="s">
        <v>77</v>
      </c>
      <c r="BI157" t="s">
        <v>78</v>
      </c>
      <c r="BJ157" t="s">
        <v>79</v>
      </c>
      <c r="BM157">
        <v>0</v>
      </c>
      <c r="BN157">
        <v>1</v>
      </c>
      <c r="BO157">
        <v>1</v>
      </c>
      <c r="BP157" t="s">
        <v>80</v>
      </c>
      <c r="BR157">
        <v>0</v>
      </c>
      <c r="BS157">
        <v>6</v>
      </c>
      <c r="BU157">
        <v>340000</v>
      </c>
    </row>
    <row r="158" spans="1:73" x14ac:dyDescent="0.3">
      <c r="A158" t="s">
        <v>1056</v>
      </c>
      <c r="B158">
        <v>0</v>
      </c>
      <c r="C158">
        <v>0</v>
      </c>
      <c r="D158">
        <v>1</v>
      </c>
      <c r="E158">
        <v>250000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 s="1">
        <v>250000</v>
      </c>
      <c r="BD158" t="s">
        <v>74</v>
      </c>
      <c r="BE158" t="s">
        <v>1057</v>
      </c>
      <c r="BF158" t="s">
        <v>1058</v>
      </c>
      <c r="BH158" t="s">
        <v>77</v>
      </c>
      <c r="BI158" t="s">
        <v>281</v>
      </c>
      <c r="BJ158" t="s">
        <v>79</v>
      </c>
      <c r="BM158">
        <v>0</v>
      </c>
      <c r="BN158">
        <v>1</v>
      </c>
      <c r="BO158">
        <v>1</v>
      </c>
      <c r="BP158" t="s">
        <v>80</v>
      </c>
      <c r="BR158">
        <v>0</v>
      </c>
      <c r="BS158">
        <v>6</v>
      </c>
      <c r="BU158">
        <v>250000</v>
      </c>
    </row>
    <row r="159" spans="1:73" x14ac:dyDescent="0.3">
      <c r="A159" t="s">
        <v>1059</v>
      </c>
      <c r="B159">
        <v>0</v>
      </c>
      <c r="C159">
        <v>0</v>
      </c>
      <c r="D159">
        <v>6</v>
      </c>
      <c r="E159">
        <v>1623844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42000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8</v>
      </c>
      <c r="BC159" s="1">
        <v>2591557</v>
      </c>
      <c r="BD159" t="s">
        <v>74</v>
      </c>
      <c r="BE159" t="s">
        <v>1060</v>
      </c>
      <c r="BF159" t="s">
        <v>1061</v>
      </c>
      <c r="BH159" t="s">
        <v>114</v>
      </c>
      <c r="BI159" t="s">
        <v>1062</v>
      </c>
      <c r="BJ159" t="s">
        <v>79</v>
      </c>
      <c r="BM159">
        <v>0</v>
      </c>
      <c r="BN159">
        <v>2</v>
      </c>
      <c r="BO159">
        <v>2</v>
      </c>
      <c r="BP159" t="s">
        <v>80</v>
      </c>
      <c r="BR159">
        <v>0</v>
      </c>
      <c r="BS159">
        <v>6</v>
      </c>
      <c r="BU159">
        <v>1665844</v>
      </c>
    </row>
    <row r="160" spans="1:73" x14ac:dyDescent="0.3">
      <c r="A160" t="s">
        <v>1063</v>
      </c>
      <c r="B160">
        <v>0</v>
      </c>
      <c r="C160">
        <v>527273</v>
      </c>
      <c r="D160">
        <v>1</v>
      </c>
      <c r="E160">
        <v>170909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 s="1">
        <v>698182</v>
      </c>
      <c r="BD160" t="s">
        <v>74</v>
      </c>
      <c r="BE160" t="s">
        <v>1064</v>
      </c>
      <c r="BF160" t="s">
        <v>1065</v>
      </c>
      <c r="BH160" t="s">
        <v>77</v>
      </c>
      <c r="BI160" t="s">
        <v>593</v>
      </c>
      <c r="BJ160" t="s">
        <v>79</v>
      </c>
      <c r="BM160">
        <v>0</v>
      </c>
      <c r="BN160">
        <v>1</v>
      </c>
      <c r="BO160">
        <v>1</v>
      </c>
      <c r="BP160" t="s">
        <v>80</v>
      </c>
      <c r="BR160">
        <v>0</v>
      </c>
      <c r="BS160">
        <v>6</v>
      </c>
      <c r="BU160">
        <v>698182</v>
      </c>
    </row>
    <row r="161" spans="1:73" x14ac:dyDescent="0.3">
      <c r="A161" t="s">
        <v>1066</v>
      </c>
      <c r="B161">
        <v>0</v>
      </c>
      <c r="C161">
        <v>0</v>
      </c>
      <c r="D161">
        <v>1</v>
      </c>
      <c r="E161">
        <v>150000</v>
      </c>
      <c r="F161">
        <v>0</v>
      </c>
      <c r="G161">
        <v>0</v>
      </c>
      <c r="H161">
        <v>2</v>
      </c>
      <c r="I161">
        <v>40000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60000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</v>
      </c>
      <c r="BC161" s="1">
        <v>250000</v>
      </c>
      <c r="BD161" t="s">
        <v>74</v>
      </c>
      <c r="BE161" t="s">
        <v>1067</v>
      </c>
      <c r="BF161" t="s">
        <v>1068</v>
      </c>
      <c r="BH161" t="s">
        <v>77</v>
      </c>
      <c r="BI161" t="s">
        <v>92</v>
      </c>
      <c r="BJ161" t="s">
        <v>79</v>
      </c>
      <c r="BM161">
        <v>0</v>
      </c>
      <c r="BN161">
        <v>3</v>
      </c>
      <c r="BO161">
        <v>3</v>
      </c>
      <c r="BP161" t="s">
        <v>80</v>
      </c>
      <c r="BR161">
        <v>0</v>
      </c>
      <c r="BS161">
        <v>6</v>
      </c>
      <c r="BU161">
        <v>250000</v>
      </c>
    </row>
    <row r="162" spans="1:73" x14ac:dyDescent="0.3">
      <c r="A162" t="s">
        <v>1069</v>
      </c>
      <c r="B162">
        <v>0</v>
      </c>
      <c r="C162">
        <v>1615854</v>
      </c>
      <c r="D162">
        <v>4</v>
      </c>
      <c r="E162">
        <v>628935</v>
      </c>
      <c r="F162">
        <v>0</v>
      </c>
      <c r="G162">
        <v>0</v>
      </c>
      <c r="H162">
        <v>4</v>
      </c>
      <c r="I162">
        <v>80000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8</v>
      </c>
      <c r="BC162" s="1">
        <v>2873724</v>
      </c>
      <c r="BD162" t="s">
        <v>74</v>
      </c>
      <c r="BE162" t="s">
        <v>1070</v>
      </c>
      <c r="BF162" t="s">
        <v>1071</v>
      </c>
      <c r="BH162" t="s">
        <v>136</v>
      </c>
      <c r="BI162" t="s">
        <v>137</v>
      </c>
      <c r="BJ162" t="s">
        <v>125</v>
      </c>
      <c r="BM162">
        <v>0</v>
      </c>
      <c r="BN162">
        <v>2</v>
      </c>
      <c r="BO162">
        <v>2</v>
      </c>
      <c r="BP162" t="s">
        <v>80</v>
      </c>
      <c r="BR162">
        <v>0</v>
      </c>
      <c r="BS162">
        <v>6</v>
      </c>
      <c r="BU162">
        <v>2324789</v>
      </c>
    </row>
    <row r="163" spans="1:73" x14ac:dyDescent="0.3">
      <c r="A163" t="s">
        <v>1072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45682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11526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</v>
      </c>
      <c r="BC163" s="1">
        <v>57208</v>
      </c>
      <c r="BD163" t="s">
        <v>74</v>
      </c>
      <c r="BE163" t="s">
        <v>1073</v>
      </c>
      <c r="BF163" t="s">
        <v>91</v>
      </c>
      <c r="BH163" t="s">
        <v>77</v>
      </c>
      <c r="BI163" t="s">
        <v>92</v>
      </c>
      <c r="BJ163" t="s">
        <v>79</v>
      </c>
      <c r="BM163">
        <v>2</v>
      </c>
      <c r="BN163">
        <v>0</v>
      </c>
      <c r="BO163">
        <v>2</v>
      </c>
      <c r="BP163" t="s">
        <v>80</v>
      </c>
      <c r="BR163">
        <v>0</v>
      </c>
      <c r="BS163">
        <v>0</v>
      </c>
      <c r="BU163">
        <v>57208</v>
      </c>
    </row>
    <row r="164" spans="1:73" x14ac:dyDescent="0.3">
      <c r="A164" t="s">
        <v>1074</v>
      </c>
      <c r="B164">
        <v>0</v>
      </c>
      <c r="C164">
        <v>0</v>
      </c>
      <c r="D164">
        <v>1</v>
      </c>
      <c r="E164">
        <v>428571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4</v>
      </c>
      <c r="BC164" s="1">
        <v>1257142</v>
      </c>
      <c r="BD164" t="s">
        <v>74</v>
      </c>
      <c r="BE164" t="s">
        <v>1075</v>
      </c>
      <c r="BF164" t="s">
        <v>1076</v>
      </c>
      <c r="BH164" t="s">
        <v>136</v>
      </c>
      <c r="BI164" t="s">
        <v>539</v>
      </c>
      <c r="BJ164" t="s">
        <v>125</v>
      </c>
      <c r="BM164">
        <v>0</v>
      </c>
      <c r="BN164">
        <v>1</v>
      </c>
      <c r="BO164">
        <v>1</v>
      </c>
      <c r="BP164" t="s">
        <v>80</v>
      </c>
      <c r="BR164">
        <v>0</v>
      </c>
      <c r="BS164">
        <v>6</v>
      </c>
      <c r="BU164">
        <v>428571</v>
      </c>
    </row>
    <row r="165" spans="1:73" x14ac:dyDescent="0.3">
      <c r="A165" t="s">
        <v>1081</v>
      </c>
      <c r="B165">
        <v>0</v>
      </c>
      <c r="C165">
        <v>0</v>
      </c>
      <c r="D165">
        <v>1</v>
      </c>
      <c r="E165">
        <v>340000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 s="1">
        <v>340000</v>
      </c>
      <c r="BD165" t="s">
        <v>74</v>
      </c>
      <c r="BE165" t="s">
        <v>1082</v>
      </c>
      <c r="BF165" t="s">
        <v>1083</v>
      </c>
      <c r="BH165" t="s">
        <v>77</v>
      </c>
      <c r="BI165" t="s">
        <v>204</v>
      </c>
      <c r="BJ165" t="s">
        <v>79</v>
      </c>
      <c r="BM165">
        <v>0</v>
      </c>
      <c r="BN165">
        <v>1</v>
      </c>
      <c r="BO165">
        <v>1</v>
      </c>
      <c r="BP165" t="s">
        <v>80</v>
      </c>
      <c r="BR165">
        <v>0</v>
      </c>
      <c r="BS165">
        <v>6</v>
      </c>
      <c r="BU165">
        <v>340000</v>
      </c>
    </row>
    <row r="166" spans="1:73" x14ac:dyDescent="0.3">
      <c r="A166" t="s">
        <v>1084</v>
      </c>
      <c r="B166">
        <v>0</v>
      </c>
      <c r="C166">
        <v>0</v>
      </c>
      <c r="D166">
        <v>1</v>
      </c>
      <c r="E166">
        <v>171428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</v>
      </c>
      <c r="BC166" s="1">
        <v>342856</v>
      </c>
      <c r="BD166" t="s">
        <v>74</v>
      </c>
      <c r="BE166" t="s">
        <v>1085</v>
      </c>
      <c r="BF166" t="s">
        <v>1086</v>
      </c>
      <c r="BH166" t="s">
        <v>77</v>
      </c>
      <c r="BI166" t="s">
        <v>92</v>
      </c>
      <c r="BJ166" t="s">
        <v>79</v>
      </c>
      <c r="BM166">
        <v>0</v>
      </c>
      <c r="BN166">
        <v>1</v>
      </c>
      <c r="BO166">
        <v>1</v>
      </c>
      <c r="BP166" t="s">
        <v>80</v>
      </c>
      <c r="BR166">
        <v>0</v>
      </c>
      <c r="BS166">
        <v>6</v>
      </c>
      <c r="BU166">
        <v>171428</v>
      </c>
    </row>
    <row r="167" spans="1:73" x14ac:dyDescent="0.3">
      <c r="A167" t="s">
        <v>1087</v>
      </c>
      <c r="B167">
        <v>4</v>
      </c>
      <c r="C167">
        <v>2131783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</v>
      </c>
      <c r="BC167" s="1">
        <v>2131783</v>
      </c>
      <c r="BD167" t="s">
        <v>74</v>
      </c>
      <c r="BE167" t="s">
        <v>1088</v>
      </c>
      <c r="BF167" t="s">
        <v>1089</v>
      </c>
      <c r="BM167">
        <v>0</v>
      </c>
      <c r="BN167">
        <v>1</v>
      </c>
      <c r="BO167">
        <v>1</v>
      </c>
      <c r="BP167" t="s">
        <v>80</v>
      </c>
      <c r="BR167">
        <v>0</v>
      </c>
      <c r="BS167">
        <v>6</v>
      </c>
      <c r="BU167">
        <v>2131783</v>
      </c>
    </row>
    <row r="168" spans="1:73" x14ac:dyDescent="0.3">
      <c r="A168" t="s">
        <v>1090</v>
      </c>
      <c r="B168">
        <v>0</v>
      </c>
      <c r="C168">
        <v>0</v>
      </c>
      <c r="D168">
        <v>1</v>
      </c>
      <c r="E168">
        <v>144000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 s="1">
        <v>144000</v>
      </c>
      <c r="BD168" t="s">
        <v>74</v>
      </c>
      <c r="BE168" t="s">
        <v>1091</v>
      </c>
      <c r="BF168" t="s">
        <v>1092</v>
      </c>
      <c r="BH168" t="s">
        <v>77</v>
      </c>
      <c r="BI168" t="s">
        <v>574</v>
      </c>
      <c r="BJ168" t="s">
        <v>79</v>
      </c>
      <c r="BM168">
        <v>0</v>
      </c>
      <c r="BN168">
        <v>1</v>
      </c>
      <c r="BO168">
        <v>1</v>
      </c>
      <c r="BP168" t="s">
        <v>80</v>
      </c>
      <c r="BR168">
        <v>0</v>
      </c>
      <c r="BS168">
        <v>6</v>
      </c>
      <c r="BU168">
        <v>144000</v>
      </c>
    </row>
    <row r="169" spans="1:73" x14ac:dyDescent="0.3">
      <c r="A169" t="s">
        <v>1093</v>
      </c>
      <c r="B169">
        <v>0</v>
      </c>
      <c r="C169">
        <v>0</v>
      </c>
      <c r="D169">
        <v>2</v>
      </c>
      <c r="E169">
        <v>40888</v>
      </c>
      <c r="F169">
        <v>0</v>
      </c>
      <c r="G169">
        <v>0</v>
      </c>
      <c r="H169">
        <v>3</v>
      </c>
      <c r="I169">
        <v>60888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5</v>
      </c>
      <c r="BC169" s="1">
        <v>660888</v>
      </c>
      <c r="BD169" t="s">
        <v>74</v>
      </c>
      <c r="BE169" t="s">
        <v>1094</v>
      </c>
      <c r="BF169" t="s">
        <v>1095</v>
      </c>
      <c r="BH169" t="s">
        <v>77</v>
      </c>
      <c r="BI169" t="s">
        <v>88</v>
      </c>
      <c r="BJ169" t="s">
        <v>79</v>
      </c>
      <c r="BM169">
        <v>0</v>
      </c>
      <c r="BN169">
        <v>2</v>
      </c>
      <c r="BO169">
        <v>2</v>
      </c>
      <c r="BP169" t="s">
        <v>99</v>
      </c>
      <c r="BR169">
        <v>0</v>
      </c>
      <c r="BS169">
        <v>6</v>
      </c>
      <c r="BU169">
        <v>101776</v>
      </c>
    </row>
    <row r="170" spans="1:73" x14ac:dyDescent="0.3">
      <c r="A170" t="s">
        <v>1096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73535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</v>
      </c>
      <c r="BC170" s="1">
        <v>147070</v>
      </c>
      <c r="BD170" t="s">
        <v>74</v>
      </c>
      <c r="BE170" t="s">
        <v>1097</v>
      </c>
      <c r="BF170" t="s">
        <v>1098</v>
      </c>
      <c r="BH170" t="s">
        <v>77</v>
      </c>
      <c r="BI170" t="s">
        <v>204</v>
      </c>
      <c r="BJ170" t="s">
        <v>79</v>
      </c>
      <c r="BM170">
        <v>1</v>
      </c>
      <c r="BN170">
        <v>0</v>
      </c>
      <c r="BO170">
        <v>1</v>
      </c>
      <c r="BP170" t="s">
        <v>80</v>
      </c>
      <c r="BR170">
        <v>0</v>
      </c>
      <c r="BS170">
        <v>0</v>
      </c>
      <c r="BU170">
        <v>73535</v>
      </c>
    </row>
    <row r="171" spans="1:73" x14ac:dyDescent="0.3">
      <c r="A171" t="s">
        <v>1099</v>
      </c>
      <c r="B171">
        <v>0</v>
      </c>
      <c r="C171">
        <v>0</v>
      </c>
      <c r="D171">
        <v>1</v>
      </c>
      <c r="E171">
        <v>24000</v>
      </c>
      <c r="F171">
        <v>0</v>
      </c>
      <c r="G171">
        <v>0</v>
      </c>
      <c r="H171">
        <v>4</v>
      </c>
      <c r="I171">
        <v>100000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6</v>
      </c>
      <c r="BC171" s="1">
        <v>148000</v>
      </c>
      <c r="BD171" t="s">
        <v>74</v>
      </c>
      <c r="BE171" t="s">
        <v>1100</v>
      </c>
      <c r="BF171" t="s">
        <v>1101</v>
      </c>
      <c r="BH171" t="s">
        <v>77</v>
      </c>
      <c r="BI171" t="s">
        <v>204</v>
      </c>
      <c r="BJ171" t="s">
        <v>79</v>
      </c>
      <c r="BM171">
        <v>0</v>
      </c>
      <c r="BN171">
        <v>2</v>
      </c>
      <c r="BO171">
        <v>2</v>
      </c>
      <c r="BP171" t="s">
        <v>80</v>
      </c>
      <c r="BR171">
        <v>0</v>
      </c>
      <c r="BS171">
        <v>6</v>
      </c>
      <c r="BU171">
        <v>124000</v>
      </c>
    </row>
    <row r="172" spans="1:73" x14ac:dyDescent="0.3">
      <c r="A172" t="s">
        <v>1105</v>
      </c>
      <c r="B172">
        <v>1</v>
      </c>
      <c r="C172">
        <v>144612</v>
      </c>
      <c r="D172">
        <v>1</v>
      </c>
      <c r="E172">
        <v>163636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</v>
      </c>
      <c r="BC172" s="1">
        <v>308248</v>
      </c>
      <c r="BD172" t="s">
        <v>74</v>
      </c>
      <c r="BE172" t="s">
        <v>1106</v>
      </c>
      <c r="BF172" t="s">
        <v>1107</v>
      </c>
      <c r="BH172" t="s">
        <v>77</v>
      </c>
      <c r="BI172" t="s">
        <v>574</v>
      </c>
      <c r="BJ172" t="s">
        <v>79</v>
      </c>
      <c r="BM172">
        <v>0</v>
      </c>
      <c r="BN172">
        <v>2</v>
      </c>
      <c r="BO172">
        <v>2</v>
      </c>
      <c r="BP172" t="s">
        <v>80</v>
      </c>
      <c r="BR172">
        <v>0</v>
      </c>
      <c r="BS172">
        <v>6</v>
      </c>
      <c r="BU172">
        <v>308248</v>
      </c>
    </row>
    <row r="173" spans="1:73" x14ac:dyDescent="0.3">
      <c r="A173" t="s">
        <v>1108</v>
      </c>
      <c r="B173">
        <v>1</v>
      </c>
      <c r="C173">
        <v>208348</v>
      </c>
      <c r="D173">
        <v>3</v>
      </c>
      <c r="E173">
        <v>270000</v>
      </c>
      <c r="F173">
        <v>0</v>
      </c>
      <c r="G173">
        <v>0</v>
      </c>
      <c r="H173">
        <v>4</v>
      </c>
      <c r="I173">
        <v>80000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7</v>
      </c>
      <c r="BC173" s="1">
        <v>748348</v>
      </c>
      <c r="BD173" t="s">
        <v>74</v>
      </c>
      <c r="BE173" t="s">
        <v>1109</v>
      </c>
      <c r="BF173" t="s">
        <v>1110</v>
      </c>
      <c r="BH173" t="s">
        <v>136</v>
      </c>
      <c r="BI173" t="s">
        <v>439</v>
      </c>
      <c r="BJ173" t="s">
        <v>125</v>
      </c>
      <c r="BM173">
        <v>0</v>
      </c>
      <c r="BN173">
        <v>3</v>
      </c>
      <c r="BO173">
        <v>3</v>
      </c>
      <c r="BP173" t="s">
        <v>80</v>
      </c>
      <c r="BR173">
        <v>0</v>
      </c>
      <c r="BS173">
        <v>6</v>
      </c>
      <c r="BU173">
        <v>558348</v>
      </c>
    </row>
    <row r="174" spans="1:73" x14ac:dyDescent="0.3">
      <c r="A174" t="s">
        <v>1111</v>
      </c>
      <c r="B174">
        <v>0</v>
      </c>
      <c r="C174">
        <v>0</v>
      </c>
      <c r="D174">
        <v>10</v>
      </c>
      <c r="E174">
        <v>2090852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10</v>
      </c>
      <c r="BC174" s="1">
        <v>2090852</v>
      </c>
      <c r="BD174" t="s">
        <v>74</v>
      </c>
      <c r="BE174" t="s">
        <v>1112</v>
      </c>
      <c r="BF174" t="s">
        <v>1113</v>
      </c>
      <c r="BH174" t="s">
        <v>114</v>
      </c>
      <c r="BI174" t="s">
        <v>1062</v>
      </c>
      <c r="BJ174" t="s">
        <v>79</v>
      </c>
      <c r="BM174">
        <v>0</v>
      </c>
      <c r="BN174">
        <v>1</v>
      </c>
      <c r="BO174">
        <v>1</v>
      </c>
      <c r="BP174" t="s">
        <v>80</v>
      </c>
      <c r="BR174">
        <v>0</v>
      </c>
      <c r="BS174">
        <v>6</v>
      </c>
      <c r="BU174">
        <v>2090852</v>
      </c>
    </row>
    <row r="175" spans="1:73" x14ac:dyDescent="0.3">
      <c r="A175" t="s">
        <v>1114</v>
      </c>
      <c r="B175">
        <v>0</v>
      </c>
      <c r="C175">
        <v>0</v>
      </c>
      <c r="D175">
        <v>1</v>
      </c>
      <c r="E175">
        <v>304000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 s="1">
        <v>304000</v>
      </c>
      <c r="BD175" t="s">
        <v>74</v>
      </c>
      <c r="BE175" t="s">
        <v>1115</v>
      </c>
      <c r="BF175" t="s">
        <v>1116</v>
      </c>
      <c r="BH175" t="s">
        <v>77</v>
      </c>
      <c r="BI175" t="s">
        <v>228</v>
      </c>
      <c r="BJ175" t="s">
        <v>79</v>
      </c>
      <c r="BM175">
        <v>0</v>
      </c>
      <c r="BN175">
        <v>1</v>
      </c>
      <c r="BO175">
        <v>1</v>
      </c>
      <c r="BP175" t="s">
        <v>80</v>
      </c>
      <c r="BR175">
        <v>0</v>
      </c>
      <c r="BS175">
        <v>6</v>
      </c>
      <c r="BU175">
        <v>304000</v>
      </c>
    </row>
    <row r="176" spans="1:73" x14ac:dyDescent="0.3">
      <c r="A176" t="s">
        <v>1123</v>
      </c>
      <c r="B176">
        <v>1</v>
      </c>
      <c r="C176">
        <v>544545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 s="1">
        <v>544545</v>
      </c>
      <c r="BD176" t="s">
        <v>74</v>
      </c>
      <c r="BE176" t="s">
        <v>1124</v>
      </c>
      <c r="BF176" t="s">
        <v>1125</v>
      </c>
      <c r="BM176">
        <v>0</v>
      </c>
      <c r="BN176">
        <v>1</v>
      </c>
      <c r="BO176">
        <v>1</v>
      </c>
      <c r="BP176" t="s">
        <v>80</v>
      </c>
      <c r="BR176">
        <v>0</v>
      </c>
      <c r="BS176">
        <v>0</v>
      </c>
      <c r="BU176">
        <v>544545</v>
      </c>
    </row>
    <row r="177" spans="1:73" x14ac:dyDescent="0.3">
      <c r="A177" t="s">
        <v>1132</v>
      </c>
      <c r="B177">
        <v>0</v>
      </c>
      <c r="C177">
        <v>0</v>
      </c>
      <c r="D177">
        <v>1</v>
      </c>
      <c r="E177">
        <v>230857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 s="1">
        <v>230857</v>
      </c>
      <c r="BD177" t="s">
        <v>74</v>
      </c>
      <c r="BE177" t="s">
        <v>1133</v>
      </c>
      <c r="BF177" t="s">
        <v>1134</v>
      </c>
      <c r="BH177" t="s">
        <v>77</v>
      </c>
      <c r="BI177" t="s">
        <v>574</v>
      </c>
      <c r="BJ177" t="s">
        <v>79</v>
      </c>
      <c r="BM177">
        <v>0</v>
      </c>
      <c r="BN177">
        <v>1</v>
      </c>
      <c r="BO177">
        <v>1</v>
      </c>
      <c r="BP177" t="s">
        <v>80</v>
      </c>
      <c r="BR177">
        <v>0</v>
      </c>
      <c r="BS177">
        <v>6</v>
      </c>
      <c r="BU177">
        <v>230857</v>
      </c>
    </row>
    <row r="178" spans="1:73" x14ac:dyDescent="0.3">
      <c r="A178" t="s">
        <v>1135</v>
      </c>
      <c r="B178">
        <v>0</v>
      </c>
      <c r="C178">
        <v>0</v>
      </c>
      <c r="D178">
        <v>1</v>
      </c>
      <c r="E178">
        <v>256000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</v>
      </c>
      <c r="BC178" s="1">
        <v>512000</v>
      </c>
      <c r="BD178" t="s">
        <v>74</v>
      </c>
      <c r="BE178" t="s">
        <v>1136</v>
      </c>
      <c r="BF178" t="s">
        <v>251</v>
      </c>
      <c r="BH178" t="s">
        <v>136</v>
      </c>
      <c r="BI178" t="s">
        <v>539</v>
      </c>
      <c r="BJ178" t="s">
        <v>125</v>
      </c>
      <c r="BM178">
        <v>0</v>
      </c>
      <c r="BN178">
        <v>1</v>
      </c>
      <c r="BO178">
        <v>1</v>
      </c>
      <c r="BP178" t="s">
        <v>80</v>
      </c>
      <c r="BR178">
        <v>0</v>
      </c>
      <c r="BS178">
        <v>6</v>
      </c>
      <c r="BU178">
        <v>256000</v>
      </c>
    </row>
    <row r="179" spans="1:73" x14ac:dyDescent="0.3">
      <c r="A179" t="s">
        <v>1140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96439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9697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</v>
      </c>
      <c r="BC179" s="1">
        <v>106136</v>
      </c>
      <c r="BD179" t="s">
        <v>74</v>
      </c>
      <c r="BE179" t="s">
        <v>1141</v>
      </c>
      <c r="BF179" t="s">
        <v>1142</v>
      </c>
      <c r="BH179" t="s">
        <v>77</v>
      </c>
      <c r="BI179" t="s">
        <v>129</v>
      </c>
      <c r="BJ179" t="s">
        <v>79</v>
      </c>
      <c r="BM179">
        <v>2</v>
      </c>
      <c r="BN179">
        <v>0</v>
      </c>
      <c r="BO179">
        <v>2</v>
      </c>
      <c r="BP179" t="s">
        <v>80</v>
      </c>
      <c r="BR179">
        <v>0</v>
      </c>
      <c r="BS179">
        <v>6</v>
      </c>
      <c r="BU179">
        <v>106136</v>
      </c>
    </row>
    <row r="180" spans="1:73" x14ac:dyDescent="0.3">
      <c r="A180" t="s">
        <v>1143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6297000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 s="1">
        <v>6297000</v>
      </c>
      <c r="BD180" t="s">
        <v>74</v>
      </c>
      <c r="BE180" t="s">
        <v>1144</v>
      </c>
      <c r="BF180" t="s">
        <v>1145</v>
      </c>
      <c r="BH180" t="s">
        <v>77</v>
      </c>
      <c r="BI180" t="s">
        <v>129</v>
      </c>
      <c r="BJ180" t="s">
        <v>79</v>
      </c>
      <c r="BM180">
        <v>0</v>
      </c>
      <c r="BN180">
        <v>1</v>
      </c>
      <c r="BO180">
        <v>1</v>
      </c>
      <c r="BP180" t="s">
        <v>80</v>
      </c>
      <c r="BR180">
        <v>0</v>
      </c>
      <c r="BS180">
        <v>5</v>
      </c>
      <c r="BU180">
        <v>6297000</v>
      </c>
    </row>
    <row r="181" spans="1:73" x14ac:dyDescent="0.3">
      <c r="A181" t="s">
        <v>1149</v>
      </c>
      <c r="B181">
        <v>0</v>
      </c>
      <c r="C181">
        <v>0</v>
      </c>
      <c r="D181">
        <v>2</v>
      </c>
      <c r="E181">
        <v>40840</v>
      </c>
      <c r="F181">
        <v>0</v>
      </c>
      <c r="G181">
        <v>0</v>
      </c>
      <c r="H181">
        <v>4</v>
      </c>
      <c r="I181">
        <v>81680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210000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</v>
      </c>
      <c r="BC181" s="1">
        <v>501680</v>
      </c>
      <c r="BD181" t="s">
        <v>74</v>
      </c>
      <c r="BE181" t="s">
        <v>1150</v>
      </c>
      <c r="BF181" t="s">
        <v>1151</v>
      </c>
      <c r="BH181" t="s">
        <v>77</v>
      </c>
      <c r="BI181" t="s">
        <v>281</v>
      </c>
      <c r="BJ181" t="s">
        <v>79</v>
      </c>
      <c r="BM181">
        <v>0</v>
      </c>
      <c r="BN181">
        <v>3</v>
      </c>
      <c r="BO181">
        <v>3</v>
      </c>
      <c r="BP181" t="s">
        <v>99</v>
      </c>
      <c r="BR181">
        <v>0</v>
      </c>
      <c r="BS181">
        <v>6</v>
      </c>
      <c r="BU181">
        <v>332520</v>
      </c>
    </row>
    <row r="182" spans="1:73" x14ac:dyDescent="0.3">
      <c r="A182" t="s">
        <v>1152</v>
      </c>
      <c r="B182">
        <v>0</v>
      </c>
      <c r="C182">
        <v>0</v>
      </c>
      <c r="D182">
        <v>1</v>
      </c>
      <c r="E182">
        <v>340000</v>
      </c>
      <c r="F182">
        <v>0</v>
      </c>
      <c r="G182">
        <v>0</v>
      </c>
      <c r="H182">
        <v>1</v>
      </c>
      <c r="I182">
        <v>28400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</v>
      </c>
      <c r="BC182" s="1">
        <v>368400</v>
      </c>
      <c r="BD182" t="s">
        <v>74</v>
      </c>
      <c r="BE182" t="s">
        <v>1153</v>
      </c>
      <c r="BF182" t="s">
        <v>1154</v>
      </c>
      <c r="BH182" t="s">
        <v>77</v>
      </c>
      <c r="BI182" t="s">
        <v>88</v>
      </c>
      <c r="BJ182" t="s">
        <v>79</v>
      </c>
      <c r="BM182">
        <v>0</v>
      </c>
      <c r="BN182">
        <v>2</v>
      </c>
      <c r="BO182">
        <v>2</v>
      </c>
      <c r="BP182" t="s">
        <v>80</v>
      </c>
      <c r="BR182">
        <v>0</v>
      </c>
      <c r="BS182">
        <v>0</v>
      </c>
      <c r="BU182">
        <v>368400</v>
      </c>
    </row>
    <row r="183" spans="1:73" x14ac:dyDescent="0.3">
      <c r="A183" t="s">
        <v>1155</v>
      </c>
      <c r="B183">
        <v>0</v>
      </c>
      <c r="C183">
        <v>0</v>
      </c>
      <c r="D183">
        <v>2</v>
      </c>
      <c r="E183">
        <v>295704</v>
      </c>
      <c r="F183">
        <v>0</v>
      </c>
      <c r="G183">
        <v>0</v>
      </c>
      <c r="H183">
        <v>2</v>
      </c>
      <c r="I183">
        <v>51408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</v>
      </c>
      <c r="BC183" s="1">
        <v>609590</v>
      </c>
      <c r="BD183" t="s">
        <v>74</v>
      </c>
      <c r="BE183" t="s">
        <v>1156</v>
      </c>
      <c r="BF183" t="s">
        <v>1157</v>
      </c>
      <c r="BH183" t="s">
        <v>77</v>
      </c>
      <c r="BI183" t="s">
        <v>281</v>
      </c>
      <c r="BJ183" t="s">
        <v>79</v>
      </c>
      <c r="BM183">
        <v>0</v>
      </c>
      <c r="BN183">
        <v>2</v>
      </c>
      <c r="BO183">
        <v>2</v>
      </c>
      <c r="BP183" t="s">
        <v>80</v>
      </c>
      <c r="BR183">
        <v>0</v>
      </c>
      <c r="BS183">
        <v>6</v>
      </c>
      <c r="BU183">
        <v>347112</v>
      </c>
    </row>
    <row r="184" spans="1:73" x14ac:dyDescent="0.3">
      <c r="A184" t="s">
        <v>1158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96369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45682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11526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6</v>
      </c>
      <c r="BC184" s="1">
        <v>153577</v>
      </c>
      <c r="BD184" t="s">
        <v>74</v>
      </c>
      <c r="BE184" t="s">
        <v>1159</v>
      </c>
      <c r="BF184" t="s">
        <v>1160</v>
      </c>
      <c r="BH184" t="s">
        <v>77</v>
      </c>
      <c r="BI184" t="s">
        <v>593</v>
      </c>
      <c r="BJ184" t="s">
        <v>79</v>
      </c>
      <c r="BM184">
        <v>2</v>
      </c>
      <c r="BN184">
        <v>1</v>
      </c>
      <c r="BO184">
        <v>3</v>
      </c>
      <c r="BP184" t="s">
        <v>80</v>
      </c>
      <c r="BR184">
        <v>0</v>
      </c>
      <c r="BS184">
        <v>6</v>
      </c>
      <c r="BU184">
        <v>153577</v>
      </c>
    </row>
    <row r="185" spans="1:73" x14ac:dyDescent="0.3">
      <c r="A185" t="s">
        <v>1161</v>
      </c>
      <c r="B185">
        <v>0</v>
      </c>
      <c r="C185">
        <v>0</v>
      </c>
      <c r="D185">
        <v>3</v>
      </c>
      <c r="E185">
        <v>740000</v>
      </c>
      <c r="F185">
        <v>0</v>
      </c>
      <c r="G185">
        <v>0</v>
      </c>
      <c r="H185">
        <v>4</v>
      </c>
      <c r="I185">
        <v>80000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6</v>
      </c>
      <c r="BC185" s="1">
        <v>1480000</v>
      </c>
      <c r="BD185" t="s">
        <v>74</v>
      </c>
      <c r="BE185" t="s">
        <v>1162</v>
      </c>
      <c r="BF185" t="s">
        <v>1163</v>
      </c>
      <c r="BH185" t="s">
        <v>77</v>
      </c>
      <c r="BI185" t="s">
        <v>88</v>
      </c>
      <c r="BJ185" t="s">
        <v>79</v>
      </c>
      <c r="BM185">
        <v>0</v>
      </c>
      <c r="BN185">
        <v>2</v>
      </c>
      <c r="BO185">
        <v>2</v>
      </c>
      <c r="BP185" t="s">
        <v>80</v>
      </c>
      <c r="BR185">
        <v>0</v>
      </c>
      <c r="BS185">
        <v>6</v>
      </c>
      <c r="BU185">
        <v>820000</v>
      </c>
    </row>
    <row r="186" spans="1:73" x14ac:dyDescent="0.3">
      <c r="A186" t="s">
        <v>1164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45682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11526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</v>
      </c>
      <c r="BC186" s="1">
        <v>57208</v>
      </c>
      <c r="BD186" t="s">
        <v>74</v>
      </c>
      <c r="BE186" t="s">
        <v>1165</v>
      </c>
      <c r="BF186" t="s">
        <v>1166</v>
      </c>
      <c r="BH186" t="s">
        <v>77</v>
      </c>
      <c r="BI186" t="s">
        <v>78</v>
      </c>
      <c r="BJ186" t="s">
        <v>79</v>
      </c>
      <c r="BM186">
        <v>2</v>
      </c>
      <c r="BN186">
        <v>0</v>
      </c>
      <c r="BO186">
        <v>2</v>
      </c>
      <c r="BP186" t="s">
        <v>80</v>
      </c>
      <c r="BR186">
        <v>0</v>
      </c>
      <c r="BS186">
        <v>0</v>
      </c>
      <c r="BU186">
        <v>57208</v>
      </c>
    </row>
    <row r="187" spans="1:73" x14ac:dyDescent="0.3">
      <c r="A187" t="s">
        <v>1172</v>
      </c>
      <c r="B187">
        <v>0</v>
      </c>
      <c r="C187">
        <v>0</v>
      </c>
      <c r="D187">
        <v>2</v>
      </c>
      <c r="E187">
        <v>335454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4</v>
      </c>
      <c r="BC187" s="1">
        <v>712986</v>
      </c>
      <c r="BD187" t="s">
        <v>74</v>
      </c>
      <c r="BE187" t="s">
        <v>1173</v>
      </c>
      <c r="BF187" t="s">
        <v>1174</v>
      </c>
      <c r="BH187" t="s">
        <v>136</v>
      </c>
      <c r="BI187" t="s">
        <v>191</v>
      </c>
      <c r="BJ187" t="s">
        <v>125</v>
      </c>
      <c r="BM187">
        <v>0</v>
      </c>
      <c r="BN187">
        <v>1</v>
      </c>
      <c r="BO187">
        <v>1</v>
      </c>
      <c r="BP187" t="s">
        <v>80</v>
      </c>
      <c r="BR187">
        <v>0</v>
      </c>
      <c r="BS187">
        <v>6</v>
      </c>
      <c r="BU187">
        <v>335454</v>
      </c>
    </row>
    <row r="188" spans="1:73" x14ac:dyDescent="0.3">
      <c r="A188" t="s">
        <v>1175</v>
      </c>
      <c r="B188">
        <v>0</v>
      </c>
      <c r="C188">
        <v>0</v>
      </c>
      <c r="D188">
        <v>2</v>
      </c>
      <c r="E188">
        <v>527376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4</v>
      </c>
      <c r="BC188" s="1">
        <v>1054752</v>
      </c>
      <c r="BD188" t="s">
        <v>74</v>
      </c>
      <c r="BE188" t="s">
        <v>1176</v>
      </c>
      <c r="BF188" t="s">
        <v>1177</v>
      </c>
      <c r="BH188" t="s">
        <v>136</v>
      </c>
      <c r="BI188" t="s">
        <v>439</v>
      </c>
      <c r="BJ188" t="s">
        <v>125</v>
      </c>
      <c r="BM188">
        <v>0</v>
      </c>
      <c r="BN188">
        <v>1</v>
      </c>
      <c r="BO188">
        <v>1</v>
      </c>
      <c r="BP188" t="s">
        <v>80</v>
      </c>
      <c r="BR188">
        <v>0</v>
      </c>
      <c r="BS188">
        <v>6</v>
      </c>
      <c r="BU188">
        <v>527376</v>
      </c>
    </row>
    <row r="189" spans="1:73" x14ac:dyDescent="0.3">
      <c r="A189" t="s">
        <v>1178</v>
      </c>
      <c r="B189">
        <v>5</v>
      </c>
      <c r="C189">
        <v>1310852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 s="1">
        <v>1310852</v>
      </c>
      <c r="BD189" t="s">
        <v>74</v>
      </c>
      <c r="BE189" t="s">
        <v>1179</v>
      </c>
      <c r="BF189" t="s">
        <v>1180</v>
      </c>
      <c r="BH189" t="s">
        <v>77</v>
      </c>
      <c r="BI189" t="s">
        <v>574</v>
      </c>
      <c r="BJ189" t="s">
        <v>79</v>
      </c>
      <c r="BM189">
        <v>0</v>
      </c>
      <c r="BN189">
        <v>1</v>
      </c>
      <c r="BO189">
        <v>1</v>
      </c>
      <c r="BP189" t="s">
        <v>80</v>
      </c>
      <c r="BR189">
        <v>0</v>
      </c>
      <c r="BS189">
        <v>6</v>
      </c>
      <c r="BU189">
        <v>1310852</v>
      </c>
    </row>
    <row r="190" spans="1:73" x14ac:dyDescent="0.3">
      <c r="A190" t="s">
        <v>1181</v>
      </c>
      <c r="B190">
        <v>3</v>
      </c>
      <c r="C190">
        <v>675680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</v>
      </c>
      <c r="BC190" s="1">
        <v>675680</v>
      </c>
      <c r="BD190" t="s">
        <v>74</v>
      </c>
      <c r="BE190" t="s">
        <v>1182</v>
      </c>
      <c r="BF190" t="s">
        <v>1183</v>
      </c>
      <c r="BH190" t="s">
        <v>77</v>
      </c>
      <c r="BI190" t="s">
        <v>228</v>
      </c>
      <c r="BJ190" t="s">
        <v>79</v>
      </c>
      <c r="BM190">
        <v>0</v>
      </c>
      <c r="BN190">
        <v>1</v>
      </c>
      <c r="BO190">
        <v>1</v>
      </c>
      <c r="BP190" t="s">
        <v>80</v>
      </c>
      <c r="BR190">
        <v>0</v>
      </c>
      <c r="BS190">
        <v>6</v>
      </c>
      <c r="BU190">
        <v>675680</v>
      </c>
    </row>
    <row r="191" spans="1:73" x14ac:dyDescent="0.3">
      <c r="A191" t="s">
        <v>1184</v>
      </c>
      <c r="B191">
        <v>0</v>
      </c>
      <c r="C191">
        <v>0</v>
      </c>
      <c r="D191">
        <v>1</v>
      </c>
      <c r="E191">
        <v>246857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 s="1">
        <v>246857</v>
      </c>
      <c r="BD191" t="s">
        <v>74</v>
      </c>
      <c r="BE191" t="s">
        <v>1185</v>
      </c>
      <c r="BF191" t="s">
        <v>1186</v>
      </c>
      <c r="BH191" t="s">
        <v>77</v>
      </c>
      <c r="BI191" t="s">
        <v>129</v>
      </c>
      <c r="BJ191" t="s">
        <v>79</v>
      </c>
      <c r="BM191">
        <v>0</v>
      </c>
      <c r="BN191">
        <v>1</v>
      </c>
      <c r="BO191">
        <v>1</v>
      </c>
      <c r="BP191" t="s">
        <v>80</v>
      </c>
      <c r="BR191">
        <v>0</v>
      </c>
      <c r="BS191">
        <v>6</v>
      </c>
      <c r="BU191">
        <v>246857</v>
      </c>
    </row>
    <row r="192" spans="1:73" x14ac:dyDescent="0.3">
      <c r="A192" t="s">
        <v>1187</v>
      </c>
      <c r="B192">
        <v>0</v>
      </c>
      <c r="C192">
        <v>0</v>
      </c>
      <c r="D192">
        <v>1</v>
      </c>
      <c r="E192">
        <v>171428</v>
      </c>
      <c r="F192">
        <v>0</v>
      </c>
      <c r="G192">
        <v>0</v>
      </c>
      <c r="H192">
        <v>1</v>
      </c>
      <c r="I192">
        <v>20000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</v>
      </c>
      <c r="BC192" s="1">
        <v>191428</v>
      </c>
      <c r="BD192" t="s">
        <v>74</v>
      </c>
      <c r="BE192" t="s">
        <v>1188</v>
      </c>
      <c r="BF192" t="s">
        <v>1189</v>
      </c>
      <c r="BH192" t="s">
        <v>77</v>
      </c>
      <c r="BI192" t="s">
        <v>204</v>
      </c>
      <c r="BJ192" t="s">
        <v>79</v>
      </c>
      <c r="BM192">
        <v>0</v>
      </c>
      <c r="BN192">
        <v>2</v>
      </c>
      <c r="BO192">
        <v>2</v>
      </c>
      <c r="BP192" t="s">
        <v>80</v>
      </c>
      <c r="BR192">
        <v>0</v>
      </c>
      <c r="BS192">
        <v>6</v>
      </c>
      <c r="BU192">
        <v>191428</v>
      </c>
    </row>
    <row r="193" spans="1:73" x14ac:dyDescent="0.3">
      <c r="A193" t="s">
        <v>1199</v>
      </c>
      <c r="B193">
        <v>0</v>
      </c>
      <c r="C193">
        <v>0</v>
      </c>
      <c r="D193">
        <v>1</v>
      </c>
      <c r="E193">
        <v>487500</v>
      </c>
      <c r="F193">
        <v>0</v>
      </c>
      <c r="G193">
        <v>0</v>
      </c>
      <c r="H193">
        <v>1</v>
      </c>
      <c r="I193">
        <v>20000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4</v>
      </c>
      <c r="BC193" s="1">
        <v>1852143</v>
      </c>
      <c r="BD193" t="s">
        <v>74</v>
      </c>
      <c r="BE193" t="s">
        <v>1200</v>
      </c>
      <c r="BF193" t="s">
        <v>1201</v>
      </c>
      <c r="BH193" t="s">
        <v>77</v>
      </c>
      <c r="BI193" t="s">
        <v>281</v>
      </c>
      <c r="BJ193" t="s">
        <v>79</v>
      </c>
      <c r="BM193">
        <v>0</v>
      </c>
      <c r="BN193">
        <v>2</v>
      </c>
      <c r="BO193">
        <v>2</v>
      </c>
      <c r="BP193" t="s">
        <v>80</v>
      </c>
      <c r="BR193">
        <v>0</v>
      </c>
      <c r="BS193">
        <v>6</v>
      </c>
      <c r="BU193">
        <v>507500</v>
      </c>
    </row>
    <row r="194" spans="1:73" x14ac:dyDescent="0.3">
      <c r="A194" t="s">
        <v>1202</v>
      </c>
      <c r="B194">
        <v>0</v>
      </c>
      <c r="C194">
        <v>0</v>
      </c>
      <c r="D194">
        <v>2</v>
      </c>
      <c r="E194">
        <v>630005</v>
      </c>
      <c r="F194">
        <v>0</v>
      </c>
      <c r="G194">
        <v>0</v>
      </c>
      <c r="H194">
        <v>2</v>
      </c>
      <c r="I194">
        <v>227282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</v>
      </c>
      <c r="BC194" s="1">
        <v>1260010</v>
      </c>
      <c r="BD194" t="s">
        <v>74</v>
      </c>
      <c r="BE194" t="s">
        <v>1203</v>
      </c>
      <c r="BF194" t="s">
        <v>1204</v>
      </c>
      <c r="BH194" t="s">
        <v>77</v>
      </c>
      <c r="BI194" t="s">
        <v>92</v>
      </c>
      <c r="BJ194" t="s">
        <v>79</v>
      </c>
      <c r="BM194">
        <v>0</v>
      </c>
      <c r="BN194">
        <v>2</v>
      </c>
      <c r="BO194">
        <v>2</v>
      </c>
      <c r="BP194" t="s">
        <v>80</v>
      </c>
      <c r="BR194">
        <v>0</v>
      </c>
      <c r="BS194">
        <v>6</v>
      </c>
      <c r="BU194">
        <v>857287</v>
      </c>
    </row>
    <row r="195" spans="1:73" x14ac:dyDescent="0.3">
      <c r="A195" t="s">
        <v>1208</v>
      </c>
      <c r="B195">
        <v>0</v>
      </c>
      <c r="C195">
        <v>0</v>
      </c>
      <c r="D195">
        <v>3</v>
      </c>
      <c r="E195">
        <v>1356104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</v>
      </c>
      <c r="BC195" s="1">
        <v>1854026</v>
      </c>
      <c r="BD195" t="s">
        <v>74</v>
      </c>
      <c r="BE195" t="s">
        <v>1209</v>
      </c>
      <c r="BF195" t="s">
        <v>1210</v>
      </c>
      <c r="BH195" t="s">
        <v>123</v>
      </c>
      <c r="BI195" t="s">
        <v>124</v>
      </c>
      <c r="BJ195" t="s">
        <v>125</v>
      </c>
      <c r="BM195">
        <v>0</v>
      </c>
      <c r="BN195">
        <v>1</v>
      </c>
      <c r="BO195">
        <v>1</v>
      </c>
      <c r="BP195" t="s">
        <v>80</v>
      </c>
      <c r="BR195">
        <v>0</v>
      </c>
      <c r="BS195">
        <v>6</v>
      </c>
      <c r="BU195">
        <v>1356104</v>
      </c>
    </row>
    <row r="196" spans="1:73" x14ac:dyDescent="0.3">
      <c r="A196" t="s">
        <v>1211</v>
      </c>
      <c r="B196">
        <v>1</v>
      </c>
      <c r="C196">
        <v>338304</v>
      </c>
      <c r="D196">
        <v>9</v>
      </c>
      <c r="E196">
        <v>2505521</v>
      </c>
      <c r="F196">
        <v>0</v>
      </c>
      <c r="G196">
        <v>0</v>
      </c>
      <c r="H196">
        <v>14</v>
      </c>
      <c r="I196">
        <v>522472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150000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147070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23</v>
      </c>
      <c r="BC196" s="1">
        <v>4748797</v>
      </c>
      <c r="BD196" t="s">
        <v>74</v>
      </c>
      <c r="BE196" t="s">
        <v>1212</v>
      </c>
      <c r="BF196" t="s">
        <v>1213</v>
      </c>
      <c r="BH196" t="s">
        <v>77</v>
      </c>
      <c r="BI196" t="s">
        <v>92</v>
      </c>
      <c r="BJ196" t="s">
        <v>79</v>
      </c>
      <c r="BM196">
        <v>2</v>
      </c>
      <c r="BN196">
        <v>3</v>
      </c>
      <c r="BO196">
        <v>5</v>
      </c>
      <c r="BP196" t="s">
        <v>80</v>
      </c>
      <c r="BR196">
        <v>0</v>
      </c>
      <c r="BS196">
        <v>6</v>
      </c>
      <c r="BU196">
        <v>3663367</v>
      </c>
    </row>
    <row r="197" spans="1:73" x14ac:dyDescent="0.3">
      <c r="A197" t="s">
        <v>1219</v>
      </c>
      <c r="B197">
        <v>8</v>
      </c>
      <c r="C197">
        <v>954001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8</v>
      </c>
      <c r="BC197" s="1">
        <v>954001</v>
      </c>
      <c r="BD197" t="s">
        <v>74</v>
      </c>
      <c r="BE197" t="s">
        <v>1220</v>
      </c>
      <c r="BF197" t="s">
        <v>1221</v>
      </c>
      <c r="BM197">
        <v>0</v>
      </c>
      <c r="BN197">
        <v>1</v>
      </c>
      <c r="BO197">
        <v>1</v>
      </c>
      <c r="BP197" t="s">
        <v>80</v>
      </c>
      <c r="BR197">
        <v>0</v>
      </c>
      <c r="BS197">
        <v>6</v>
      </c>
      <c r="BU197">
        <v>954001</v>
      </c>
    </row>
    <row r="198" spans="1:73" x14ac:dyDescent="0.3">
      <c r="A198" t="s">
        <v>1231</v>
      </c>
      <c r="B198">
        <v>0</v>
      </c>
      <c r="C198">
        <v>0</v>
      </c>
      <c r="D198">
        <v>3</v>
      </c>
      <c r="E198">
        <v>830001</v>
      </c>
      <c r="F198">
        <v>0</v>
      </c>
      <c r="G198">
        <v>0</v>
      </c>
      <c r="H198">
        <v>4</v>
      </c>
      <c r="I198">
        <v>2028980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9</v>
      </c>
      <c r="BC198" s="1">
        <v>4505708</v>
      </c>
      <c r="BD198" t="s">
        <v>74</v>
      </c>
      <c r="BE198" t="s">
        <v>1232</v>
      </c>
      <c r="BF198" t="s">
        <v>1233</v>
      </c>
      <c r="BH198" t="s">
        <v>77</v>
      </c>
      <c r="BI198" t="s">
        <v>88</v>
      </c>
      <c r="BJ198" t="s">
        <v>79</v>
      </c>
      <c r="BM198">
        <v>0</v>
      </c>
      <c r="BN198">
        <v>2</v>
      </c>
      <c r="BO198">
        <v>2</v>
      </c>
      <c r="BP198" t="s">
        <v>80</v>
      </c>
      <c r="BR198">
        <v>0</v>
      </c>
      <c r="BS198">
        <v>6</v>
      </c>
      <c r="BU198">
        <v>2858981</v>
      </c>
    </row>
    <row r="199" spans="1:73" x14ac:dyDescent="0.3">
      <c r="A199" t="s">
        <v>1234</v>
      </c>
      <c r="B199">
        <v>129</v>
      </c>
      <c r="C199">
        <v>17092283</v>
      </c>
      <c r="D199">
        <v>32</v>
      </c>
      <c r="E199">
        <v>18145513</v>
      </c>
      <c r="F199">
        <v>0</v>
      </c>
      <c r="G199">
        <v>0</v>
      </c>
      <c r="H199">
        <v>133</v>
      </c>
      <c r="I199">
        <v>11067006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</v>
      </c>
      <c r="Z199">
        <v>655428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306</v>
      </c>
      <c r="BC199" s="1">
        <v>65190953</v>
      </c>
      <c r="BD199" t="s">
        <v>74</v>
      </c>
      <c r="BE199" t="s">
        <v>1235</v>
      </c>
      <c r="BF199" t="s">
        <v>1236</v>
      </c>
      <c r="BH199" t="s">
        <v>175</v>
      </c>
      <c r="BI199" t="s">
        <v>176</v>
      </c>
      <c r="BJ199" t="s">
        <v>125</v>
      </c>
      <c r="BM199">
        <v>1</v>
      </c>
      <c r="BN199">
        <v>3</v>
      </c>
      <c r="BO199">
        <v>4</v>
      </c>
      <c r="BP199" t="s">
        <v>80</v>
      </c>
      <c r="BR199">
        <v>0</v>
      </c>
      <c r="BS199">
        <v>3</v>
      </c>
      <c r="BU199">
        <v>46960230</v>
      </c>
    </row>
    <row r="200" spans="1:73" x14ac:dyDescent="0.3">
      <c r="A200" t="s">
        <v>1237</v>
      </c>
      <c r="B200">
        <v>0</v>
      </c>
      <c r="C200">
        <v>0</v>
      </c>
      <c r="D200">
        <v>6</v>
      </c>
      <c r="E200">
        <v>2186127</v>
      </c>
      <c r="F200">
        <v>0</v>
      </c>
      <c r="G200">
        <v>0</v>
      </c>
      <c r="H200">
        <v>8</v>
      </c>
      <c r="I200">
        <v>212254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12</v>
      </c>
      <c r="BC200" s="1">
        <v>4372254</v>
      </c>
      <c r="BD200" t="s">
        <v>74</v>
      </c>
      <c r="BE200" t="s">
        <v>1238</v>
      </c>
      <c r="BF200" t="s">
        <v>1239</v>
      </c>
      <c r="BH200" t="s">
        <v>77</v>
      </c>
      <c r="BI200" t="s">
        <v>88</v>
      </c>
      <c r="BJ200" t="s">
        <v>79</v>
      </c>
      <c r="BM200">
        <v>0</v>
      </c>
      <c r="BN200">
        <v>2</v>
      </c>
      <c r="BO200">
        <v>2</v>
      </c>
      <c r="BP200" t="s">
        <v>80</v>
      </c>
      <c r="BR200">
        <v>0</v>
      </c>
      <c r="BS200">
        <v>6</v>
      </c>
      <c r="BU200">
        <v>2398381</v>
      </c>
    </row>
    <row r="201" spans="1:73" x14ac:dyDescent="0.3">
      <c r="A201" t="s">
        <v>1240</v>
      </c>
      <c r="B201">
        <v>0</v>
      </c>
      <c r="C201">
        <v>0</v>
      </c>
      <c r="D201">
        <v>10</v>
      </c>
      <c r="E201">
        <v>5401080</v>
      </c>
      <c r="F201">
        <v>0</v>
      </c>
      <c r="G201">
        <v>0</v>
      </c>
      <c r="H201">
        <v>17</v>
      </c>
      <c r="I201">
        <v>402160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22</v>
      </c>
      <c r="BC201" s="1">
        <v>10232160</v>
      </c>
      <c r="BD201" t="s">
        <v>74</v>
      </c>
      <c r="BE201" t="s">
        <v>1241</v>
      </c>
      <c r="BF201" t="s">
        <v>1242</v>
      </c>
      <c r="BH201" t="s">
        <v>77</v>
      </c>
      <c r="BI201" t="s">
        <v>88</v>
      </c>
      <c r="BJ201" t="s">
        <v>79</v>
      </c>
      <c r="BM201">
        <v>0</v>
      </c>
      <c r="BN201">
        <v>2</v>
      </c>
      <c r="BO201">
        <v>2</v>
      </c>
      <c r="BP201" t="s">
        <v>80</v>
      </c>
      <c r="BR201">
        <v>0</v>
      </c>
      <c r="BS201">
        <v>5</v>
      </c>
      <c r="BU201">
        <v>5803240</v>
      </c>
    </row>
    <row r="202" spans="1:73" x14ac:dyDescent="0.3">
      <c r="A202" t="s">
        <v>1255</v>
      </c>
      <c r="B202">
        <v>0</v>
      </c>
      <c r="C202">
        <v>0</v>
      </c>
      <c r="D202">
        <v>1</v>
      </c>
      <c r="E202">
        <v>449033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 s="1">
        <v>898066</v>
      </c>
      <c r="BD202" t="s">
        <v>74</v>
      </c>
      <c r="BE202" t="s">
        <v>1256</v>
      </c>
      <c r="BF202" t="s">
        <v>1257</v>
      </c>
      <c r="BH202" t="s">
        <v>175</v>
      </c>
      <c r="BI202" t="s">
        <v>255</v>
      </c>
      <c r="BJ202" t="s">
        <v>125</v>
      </c>
      <c r="BM202">
        <v>0</v>
      </c>
      <c r="BN202">
        <v>1</v>
      </c>
      <c r="BO202">
        <v>1</v>
      </c>
      <c r="BP202" t="s">
        <v>80</v>
      </c>
      <c r="BR202">
        <v>0</v>
      </c>
      <c r="BS202">
        <v>6</v>
      </c>
      <c r="BU202">
        <v>449033</v>
      </c>
    </row>
    <row r="203" spans="1:73" x14ac:dyDescent="0.3">
      <c r="A203" t="s">
        <v>1258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17273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 s="1">
        <v>17273</v>
      </c>
      <c r="BD203" t="s">
        <v>74</v>
      </c>
      <c r="BE203" t="s">
        <v>1259</v>
      </c>
      <c r="BF203" t="s">
        <v>1260</v>
      </c>
      <c r="BH203" t="s">
        <v>77</v>
      </c>
      <c r="BI203" t="s">
        <v>88</v>
      </c>
      <c r="BJ203" t="s">
        <v>79</v>
      </c>
      <c r="BM203">
        <v>0</v>
      </c>
      <c r="BN203">
        <v>1</v>
      </c>
      <c r="BO203">
        <v>1</v>
      </c>
      <c r="BP203" t="s">
        <v>80</v>
      </c>
      <c r="BR203">
        <v>0</v>
      </c>
      <c r="BS203">
        <v>0</v>
      </c>
      <c r="BU203">
        <v>17273</v>
      </c>
    </row>
    <row r="204" spans="1:73" x14ac:dyDescent="0.3">
      <c r="A204" t="s">
        <v>1264</v>
      </c>
      <c r="B204">
        <v>0</v>
      </c>
      <c r="C204">
        <v>0</v>
      </c>
      <c r="D204">
        <v>3</v>
      </c>
      <c r="E204">
        <v>380000</v>
      </c>
      <c r="F204">
        <v>0</v>
      </c>
      <c r="G204">
        <v>0</v>
      </c>
      <c r="H204">
        <v>4</v>
      </c>
      <c r="I204">
        <v>80000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81818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8</v>
      </c>
      <c r="BC204" s="1">
        <v>923636</v>
      </c>
      <c r="BD204" t="s">
        <v>74</v>
      </c>
      <c r="BE204" t="s">
        <v>1265</v>
      </c>
      <c r="BF204" t="s">
        <v>1266</v>
      </c>
      <c r="BH204" t="s">
        <v>136</v>
      </c>
      <c r="BI204" t="s">
        <v>439</v>
      </c>
      <c r="BJ204" t="s">
        <v>125</v>
      </c>
      <c r="BM204">
        <v>0</v>
      </c>
      <c r="BN204">
        <v>3</v>
      </c>
      <c r="BO204">
        <v>3</v>
      </c>
      <c r="BP204" t="s">
        <v>80</v>
      </c>
      <c r="BR204">
        <v>0</v>
      </c>
      <c r="BS204">
        <v>6</v>
      </c>
      <c r="BU204">
        <v>541818</v>
      </c>
    </row>
    <row r="205" spans="1:73" x14ac:dyDescent="0.3">
      <c r="A205" t="s">
        <v>1271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</v>
      </c>
      <c r="I205">
        <v>80229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</v>
      </c>
      <c r="BC205" s="1">
        <v>80229</v>
      </c>
      <c r="BD205" t="s">
        <v>74</v>
      </c>
      <c r="BE205" t="s">
        <v>1272</v>
      </c>
      <c r="BF205" t="s">
        <v>1273</v>
      </c>
      <c r="BH205" t="s">
        <v>77</v>
      </c>
      <c r="BI205" t="s">
        <v>204</v>
      </c>
      <c r="BJ205" t="s">
        <v>79</v>
      </c>
      <c r="BM205">
        <v>0</v>
      </c>
      <c r="BN205">
        <v>1</v>
      </c>
      <c r="BO205">
        <v>1</v>
      </c>
      <c r="BP205" t="s">
        <v>80</v>
      </c>
      <c r="BR205">
        <v>0</v>
      </c>
      <c r="BS205">
        <v>6</v>
      </c>
      <c r="BU205">
        <v>80229</v>
      </c>
    </row>
    <row r="206" spans="1:73" x14ac:dyDescent="0.3">
      <c r="A206" t="s">
        <v>1274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</v>
      </c>
      <c r="I206">
        <v>61604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330000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5</v>
      </c>
      <c r="BC206" s="1">
        <v>721604</v>
      </c>
      <c r="BD206" t="s">
        <v>74</v>
      </c>
      <c r="BE206" t="s">
        <v>1275</v>
      </c>
      <c r="BF206" t="s">
        <v>1276</v>
      </c>
      <c r="BH206" t="s">
        <v>77</v>
      </c>
      <c r="BI206" t="s">
        <v>574</v>
      </c>
      <c r="BJ206" t="s">
        <v>79</v>
      </c>
      <c r="BM206">
        <v>0</v>
      </c>
      <c r="BN206">
        <v>2</v>
      </c>
      <c r="BO206">
        <v>2</v>
      </c>
      <c r="BP206" t="s">
        <v>514</v>
      </c>
      <c r="BR206">
        <v>0</v>
      </c>
      <c r="BS206">
        <v>6</v>
      </c>
      <c r="BU206">
        <v>391604</v>
      </c>
    </row>
    <row r="207" spans="1:73" x14ac:dyDescent="0.3">
      <c r="A207" t="s">
        <v>1277</v>
      </c>
      <c r="B207">
        <v>1</v>
      </c>
      <c r="C207">
        <v>283334</v>
      </c>
      <c r="D207">
        <v>0</v>
      </c>
      <c r="E207">
        <v>0</v>
      </c>
      <c r="F207">
        <v>0</v>
      </c>
      <c r="G207">
        <v>0</v>
      </c>
      <c r="H207">
        <v>8</v>
      </c>
      <c r="I207">
        <v>170000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330000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11</v>
      </c>
      <c r="BC207" s="1">
        <v>1113334</v>
      </c>
      <c r="BD207" t="s">
        <v>74</v>
      </c>
      <c r="BE207" t="s">
        <v>1278</v>
      </c>
      <c r="BF207" t="s">
        <v>1279</v>
      </c>
      <c r="BH207" t="s">
        <v>77</v>
      </c>
      <c r="BI207" t="s">
        <v>92</v>
      </c>
      <c r="BJ207" t="s">
        <v>79</v>
      </c>
      <c r="BM207">
        <v>0</v>
      </c>
      <c r="BN207">
        <v>3</v>
      </c>
      <c r="BO207">
        <v>3</v>
      </c>
      <c r="BP207" t="s">
        <v>514</v>
      </c>
      <c r="BR207">
        <v>0</v>
      </c>
      <c r="BS207">
        <v>6</v>
      </c>
      <c r="BU207">
        <v>783334</v>
      </c>
    </row>
    <row r="208" spans="1:73" x14ac:dyDescent="0.3">
      <c r="A208" t="s">
        <v>1280</v>
      </c>
      <c r="B208">
        <v>0</v>
      </c>
      <c r="C208">
        <v>0</v>
      </c>
      <c r="D208">
        <v>1</v>
      </c>
      <c r="E208">
        <v>900000</v>
      </c>
      <c r="F208">
        <v>0</v>
      </c>
      <c r="G208">
        <v>0</v>
      </c>
      <c r="H208">
        <v>15</v>
      </c>
      <c r="I208">
        <v>301786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78585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18</v>
      </c>
      <c r="BC208" s="1">
        <v>2180371</v>
      </c>
      <c r="BD208" t="s">
        <v>74</v>
      </c>
      <c r="BE208" t="s">
        <v>1281</v>
      </c>
      <c r="BF208" t="s">
        <v>1242</v>
      </c>
      <c r="BH208" t="s">
        <v>77</v>
      </c>
      <c r="BI208" t="s">
        <v>88</v>
      </c>
      <c r="BJ208" t="s">
        <v>79</v>
      </c>
      <c r="BM208">
        <v>1</v>
      </c>
      <c r="BN208">
        <v>2</v>
      </c>
      <c r="BO208">
        <v>3</v>
      </c>
      <c r="BP208" t="s">
        <v>80</v>
      </c>
      <c r="BR208">
        <v>0</v>
      </c>
      <c r="BS208">
        <v>6</v>
      </c>
      <c r="BU208">
        <v>1280371</v>
      </c>
    </row>
    <row r="209" spans="1:73" x14ac:dyDescent="0.3">
      <c r="A209" t="s">
        <v>1285</v>
      </c>
      <c r="B209">
        <v>0</v>
      </c>
      <c r="C209">
        <v>0</v>
      </c>
      <c r="D209">
        <v>1</v>
      </c>
      <c r="E209">
        <v>350000</v>
      </c>
      <c r="F209">
        <v>0</v>
      </c>
      <c r="G209">
        <v>0</v>
      </c>
      <c r="H209">
        <v>3</v>
      </c>
      <c r="I209">
        <v>60000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6</v>
      </c>
      <c r="BC209" s="1">
        <v>594614</v>
      </c>
      <c r="BD209" t="s">
        <v>74</v>
      </c>
      <c r="BE209" t="s">
        <v>1286</v>
      </c>
      <c r="BF209" t="s">
        <v>1287</v>
      </c>
      <c r="BH209" t="s">
        <v>77</v>
      </c>
      <c r="BI209" t="s">
        <v>88</v>
      </c>
      <c r="BJ209" t="s">
        <v>79</v>
      </c>
      <c r="BM209">
        <v>0</v>
      </c>
      <c r="BN209">
        <v>2</v>
      </c>
      <c r="BO209">
        <v>2</v>
      </c>
      <c r="BP209" t="s">
        <v>514</v>
      </c>
      <c r="BR209">
        <v>0</v>
      </c>
      <c r="BS209">
        <v>6</v>
      </c>
      <c r="BU209">
        <v>410000</v>
      </c>
    </row>
    <row r="210" spans="1:73" x14ac:dyDescent="0.3">
      <c r="A210" t="s">
        <v>1288</v>
      </c>
      <c r="B210">
        <v>0</v>
      </c>
      <c r="C210">
        <v>269996</v>
      </c>
      <c r="D210">
        <v>11</v>
      </c>
      <c r="E210">
        <v>2174910</v>
      </c>
      <c r="F210">
        <v>0</v>
      </c>
      <c r="G210">
        <v>0</v>
      </c>
      <c r="H210">
        <v>9</v>
      </c>
      <c r="I210">
        <v>186036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22</v>
      </c>
      <c r="BC210" s="1">
        <v>2977307</v>
      </c>
      <c r="BD210" t="s">
        <v>74</v>
      </c>
      <c r="BE210" t="s">
        <v>1289</v>
      </c>
      <c r="BF210" t="s">
        <v>1290</v>
      </c>
      <c r="BH210" t="s">
        <v>77</v>
      </c>
      <c r="BI210" t="s">
        <v>720</v>
      </c>
      <c r="BJ210" t="s">
        <v>79</v>
      </c>
      <c r="BM210">
        <v>0</v>
      </c>
      <c r="BN210">
        <v>2</v>
      </c>
      <c r="BO210">
        <v>2</v>
      </c>
      <c r="BP210" t="s">
        <v>514</v>
      </c>
      <c r="BR210">
        <v>0</v>
      </c>
      <c r="BS210">
        <v>6</v>
      </c>
      <c r="BU210">
        <v>2630942</v>
      </c>
    </row>
    <row r="211" spans="1:73" x14ac:dyDescent="0.3">
      <c r="A211" t="s">
        <v>1291</v>
      </c>
      <c r="B211">
        <v>0</v>
      </c>
      <c r="C211">
        <v>0</v>
      </c>
      <c r="D211">
        <v>2</v>
      </c>
      <c r="E211">
        <v>375000</v>
      </c>
      <c r="F211">
        <v>0</v>
      </c>
      <c r="G211">
        <v>0</v>
      </c>
      <c r="H211">
        <v>3</v>
      </c>
      <c r="I211">
        <v>98659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6</v>
      </c>
      <c r="BC211" s="1">
        <v>552244</v>
      </c>
      <c r="BD211" t="s">
        <v>74</v>
      </c>
      <c r="BE211" t="s">
        <v>1292</v>
      </c>
      <c r="BF211" t="s">
        <v>1293</v>
      </c>
      <c r="BH211" t="s">
        <v>77</v>
      </c>
      <c r="BI211" t="s">
        <v>92</v>
      </c>
      <c r="BJ211" t="s">
        <v>79</v>
      </c>
      <c r="BM211">
        <v>0</v>
      </c>
      <c r="BN211">
        <v>2</v>
      </c>
      <c r="BO211">
        <v>2</v>
      </c>
      <c r="BP211" t="s">
        <v>80</v>
      </c>
      <c r="BR211">
        <v>0</v>
      </c>
      <c r="BS211">
        <v>6</v>
      </c>
      <c r="BU211">
        <v>473659</v>
      </c>
    </row>
    <row r="212" spans="1:73" x14ac:dyDescent="0.3">
      <c r="A212" t="s">
        <v>1294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19792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 s="1">
        <v>19792</v>
      </c>
      <c r="BD212" t="s">
        <v>74</v>
      </c>
      <c r="BE212" t="s">
        <v>1295</v>
      </c>
      <c r="BF212" t="s">
        <v>1296</v>
      </c>
      <c r="BH212" t="s">
        <v>77</v>
      </c>
      <c r="BI212" t="s">
        <v>78</v>
      </c>
      <c r="BJ212" t="s">
        <v>79</v>
      </c>
      <c r="BM212">
        <v>1</v>
      </c>
      <c r="BN212">
        <v>0</v>
      </c>
      <c r="BO212">
        <v>1</v>
      </c>
      <c r="BP212" t="s">
        <v>80</v>
      </c>
      <c r="BR212">
        <v>0</v>
      </c>
      <c r="BS212">
        <v>0</v>
      </c>
      <c r="BU212">
        <v>19792</v>
      </c>
    </row>
    <row r="213" spans="1:73" x14ac:dyDescent="0.3">
      <c r="A213" t="s">
        <v>1297</v>
      </c>
      <c r="B213">
        <v>1</v>
      </c>
      <c r="C213">
        <v>560283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 s="1">
        <v>560283</v>
      </c>
      <c r="BD213" t="s">
        <v>74</v>
      </c>
      <c r="BE213" t="s">
        <v>1298</v>
      </c>
      <c r="BF213" t="s">
        <v>1299</v>
      </c>
      <c r="BH213" t="s">
        <v>77</v>
      </c>
      <c r="BI213" t="s">
        <v>204</v>
      </c>
      <c r="BJ213" t="s">
        <v>79</v>
      </c>
      <c r="BM213">
        <v>0</v>
      </c>
      <c r="BN213">
        <v>1</v>
      </c>
      <c r="BO213">
        <v>1</v>
      </c>
      <c r="BP213" t="s">
        <v>80</v>
      </c>
      <c r="BR213">
        <v>0</v>
      </c>
      <c r="BS213">
        <v>0</v>
      </c>
      <c r="BU213">
        <v>560283</v>
      </c>
    </row>
    <row r="214" spans="1:73" x14ac:dyDescent="0.3">
      <c r="A214" t="s">
        <v>1300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152120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</v>
      </c>
      <c r="BC214" s="1">
        <v>230705</v>
      </c>
      <c r="BD214" t="s">
        <v>74</v>
      </c>
      <c r="BE214" t="s">
        <v>1301</v>
      </c>
      <c r="BF214" t="s">
        <v>1302</v>
      </c>
      <c r="BH214" t="s">
        <v>77</v>
      </c>
      <c r="BI214" t="s">
        <v>204</v>
      </c>
      <c r="BJ214" t="s">
        <v>79</v>
      </c>
      <c r="BM214">
        <v>1</v>
      </c>
      <c r="BN214">
        <v>0</v>
      </c>
      <c r="BO214">
        <v>1</v>
      </c>
      <c r="BP214" t="s">
        <v>80</v>
      </c>
      <c r="BR214">
        <v>0</v>
      </c>
      <c r="BS214">
        <v>6</v>
      </c>
      <c r="BU214">
        <v>152120</v>
      </c>
    </row>
    <row r="215" spans="1:73" x14ac:dyDescent="0.3">
      <c r="A215" t="s">
        <v>1303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73535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</v>
      </c>
      <c r="BC215" s="1">
        <v>147070</v>
      </c>
      <c r="BD215" t="s">
        <v>74</v>
      </c>
      <c r="BE215" t="s">
        <v>1304</v>
      </c>
      <c r="BF215" t="s">
        <v>1305</v>
      </c>
      <c r="BH215" t="s">
        <v>77</v>
      </c>
      <c r="BI215" t="s">
        <v>204</v>
      </c>
      <c r="BJ215" t="s">
        <v>79</v>
      </c>
      <c r="BM215">
        <v>1</v>
      </c>
      <c r="BN215">
        <v>0</v>
      </c>
      <c r="BO215">
        <v>1</v>
      </c>
      <c r="BP215" t="s">
        <v>80</v>
      </c>
      <c r="BR215">
        <v>0</v>
      </c>
      <c r="BS215">
        <v>0</v>
      </c>
      <c r="BU215">
        <v>73535</v>
      </c>
    </row>
    <row r="216" spans="1:73" x14ac:dyDescent="0.3">
      <c r="A216" t="s">
        <v>1306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40000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</v>
      </c>
      <c r="BC216" s="1">
        <v>40000</v>
      </c>
      <c r="BD216" t="s">
        <v>74</v>
      </c>
      <c r="BE216" t="s">
        <v>1307</v>
      </c>
      <c r="BF216" t="s">
        <v>513</v>
      </c>
      <c r="BH216" t="s">
        <v>77</v>
      </c>
      <c r="BI216" t="s">
        <v>204</v>
      </c>
      <c r="BJ216" t="s">
        <v>79</v>
      </c>
      <c r="BM216">
        <v>0</v>
      </c>
      <c r="BN216">
        <v>1</v>
      </c>
      <c r="BO216">
        <v>1</v>
      </c>
      <c r="BP216" t="s">
        <v>514</v>
      </c>
      <c r="BR216">
        <v>0</v>
      </c>
      <c r="BS216">
        <v>6</v>
      </c>
      <c r="BU216">
        <v>40000</v>
      </c>
    </row>
    <row r="217" spans="1:73" x14ac:dyDescent="0.3">
      <c r="A217" t="s">
        <v>1311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</v>
      </c>
      <c r="I217">
        <v>100000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4</v>
      </c>
      <c r="BC217" s="1">
        <v>100000</v>
      </c>
      <c r="BD217" t="s">
        <v>74</v>
      </c>
      <c r="BE217" t="s">
        <v>1312</v>
      </c>
      <c r="BF217" t="s">
        <v>1313</v>
      </c>
      <c r="BH217" t="s">
        <v>77</v>
      </c>
      <c r="BI217" t="s">
        <v>88</v>
      </c>
      <c r="BJ217" t="s">
        <v>79</v>
      </c>
      <c r="BM217">
        <v>0</v>
      </c>
      <c r="BN217">
        <v>1</v>
      </c>
      <c r="BO217">
        <v>1</v>
      </c>
      <c r="BP217" t="s">
        <v>80</v>
      </c>
      <c r="BR217">
        <v>0</v>
      </c>
      <c r="BS217">
        <v>6</v>
      </c>
      <c r="BU217">
        <v>100000</v>
      </c>
    </row>
    <row r="218" spans="1:73" x14ac:dyDescent="0.3">
      <c r="A218" t="s">
        <v>1320</v>
      </c>
      <c r="B218">
        <v>2</v>
      </c>
      <c r="C218">
        <v>361818</v>
      </c>
      <c r="D218">
        <v>2</v>
      </c>
      <c r="E218">
        <v>224000</v>
      </c>
      <c r="F218">
        <v>0</v>
      </c>
      <c r="G218">
        <v>0</v>
      </c>
      <c r="H218">
        <v>2</v>
      </c>
      <c r="I218">
        <v>45000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73535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19792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11</v>
      </c>
      <c r="BC218" s="1">
        <v>1017472</v>
      </c>
      <c r="BD218" t="s">
        <v>74</v>
      </c>
      <c r="BE218" t="s">
        <v>1321</v>
      </c>
      <c r="BF218" t="s">
        <v>1322</v>
      </c>
      <c r="BH218" t="s">
        <v>77</v>
      </c>
      <c r="BI218" t="s">
        <v>593</v>
      </c>
      <c r="BJ218" t="s">
        <v>79</v>
      </c>
      <c r="BM218">
        <v>2</v>
      </c>
      <c r="BN218">
        <v>3</v>
      </c>
      <c r="BO218">
        <v>5</v>
      </c>
      <c r="BP218" t="s">
        <v>80</v>
      </c>
      <c r="BR218">
        <v>0</v>
      </c>
      <c r="BS218">
        <v>6</v>
      </c>
      <c r="BU218">
        <v>724145</v>
      </c>
    </row>
    <row r="219" spans="1:73" x14ac:dyDescent="0.3">
      <c r="A219" t="s">
        <v>1329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13</v>
      </c>
      <c r="I219">
        <v>230365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13</v>
      </c>
      <c r="BC219" s="1">
        <v>230365</v>
      </c>
      <c r="BD219" t="s">
        <v>74</v>
      </c>
      <c r="BE219" t="s">
        <v>1330</v>
      </c>
      <c r="BF219" t="s">
        <v>1273</v>
      </c>
      <c r="BH219" t="s">
        <v>77</v>
      </c>
      <c r="BI219" t="s">
        <v>204</v>
      </c>
      <c r="BJ219" t="s">
        <v>79</v>
      </c>
      <c r="BM219">
        <v>0</v>
      </c>
      <c r="BN219">
        <v>1</v>
      </c>
      <c r="BO219">
        <v>1</v>
      </c>
      <c r="BP219" t="s">
        <v>514</v>
      </c>
      <c r="BR219">
        <v>0</v>
      </c>
      <c r="BS219">
        <v>6</v>
      </c>
      <c r="BU219">
        <v>230365</v>
      </c>
    </row>
    <row r="220" spans="1:73" x14ac:dyDescent="0.3">
      <c r="A220" t="s">
        <v>1331</v>
      </c>
      <c r="B220">
        <v>0</v>
      </c>
      <c r="C220">
        <v>0</v>
      </c>
      <c r="D220">
        <v>2</v>
      </c>
      <c r="E220">
        <v>390000</v>
      </c>
      <c r="F220">
        <v>0</v>
      </c>
      <c r="G220">
        <v>0</v>
      </c>
      <c r="H220">
        <v>1</v>
      </c>
      <c r="I220">
        <v>21262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9</v>
      </c>
      <c r="BC220" s="1">
        <v>797327</v>
      </c>
      <c r="BD220" t="s">
        <v>74</v>
      </c>
      <c r="BE220" t="s">
        <v>1332</v>
      </c>
      <c r="BF220" t="s">
        <v>1333</v>
      </c>
      <c r="BH220" t="s">
        <v>77</v>
      </c>
      <c r="BI220" t="s">
        <v>228</v>
      </c>
      <c r="BJ220" t="s">
        <v>79</v>
      </c>
      <c r="BM220">
        <v>0</v>
      </c>
      <c r="BN220">
        <v>2</v>
      </c>
      <c r="BO220">
        <v>2</v>
      </c>
      <c r="BP220" t="s">
        <v>514</v>
      </c>
      <c r="BR220">
        <v>0</v>
      </c>
      <c r="BS220">
        <v>6</v>
      </c>
      <c r="BU220">
        <v>411262</v>
      </c>
    </row>
    <row r="221" spans="1:73" x14ac:dyDescent="0.3">
      <c r="A221" t="s">
        <v>1334</v>
      </c>
      <c r="B221">
        <v>0</v>
      </c>
      <c r="C221">
        <v>0</v>
      </c>
      <c r="D221">
        <v>4</v>
      </c>
      <c r="E221">
        <v>311291</v>
      </c>
      <c r="F221">
        <v>0</v>
      </c>
      <c r="G221">
        <v>0</v>
      </c>
      <c r="H221">
        <v>6</v>
      </c>
      <c r="I221">
        <v>100000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8</v>
      </c>
      <c r="BC221" s="1">
        <v>622582</v>
      </c>
      <c r="BD221" t="s">
        <v>74</v>
      </c>
      <c r="BE221" t="s">
        <v>1335</v>
      </c>
      <c r="BF221" t="s">
        <v>1336</v>
      </c>
      <c r="BH221" t="s">
        <v>77</v>
      </c>
      <c r="BI221" t="s">
        <v>88</v>
      </c>
      <c r="BJ221" t="s">
        <v>79</v>
      </c>
      <c r="BM221">
        <v>0</v>
      </c>
      <c r="BN221">
        <v>2</v>
      </c>
      <c r="BO221">
        <v>2</v>
      </c>
      <c r="BP221" t="s">
        <v>80</v>
      </c>
      <c r="BR221">
        <v>0</v>
      </c>
      <c r="BS221">
        <v>6</v>
      </c>
      <c r="BU221">
        <v>411291</v>
      </c>
    </row>
    <row r="222" spans="1:73" x14ac:dyDescent="0.3">
      <c r="A222" t="s">
        <v>1337</v>
      </c>
      <c r="B222">
        <v>0</v>
      </c>
      <c r="C222">
        <v>59091</v>
      </c>
      <c r="D222">
        <v>22</v>
      </c>
      <c r="E222">
        <v>1361090</v>
      </c>
      <c r="F222">
        <v>0</v>
      </c>
      <c r="G222">
        <v>0</v>
      </c>
      <c r="H222">
        <v>40</v>
      </c>
      <c r="I222">
        <v>850548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105000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400000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50</v>
      </c>
      <c r="BC222" s="1">
        <v>2450455</v>
      </c>
      <c r="BD222" t="s">
        <v>74</v>
      </c>
      <c r="BE222" t="s">
        <v>1338</v>
      </c>
      <c r="BF222" t="s">
        <v>1339</v>
      </c>
      <c r="BH222" t="s">
        <v>114</v>
      </c>
      <c r="BI222" t="s">
        <v>115</v>
      </c>
      <c r="BJ222" t="s">
        <v>79</v>
      </c>
      <c r="BM222">
        <v>1</v>
      </c>
      <c r="BN222">
        <v>3</v>
      </c>
      <c r="BO222">
        <v>4</v>
      </c>
      <c r="BP222" t="s">
        <v>514</v>
      </c>
      <c r="BR222">
        <v>0</v>
      </c>
      <c r="BS222">
        <v>6</v>
      </c>
      <c r="BU222">
        <v>2775729</v>
      </c>
    </row>
    <row r="223" spans="1:73" x14ac:dyDescent="0.3">
      <c r="A223" t="s">
        <v>1340</v>
      </c>
      <c r="B223">
        <v>1</v>
      </c>
      <c r="C223">
        <v>419376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40000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</v>
      </c>
      <c r="BC223" s="1">
        <v>459376</v>
      </c>
      <c r="BD223" t="s">
        <v>74</v>
      </c>
      <c r="BE223" t="s">
        <v>1341</v>
      </c>
      <c r="BF223" t="s">
        <v>1342</v>
      </c>
      <c r="BH223" t="s">
        <v>77</v>
      </c>
      <c r="BI223" t="s">
        <v>78</v>
      </c>
      <c r="BJ223" t="s">
        <v>79</v>
      </c>
      <c r="BM223">
        <v>0</v>
      </c>
      <c r="BN223">
        <v>2</v>
      </c>
      <c r="BO223">
        <v>2</v>
      </c>
      <c r="BP223" t="s">
        <v>80</v>
      </c>
      <c r="BR223">
        <v>0</v>
      </c>
      <c r="BS223">
        <v>6</v>
      </c>
      <c r="BU223">
        <v>459376</v>
      </c>
    </row>
    <row r="224" spans="1:73" x14ac:dyDescent="0.3">
      <c r="A224" t="s">
        <v>1346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20000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 s="1">
        <v>20000</v>
      </c>
      <c r="BD224" t="s">
        <v>74</v>
      </c>
      <c r="BE224" t="s">
        <v>1309</v>
      </c>
      <c r="BF224" t="s">
        <v>1310</v>
      </c>
      <c r="BH224" t="s">
        <v>77</v>
      </c>
      <c r="BI224" t="s">
        <v>204</v>
      </c>
      <c r="BJ224" t="s">
        <v>79</v>
      </c>
      <c r="BM224">
        <v>0</v>
      </c>
      <c r="BN224">
        <v>1</v>
      </c>
      <c r="BO224">
        <v>1</v>
      </c>
      <c r="BP224" t="s">
        <v>514</v>
      </c>
      <c r="BR224">
        <v>0</v>
      </c>
      <c r="BS224">
        <v>6</v>
      </c>
      <c r="BU224">
        <v>20000</v>
      </c>
    </row>
    <row r="225" spans="1:73" x14ac:dyDescent="0.3">
      <c r="A225" t="s">
        <v>1352</v>
      </c>
      <c r="B225">
        <v>4</v>
      </c>
      <c r="C225">
        <v>1258484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</v>
      </c>
      <c r="BC225" s="1">
        <v>1258484</v>
      </c>
      <c r="BD225" t="s">
        <v>74</v>
      </c>
      <c r="BE225" t="s">
        <v>1353</v>
      </c>
      <c r="BF225" t="s">
        <v>1354</v>
      </c>
      <c r="BH225" t="s">
        <v>77</v>
      </c>
      <c r="BI225" t="s">
        <v>204</v>
      </c>
      <c r="BJ225" t="s">
        <v>79</v>
      </c>
      <c r="BM225">
        <v>0</v>
      </c>
      <c r="BN225">
        <v>1</v>
      </c>
      <c r="BO225">
        <v>1</v>
      </c>
      <c r="BP225" t="s">
        <v>80</v>
      </c>
      <c r="BR225">
        <v>0</v>
      </c>
      <c r="BS225">
        <v>6</v>
      </c>
      <c r="BU225">
        <v>1258484</v>
      </c>
    </row>
    <row r="226" spans="1:73" x14ac:dyDescent="0.3">
      <c r="A226" t="s">
        <v>1367</v>
      </c>
      <c r="B226">
        <v>0</v>
      </c>
      <c r="C226">
        <v>0</v>
      </c>
      <c r="D226">
        <v>11</v>
      </c>
      <c r="E226">
        <v>3882097</v>
      </c>
      <c r="F226">
        <v>0</v>
      </c>
      <c r="G226">
        <v>0</v>
      </c>
      <c r="H226">
        <v>12</v>
      </c>
      <c r="I226">
        <v>431749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24</v>
      </c>
      <c r="BC226" s="1">
        <v>4853846</v>
      </c>
      <c r="BD226" t="s">
        <v>74</v>
      </c>
      <c r="BE226" t="s">
        <v>1368</v>
      </c>
      <c r="BF226" t="s">
        <v>1369</v>
      </c>
      <c r="BH226" t="s">
        <v>77</v>
      </c>
      <c r="BI226" t="s">
        <v>204</v>
      </c>
      <c r="BJ226" t="s">
        <v>79</v>
      </c>
      <c r="BM226">
        <v>0</v>
      </c>
      <c r="BN226">
        <v>2</v>
      </c>
      <c r="BO226">
        <v>2</v>
      </c>
      <c r="BP226" t="s">
        <v>80</v>
      </c>
      <c r="BR226">
        <v>0</v>
      </c>
      <c r="BS226">
        <v>6</v>
      </c>
      <c r="BU226">
        <v>4313846</v>
      </c>
    </row>
    <row r="227" spans="1:73" x14ac:dyDescent="0.3">
      <c r="A227" t="s">
        <v>1373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73535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19792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3</v>
      </c>
      <c r="BC227" s="1">
        <v>113119</v>
      </c>
      <c r="BD227" t="s">
        <v>74</v>
      </c>
      <c r="BE227" t="s">
        <v>1374</v>
      </c>
      <c r="BF227" t="s">
        <v>813</v>
      </c>
      <c r="BH227" t="s">
        <v>77</v>
      </c>
      <c r="BI227" t="s">
        <v>281</v>
      </c>
      <c r="BJ227" t="s">
        <v>79</v>
      </c>
      <c r="BM227">
        <v>2</v>
      </c>
      <c r="BN227">
        <v>0</v>
      </c>
      <c r="BO227">
        <v>2</v>
      </c>
      <c r="BP227" t="s">
        <v>80</v>
      </c>
      <c r="BR227">
        <v>0</v>
      </c>
      <c r="BS227">
        <v>6</v>
      </c>
      <c r="BU227">
        <v>93327</v>
      </c>
    </row>
    <row r="228" spans="1:73" x14ac:dyDescent="0.3">
      <c r="A228" t="s">
        <v>1375</v>
      </c>
      <c r="B228">
        <v>1</v>
      </c>
      <c r="C228">
        <v>148812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 s="1">
        <v>148812</v>
      </c>
      <c r="BD228" t="s">
        <v>74</v>
      </c>
      <c r="BE228" t="s">
        <v>1376</v>
      </c>
      <c r="BF228" t="s">
        <v>1377</v>
      </c>
      <c r="BH228" t="s">
        <v>77</v>
      </c>
      <c r="BI228" t="s">
        <v>593</v>
      </c>
      <c r="BJ228" t="s">
        <v>79</v>
      </c>
      <c r="BM228">
        <v>0</v>
      </c>
      <c r="BN228">
        <v>1</v>
      </c>
      <c r="BO228">
        <v>1</v>
      </c>
      <c r="BP228" t="s">
        <v>80</v>
      </c>
      <c r="BR228">
        <v>0</v>
      </c>
      <c r="BS228">
        <v>6</v>
      </c>
      <c r="BU228">
        <v>148812</v>
      </c>
    </row>
    <row r="229" spans="1:73" x14ac:dyDescent="0.3">
      <c r="A229" t="s">
        <v>1378</v>
      </c>
      <c r="B229">
        <v>0</v>
      </c>
      <c r="C229">
        <v>0</v>
      </c>
      <c r="D229">
        <v>2</v>
      </c>
      <c r="E229">
        <v>170000</v>
      </c>
      <c r="F229">
        <v>0</v>
      </c>
      <c r="G229">
        <v>0</v>
      </c>
      <c r="H229">
        <v>2</v>
      </c>
      <c r="I229">
        <v>40000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65000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6</v>
      </c>
      <c r="BC229" s="1">
        <v>470000</v>
      </c>
      <c r="BD229" t="s">
        <v>74</v>
      </c>
      <c r="BE229" t="s">
        <v>1379</v>
      </c>
      <c r="BF229" t="s">
        <v>1380</v>
      </c>
      <c r="BH229" t="s">
        <v>77</v>
      </c>
      <c r="BI229" t="s">
        <v>281</v>
      </c>
      <c r="BJ229" t="s">
        <v>79</v>
      </c>
      <c r="BM229">
        <v>0</v>
      </c>
      <c r="BN229">
        <v>3</v>
      </c>
      <c r="BO229">
        <v>3</v>
      </c>
      <c r="BP229" t="s">
        <v>80</v>
      </c>
      <c r="BR229">
        <v>0</v>
      </c>
      <c r="BS229">
        <v>6</v>
      </c>
      <c r="BU229">
        <v>275000</v>
      </c>
    </row>
    <row r="230" spans="1:73" x14ac:dyDescent="0.3">
      <c r="A230" t="s">
        <v>1384</v>
      </c>
      <c r="B230">
        <v>0</v>
      </c>
      <c r="C230">
        <v>0</v>
      </c>
      <c r="D230">
        <v>4</v>
      </c>
      <c r="E230">
        <v>1223366</v>
      </c>
      <c r="F230">
        <v>0</v>
      </c>
      <c r="G230">
        <v>0</v>
      </c>
      <c r="H230">
        <v>6</v>
      </c>
      <c r="I230">
        <v>286732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8</v>
      </c>
      <c r="BC230" s="1">
        <v>2446732</v>
      </c>
      <c r="BD230" t="s">
        <v>74</v>
      </c>
      <c r="BE230" t="s">
        <v>1385</v>
      </c>
      <c r="BF230" t="s">
        <v>1386</v>
      </c>
      <c r="BH230" t="s">
        <v>77</v>
      </c>
      <c r="BI230" t="s">
        <v>129</v>
      </c>
      <c r="BJ230" t="s">
        <v>79</v>
      </c>
      <c r="BM230">
        <v>0</v>
      </c>
      <c r="BN230">
        <v>2</v>
      </c>
      <c r="BO230">
        <v>2</v>
      </c>
      <c r="BP230" t="s">
        <v>80</v>
      </c>
      <c r="BR230">
        <v>0</v>
      </c>
      <c r="BS230">
        <v>6</v>
      </c>
      <c r="BU230">
        <v>1510098</v>
      </c>
    </row>
    <row r="231" spans="1:73" x14ac:dyDescent="0.3">
      <c r="A231" t="s">
        <v>1396</v>
      </c>
      <c r="B231">
        <v>8</v>
      </c>
      <c r="C231">
        <v>1444772</v>
      </c>
      <c r="D231">
        <v>7</v>
      </c>
      <c r="E231">
        <v>1088934</v>
      </c>
      <c r="F231">
        <v>0</v>
      </c>
      <c r="G231">
        <v>0</v>
      </c>
      <c r="H231">
        <v>10</v>
      </c>
      <c r="I231">
        <v>667868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22</v>
      </c>
      <c r="BC231" s="1">
        <v>3622640</v>
      </c>
      <c r="BD231" t="s">
        <v>74</v>
      </c>
      <c r="BE231" t="s">
        <v>1397</v>
      </c>
      <c r="BF231" t="s">
        <v>1242</v>
      </c>
      <c r="BH231" t="s">
        <v>175</v>
      </c>
      <c r="BI231" t="s">
        <v>176</v>
      </c>
      <c r="BJ231" t="s">
        <v>125</v>
      </c>
      <c r="BM231">
        <v>0</v>
      </c>
      <c r="BN231">
        <v>3</v>
      </c>
      <c r="BO231">
        <v>3</v>
      </c>
      <c r="BP231" t="s">
        <v>80</v>
      </c>
      <c r="BR231">
        <v>0</v>
      </c>
      <c r="BS231">
        <v>6</v>
      </c>
      <c r="BU231">
        <v>3201574</v>
      </c>
    </row>
    <row r="232" spans="1:73" x14ac:dyDescent="0.3">
      <c r="A232" t="s">
        <v>1400</v>
      </c>
      <c r="B232">
        <v>0</v>
      </c>
      <c r="C232">
        <v>0</v>
      </c>
      <c r="D232">
        <v>5</v>
      </c>
      <c r="E232">
        <v>310733</v>
      </c>
      <c r="F232">
        <v>0</v>
      </c>
      <c r="G232">
        <v>0</v>
      </c>
      <c r="H232">
        <v>8</v>
      </c>
      <c r="I232">
        <v>160666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10</v>
      </c>
      <c r="BC232" s="1">
        <v>621466</v>
      </c>
      <c r="BD232" t="s">
        <v>74</v>
      </c>
      <c r="BE232" t="s">
        <v>1401</v>
      </c>
      <c r="BF232" t="s">
        <v>1402</v>
      </c>
      <c r="BH232" t="s">
        <v>136</v>
      </c>
      <c r="BI232" t="s">
        <v>191</v>
      </c>
      <c r="BJ232" t="s">
        <v>125</v>
      </c>
      <c r="BM232">
        <v>0</v>
      </c>
      <c r="BN232">
        <v>2</v>
      </c>
      <c r="BO232">
        <v>2</v>
      </c>
      <c r="BP232" t="s">
        <v>99</v>
      </c>
      <c r="BR232">
        <v>0</v>
      </c>
      <c r="BS232">
        <v>6</v>
      </c>
      <c r="BU232">
        <v>471399</v>
      </c>
    </row>
    <row r="233" spans="1:73" x14ac:dyDescent="0.3">
      <c r="A233" t="s">
        <v>1406</v>
      </c>
      <c r="B233">
        <v>0</v>
      </c>
      <c r="C233">
        <v>0</v>
      </c>
      <c r="D233">
        <v>1</v>
      </c>
      <c r="E233">
        <v>864000</v>
      </c>
      <c r="F233">
        <v>0</v>
      </c>
      <c r="G233">
        <v>0</v>
      </c>
      <c r="H233">
        <v>2</v>
      </c>
      <c r="I233">
        <v>40089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</v>
      </c>
      <c r="BC233" s="1">
        <v>904089</v>
      </c>
      <c r="BD233" t="s">
        <v>74</v>
      </c>
      <c r="BE233" t="s">
        <v>1407</v>
      </c>
      <c r="BF233" t="s">
        <v>1408</v>
      </c>
      <c r="BH233" t="s">
        <v>77</v>
      </c>
      <c r="BI233" t="s">
        <v>228</v>
      </c>
      <c r="BJ233" t="s">
        <v>79</v>
      </c>
      <c r="BM233">
        <v>0</v>
      </c>
      <c r="BN233">
        <v>2</v>
      </c>
      <c r="BO233">
        <v>2</v>
      </c>
      <c r="BP233" t="s">
        <v>80</v>
      </c>
      <c r="BR233">
        <v>0</v>
      </c>
      <c r="BS233">
        <v>6</v>
      </c>
      <c r="BU233">
        <v>904089</v>
      </c>
    </row>
    <row r="234" spans="1:73" x14ac:dyDescent="0.3">
      <c r="A234" t="s">
        <v>1412</v>
      </c>
      <c r="B234">
        <v>10</v>
      </c>
      <c r="C234">
        <v>3410649</v>
      </c>
      <c r="D234">
        <v>8</v>
      </c>
      <c r="E234">
        <v>1831634</v>
      </c>
      <c r="F234">
        <v>0</v>
      </c>
      <c r="G234">
        <v>0</v>
      </c>
      <c r="H234">
        <v>8</v>
      </c>
      <c r="I234">
        <v>160000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290000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36</v>
      </c>
      <c r="BC234" s="1">
        <v>7773917</v>
      </c>
      <c r="BD234" t="s">
        <v>74</v>
      </c>
      <c r="BE234" t="s">
        <v>1413</v>
      </c>
      <c r="BF234" t="s">
        <v>1414</v>
      </c>
      <c r="BH234" t="s">
        <v>77</v>
      </c>
      <c r="BI234" t="s">
        <v>92</v>
      </c>
      <c r="BJ234" t="s">
        <v>79</v>
      </c>
      <c r="BM234">
        <v>0</v>
      </c>
      <c r="BN234">
        <v>4</v>
      </c>
      <c r="BO234">
        <v>4</v>
      </c>
      <c r="BP234" t="s">
        <v>80</v>
      </c>
      <c r="BR234">
        <v>0</v>
      </c>
      <c r="BS234">
        <v>6</v>
      </c>
      <c r="BU234">
        <v>5692283</v>
      </c>
    </row>
    <row r="235" spans="1:73" x14ac:dyDescent="0.3">
      <c r="A235" t="s">
        <v>1421</v>
      </c>
      <c r="B235">
        <v>1</v>
      </c>
      <c r="C235">
        <v>526542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 s="1">
        <v>526542</v>
      </c>
      <c r="BD235" t="s">
        <v>74</v>
      </c>
      <c r="BE235" t="s">
        <v>1422</v>
      </c>
      <c r="BF235" t="s">
        <v>1423</v>
      </c>
      <c r="BH235" t="s">
        <v>77</v>
      </c>
      <c r="BI235" t="s">
        <v>92</v>
      </c>
      <c r="BJ235" t="s">
        <v>79</v>
      </c>
      <c r="BM235">
        <v>0</v>
      </c>
      <c r="BN235">
        <v>1</v>
      </c>
      <c r="BO235">
        <v>1</v>
      </c>
      <c r="BP235" t="s">
        <v>80</v>
      </c>
      <c r="BR235">
        <v>0</v>
      </c>
      <c r="BS235">
        <v>6</v>
      </c>
      <c r="BU235">
        <v>526542</v>
      </c>
    </row>
    <row r="236" spans="1:73" x14ac:dyDescent="0.3">
      <c r="A236" t="s">
        <v>1430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135000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 s="1">
        <v>135000</v>
      </c>
      <c r="BD236" t="s">
        <v>74</v>
      </c>
      <c r="BE236" t="s">
        <v>1431</v>
      </c>
      <c r="BF236" t="s">
        <v>1432</v>
      </c>
      <c r="BH236" t="s">
        <v>77</v>
      </c>
      <c r="BI236" t="s">
        <v>204</v>
      </c>
      <c r="BJ236" t="s">
        <v>79</v>
      </c>
      <c r="BM236">
        <v>0</v>
      </c>
      <c r="BN236">
        <v>1</v>
      </c>
      <c r="BO236">
        <v>1</v>
      </c>
      <c r="BP236" t="s">
        <v>80</v>
      </c>
      <c r="BR236">
        <v>0</v>
      </c>
      <c r="BS236">
        <v>6</v>
      </c>
      <c r="BU236">
        <v>135000</v>
      </c>
    </row>
    <row r="237" spans="1:73" x14ac:dyDescent="0.3">
      <c r="A237" t="s">
        <v>1438</v>
      </c>
      <c r="B237">
        <v>0</v>
      </c>
      <c r="C237">
        <v>0</v>
      </c>
      <c r="D237">
        <v>2</v>
      </c>
      <c r="E237">
        <v>500000</v>
      </c>
      <c r="F237">
        <v>0</v>
      </c>
      <c r="G237">
        <v>0</v>
      </c>
      <c r="H237">
        <v>2</v>
      </c>
      <c r="I237">
        <v>40000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</v>
      </c>
      <c r="BC237" s="1">
        <v>540000</v>
      </c>
      <c r="BD237" t="s">
        <v>74</v>
      </c>
      <c r="BE237" t="s">
        <v>1439</v>
      </c>
      <c r="BF237" t="s">
        <v>254</v>
      </c>
      <c r="BH237" t="s">
        <v>77</v>
      </c>
      <c r="BI237" t="s">
        <v>78</v>
      </c>
      <c r="BJ237" t="s">
        <v>79</v>
      </c>
      <c r="BM237">
        <v>0</v>
      </c>
      <c r="BN237">
        <v>2</v>
      </c>
      <c r="BO237">
        <v>2</v>
      </c>
      <c r="BP237" t="s">
        <v>514</v>
      </c>
      <c r="BR237">
        <v>0</v>
      </c>
      <c r="BS237">
        <v>6</v>
      </c>
      <c r="BU237">
        <v>540000</v>
      </c>
    </row>
    <row r="238" spans="1:73" x14ac:dyDescent="0.3">
      <c r="A238" t="s">
        <v>1442</v>
      </c>
      <c r="B238">
        <v>0</v>
      </c>
      <c r="C238">
        <v>0</v>
      </c>
      <c r="D238">
        <v>8</v>
      </c>
      <c r="E238">
        <v>383374</v>
      </c>
      <c r="F238">
        <v>0</v>
      </c>
      <c r="G238">
        <v>0</v>
      </c>
      <c r="H238">
        <v>26</v>
      </c>
      <c r="I238">
        <v>520386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468357</v>
      </c>
      <c r="AY238">
        <v>0</v>
      </c>
      <c r="AZ238">
        <v>0</v>
      </c>
      <c r="BA238">
        <v>0</v>
      </c>
      <c r="BB238">
        <v>35</v>
      </c>
      <c r="BC238" s="1">
        <v>2152033</v>
      </c>
      <c r="BD238" t="s">
        <v>74</v>
      </c>
      <c r="BE238" t="s">
        <v>1443</v>
      </c>
      <c r="BF238" t="s">
        <v>1239</v>
      </c>
      <c r="BH238" t="s">
        <v>77</v>
      </c>
      <c r="BI238" t="s">
        <v>88</v>
      </c>
      <c r="BJ238" t="s">
        <v>79</v>
      </c>
      <c r="BM238">
        <v>0</v>
      </c>
      <c r="BN238">
        <v>2</v>
      </c>
      <c r="BO238">
        <v>2</v>
      </c>
      <c r="BP238" t="s">
        <v>80</v>
      </c>
      <c r="BR238">
        <v>0</v>
      </c>
      <c r="BS238">
        <v>6</v>
      </c>
      <c r="BU238">
        <v>1372117</v>
      </c>
    </row>
    <row r="239" spans="1:73" x14ac:dyDescent="0.3">
      <c r="A239" t="s">
        <v>1452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20000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 s="1">
        <v>20000</v>
      </c>
      <c r="BD239" t="s">
        <v>74</v>
      </c>
      <c r="BE239" t="s">
        <v>1453</v>
      </c>
      <c r="BF239" t="s">
        <v>1454</v>
      </c>
      <c r="BH239" t="s">
        <v>77</v>
      </c>
      <c r="BI239" t="s">
        <v>129</v>
      </c>
      <c r="BJ239" t="s">
        <v>79</v>
      </c>
      <c r="BM239">
        <v>0</v>
      </c>
      <c r="BN239">
        <v>1</v>
      </c>
      <c r="BO239">
        <v>1</v>
      </c>
      <c r="BP239" t="s">
        <v>80</v>
      </c>
      <c r="BR239">
        <v>0</v>
      </c>
      <c r="BS239">
        <v>6</v>
      </c>
      <c r="BU239">
        <v>20000</v>
      </c>
    </row>
    <row r="240" spans="1:73" x14ac:dyDescent="0.3">
      <c r="A240" t="s">
        <v>1455</v>
      </c>
      <c r="B240">
        <v>0</v>
      </c>
      <c r="C240">
        <v>0</v>
      </c>
      <c r="D240">
        <v>3</v>
      </c>
      <c r="E240">
        <v>60000</v>
      </c>
      <c r="F240">
        <v>0</v>
      </c>
      <c r="G240">
        <v>0</v>
      </c>
      <c r="H240">
        <v>6</v>
      </c>
      <c r="I240">
        <v>120000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</v>
      </c>
      <c r="BC240" s="1">
        <v>120000</v>
      </c>
      <c r="BD240" t="s">
        <v>74</v>
      </c>
      <c r="BE240" t="s">
        <v>1456</v>
      </c>
      <c r="BF240" t="s">
        <v>1457</v>
      </c>
      <c r="BH240" t="s">
        <v>77</v>
      </c>
      <c r="BI240" t="s">
        <v>593</v>
      </c>
      <c r="BJ240" t="s">
        <v>79</v>
      </c>
      <c r="BM240">
        <v>0</v>
      </c>
      <c r="BN240">
        <v>2</v>
      </c>
      <c r="BO240">
        <v>2</v>
      </c>
      <c r="BP240" t="s">
        <v>80</v>
      </c>
      <c r="BR240">
        <v>0</v>
      </c>
      <c r="BS240">
        <v>6</v>
      </c>
      <c r="BU240">
        <v>180000</v>
      </c>
    </row>
    <row r="241" spans="1:73" x14ac:dyDescent="0.3">
      <c r="A241" t="s">
        <v>1461</v>
      </c>
      <c r="B241">
        <v>3</v>
      </c>
      <c r="C241">
        <v>766362</v>
      </c>
      <c r="D241">
        <v>6</v>
      </c>
      <c r="E241">
        <v>661752</v>
      </c>
      <c r="F241">
        <v>0</v>
      </c>
      <c r="G241">
        <v>0</v>
      </c>
      <c r="H241">
        <v>6</v>
      </c>
      <c r="I241">
        <v>134412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15</v>
      </c>
      <c r="BC241" s="1">
        <v>2089866</v>
      </c>
      <c r="BD241" t="s">
        <v>74</v>
      </c>
      <c r="BE241" t="s">
        <v>1462</v>
      </c>
      <c r="BF241" t="s">
        <v>1463</v>
      </c>
      <c r="BH241" t="s">
        <v>1464</v>
      </c>
      <c r="BI241" t="s">
        <v>1465</v>
      </c>
      <c r="BJ241" t="s">
        <v>125</v>
      </c>
      <c r="BM241">
        <v>0</v>
      </c>
      <c r="BN241">
        <v>3</v>
      </c>
      <c r="BO241">
        <v>3</v>
      </c>
      <c r="BP241" t="s">
        <v>80</v>
      </c>
      <c r="BR241">
        <v>0</v>
      </c>
      <c r="BS241">
        <v>6</v>
      </c>
      <c r="BU241">
        <v>1562526</v>
      </c>
    </row>
    <row r="242" spans="1:73" x14ac:dyDescent="0.3">
      <c r="A242" t="s">
        <v>1466</v>
      </c>
      <c r="B242">
        <v>0</v>
      </c>
      <c r="C242">
        <v>0</v>
      </c>
      <c r="D242">
        <v>1</v>
      </c>
      <c r="E242">
        <v>480000</v>
      </c>
      <c r="F242">
        <v>0</v>
      </c>
      <c r="G242">
        <v>0</v>
      </c>
      <c r="H242">
        <v>2</v>
      </c>
      <c r="I242">
        <v>45000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</v>
      </c>
      <c r="BC242" s="1">
        <v>525000</v>
      </c>
      <c r="BD242" t="s">
        <v>74</v>
      </c>
      <c r="BE242" t="s">
        <v>1467</v>
      </c>
      <c r="BF242" t="s">
        <v>1468</v>
      </c>
      <c r="BH242" t="s">
        <v>77</v>
      </c>
      <c r="BI242" t="s">
        <v>204</v>
      </c>
      <c r="BJ242" t="s">
        <v>79</v>
      </c>
      <c r="BM242">
        <v>0</v>
      </c>
      <c r="BN242">
        <v>2</v>
      </c>
      <c r="BO242">
        <v>2</v>
      </c>
      <c r="BP242" t="s">
        <v>80</v>
      </c>
      <c r="BR242">
        <v>0</v>
      </c>
      <c r="BS242">
        <v>6</v>
      </c>
      <c r="BU242">
        <v>525000</v>
      </c>
    </row>
    <row r="243" spans="1:73" x14ac:dyDescent="0.3">
      <c r="A243" t="s">
        <v>1481</v>
      </c>
      <c r="B243">
        <v>2</v>
      </c>
      <c r="C243">
        <v>181262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 s="1">
        <v>181262</v>
      </c>
      <c r="BD243" t="s">
        <v>74</v>
      </c>
      <c r="BE243" t="s">
        <v>1482</v>
      </c>
      <c r="BF243" t="s">
        <v>1483</v>
      </c>
      <c r="BH243" t="s">
        <v>77</v>
      </c>
      <c r="BI243" t="s">
        <v>92</v>
      </c>
      <c r="BJ243" t="s">
        <v>79</v>
      </c>
      <c r="BM243">
        <v>0</v>
      </c>
      <c r="BN243">
        <v>1</v>
      </c>
      <c r="BO243">
        <v>1</v>
      </c>
      <c r="BP243" t="s">
        <v>80</v>
      </c>
      <c r="BR243">
        <v>0</v>
      </c>
      <c r="BS243">
        <v>0</v>
      </c>
      <c r="BU243">
        <v>181262</v>
      </c>
    </row>
    <row r="244" spans="1:73" x14ac:dyDescent="0.3">
      <c r="A244" t="s">
        <v>1493</v>
      </c>
      <c r="B244">
        <v>0</v>
      </c>
      <c r="C244">
        <v>0</v>
      </c>
      <c r="D244">
        <v>1</v>
      </c>
      <c r="E244">
        <v>218182</v>
      </c>
      <c r="F244">
        <v>0</v>
      </c>
      <c r="G244">
        <v>0</v>
      </c>
      <c r="H244">
        <v>1</v>
      </c>
      <c r="I244">
        <v>20000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 s="1">
        <v>238182</v>
      </c>
      <c r="BD244" t="s">
        <v>74</v>
      </c>
      <c r="BE244" t="s">
        <v>1494</v>
      </c>
      <c r="BF244" t="s">
        <v>1495</v>
      </c>
      <c r="BH244" t="s">
        <v>77</v>
      </c>
      <c r="BI244" t="s">
        <v>281</v>
      </c>
      <c r="BJ244" t="s">
        <v>79</v>
      </c>
      <c r="BM244">
        <v>0</v>
      </c>
      <c r="BN244">
        <v>2</v>
      </c>
      <c r="BO244">
        <v>2</v>
      </c>
      <c r="BP244" t="s">
        <v>80</v>
      </c>
      <c r="BR244">
        <v>0</v>
      </c>
      <c r="BS244">
        <v>6</v>
      </c>
      <c r="BU244">
        <v>238182</v>
      </c>
    </row>
    <row r="245" spans="1:73" x14ac:dyDescent="0.3">
      <c r="A245" t="s">
        <v>1507</v>
      </c>
      <c r="B245">
        <v>1</v>
      </c>
      <c r="C245">
        <v>346332</v>
      </c>
      <c r="D245">
        <v>3</v>
      </c>
      <c r="E245">
        <v>212727</v>
      </c>
      <c r="F245">
        <v>0</v>
      </c>
      <c r="G245">
        <v>0</v>
      </c>
      <c r="H245">
        <v>4</v>
      </c>
      <c r="I245">
        <v>80000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8</v>
      </c>
      <c r="BC245" s="1">
        <v>845321</v>
      </c>
      <c r="BD245" t="s">
        <v>74</v>
      </c>
      <c r="BE245" t="s">
        <v>1508</v>
      </c>
      <c r="BF245" t="s">
        <v>1509</v>
      </c>
      <c r="BH245" t="s">
        <v>175</v>
      </c>
      <c r="BI245" t="s">
        <v>646</v>
      </c>
      <c r="BJ245" t="s">
        <v>125</v>
      </c>
      <c r="BM245">
        <v>0</v>
      </c>
      <c r="BN245">
        <v>3</v>
      </c>
      <c r="BO245">
        <v>3</v>
      </c>
      <c r="BP245" t="s">
        <v>80</v>
      </c>
      <c r="BR245">
        <v>0</v>
      </c>
      <c r="BS245">
        <v>6</v>
      </c>
      <c r="BU245">
        <v>639059</v>
      </c>
    </row>
    <row r="246" spans="1:73" x14ac:dyDescent="0.3">
      <c r="A246" t="s">
        <v>1510</v>
      </c>
      <c r="B246">
        <v>1</v>
      </c>
      <c r="C246">
        <v>51026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 s="1">
        <v>51026</v>
      </c>
      <c r="BD246" t="s">
        <v>74</v>
      </c>
      <c r="BE246" t="s">
        <v>1511</v>
      </c>
      <c r="BF246" t="s">
        <v>1512</v>
      </c>
      <c r="BH246" t="s">
        <v>77</v>
      </c>
      <c r="BI246" t="s">
        <v>574</v>
      </c>
      <c r="BJ246" t="s">
        <v>79</v>
      </c>
      <c r="BM246">
        <v>0</v>
      </c>
      <c r="BN246">
        <v>1</v>
      </c>
      <c r="BO246">
        <v>1</v>
      </c>
      <c r="BP246" t="s">
        <v>80</v>
      </c>
      <c r="BR246">
        <v>0</v>
      </c>
      <c r="BS246">
        <v>6</v>
      </c>
      <c r="BU246">
        <v>51026</v>
      </c>
    </row>
    <row r="247" spans="1:73" x14ac:dyDescent="0.3">
      <c r="A247" t="s">
        <v>1513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22000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 s="1">
        <v>22000</v>
      </c>
      <c r="BD247" t="s">
        <v>74</v>
      </c>
      <c r="BE247" t="s">
        <v>1514</v>
      </c>
      <c r="BF247" t="s">
        <v>1515</v>
      </c>
      <c r="BH247" t="s">
        <v>77</v>
      </c>
      <c r="BI247" t="s">
        <v>204</v>
      </c>
      <c r="BJ247" t="s">
        <v>79</v>
      </c>
      <c r="BM247">
        <v>0</v>
      </c>
      <c r="BN247">
        <v>1</v>
      </c>
      <c r="BO247">
        <v>1</v>
      </c>
      <c r="BP247" t="s">
        <v>80</v>
      </c>
      <c r="BR247">
        <v>0</v>
      </c>
      <c r="BS247">
        <v>6</v>
      </c>
      <c r="BU247">
        <v>22000</v>
      </c>
    </row>
    <row r="248" spans="1:73" x14ac:dyDescent="0.3">
      <c r="A248" t="s">
        <v>1519</v>
      </c>
      <c r="B248">
        <v>0</v>
      </c>
      <c r="C248">
        <v>59091</v>
      </c>
      <c r="D248">
        <v>2</v>
      </c>
      <c r="E248">
        <v>290000</v>
      </c>
      <c r="F248">
        <v>0</v>
      </c>
      <c r="G248">
        <v>0</v>
      </c>
      <c r="H248">
        <v>2</v>
      </c>
      <c r="I248">
        <v>45000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57208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</v>
      </c>
      <c r="BC248" s="1">
        <v>855844</v>
      </c>
      <c r="BD248" t="s">
        <v>74</v>
      </c>
      <c r="BE248" t="s">
        <v>1520</v>
      </c>
      <c r="BF248" t="s">
        <v>1521</v>
      </c>
      <c r="BH248" t="s">
        <v>77</v>
      </c>
      <c r="BI248" t="s">
        <v>228</v>
      </c>
      <c r="BJ248" t="s">
        <v>79</v>
      </c>
      <c r="BM248">
        <v>1</v>
      </c>
      <c r="BN248">
        <v>2</v>
      </c>
      <c r="BO248">
        <v>3</v>
      </c>
      <c r="BP248" t="s">
        <v>80</v>
      </c>
      <c r="BR248">
        <v>0</v>
      </c>
      <c r="BS248">
        <v>6</v>
      </c>
      <c r="BU248">
        <v>451299</v>
      </c>
    </row>
    <row r="249" spans="1:73" x14ac:dyDescent="0.3">
      <c r="A249" t="s">
        <v>1522</v>
      </c>
      <c r="B249">
        <v>0</v>
      </c>
      <c r="C249">
        <v>0</v>
      </c>
      <c r="D249">
        <v>1</v>
      </c>
      <c r="E249">
        <v>1500000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 s="1">
        <v>1500000</v>
      </c>
      <c r="BD249" t="s">
        <v>74</v>
      </c>
      <c r="BE249" t="s">
        <v>1523</v>
      </c>
      <c r="BF249" t="s">
        <v>1524</v>
      </c>
      <c r="BH249" t="s">
        <v>77</v>
      </c>
      <c r="BI249" t="s">
        <v>88</v>
      </c>
      <c r="BJ249" t="s">
        <v>79</v>
      </c>
      <c r="BM249">
        <v>0</v>
      </c>
      <c r="BN249">
        <v>1</v>
      </c>
      <c r="BO249">
        <v>1</v>
      </c>
      <c r="BP249" t="s">
        <v>80</v>
      </c>
      <c r="BR249">
        <v>0</v>
      </c>
      <c r="BS249">
        <v>6</v>
      </c>
      <c r="BU249">
        <v>1500000</v>
      </c>
    </row>
    <row r="250" spans="1:73" x14ac:dyDescent="0.3">
      <c r="A250" t="s">
        <v>1540</v>
      </c>
      <c r="B250">
        <v>1</v>
      </c>
      <c r="C250">
        <v>214937</v>
      </c>
      <c r="D250">
        <v>9</v>
      </c>
      <c r="E250">
        <v>2366638</v>
      </c>
      <c r="F250">
        <v>0</v>
      </c>
      <c r="G250">
        <v>0</v>
      </c>
      <c r="H250">
        <v>22</v>
      </c>
      <c r="I250">
        <v>453276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152120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68334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29</v>
      </c>
      <c r="BC250" s="1">
        <v>5367252</v>
      </c>
      <c r="BD250" t="s">
        <v>74</v>
      </c>
      <c r="BE250" t="s">
        <v>1541</v>
      </c>
      <c r="BF250" t="s">
        <v>1542</v>
      </c>
      <c r="BH250" t="s">
        <v>136</v>
      </c>
      <c r="BI250" t="s">
        <v>137</v>
      </c>
      <c r="BJ250" t="s">
        <v>125</v>
      </c>
      <c r="BM250">
        <v>2</v>
      </c>
      <c r="BN250">
        <v>3</v>
      </c>
      <c r="BO250">
        <v>5</v>
      </c>
      <c r="BP250" t="s">
        <v>99</v>
      </c>
      <c r="BR250">
        <v>0</v>
      </c>
      <c r="BS250">
        <v>6</v>
      </c>
      <c r="BU250">
        <v>3255305</v>
      </c>
    </row>
    <row r="251" spans="1:73" x14ac:dyDescent="0.3">
      <c r="A251" t="s">
        <v>1545</v>
      </c>
      <c r="B251">
        <v>0</v>
      </c>
      <c r="C251">
        <v>527273</v>
      </c>
      <c r="D251">
        <v>1</v>
      </c>
      <c r="E251">
        <v>170909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 s="1">
        <v>698182</v>
      </c>
      <c r="BD251" t="s">
        <v>74</v>
      </c>
      <c r="BE251" t="s">
        <v>1546</v>
      </c>
      <c r="BF251" t="s">
        <v>1547</v>
      </c>
      <c r="BH251" t="s">
        <v>77</v>
      </c>
      <c r="BI251" t="s">
        <v>593</v>
      </c>
      <c r="BJ251" t="s">
        <v>79</v>
      </c>
      <c r="BM251">
        <v>0</v>
      </c>
      <c r="BN251">
        <v>1</v>
      </c>
      <c r="BO251">
        <v>1</v>
      </c>
      <c r="BP251" t="s">
        <v>80</v>
      </c>
      <c r="BR251">
        <v>0</v>
      </c>
      <c r="BS251">
        <v>6</v>
      </c>
      <c r="BU251">
        <v>698182</v>
      </c>
    </row>
    <row r="252" spans="1:73" x14ac:dyDescent="0.3">
      <c r="A252" t="s">
        <v>1559</v>
      </c>
      <c r="B252">
        <v>0</v>
      </c>
      <c r="C252">
        <v>1054546</v>
      </c>
      <c r="D252">
        <v>3</v>
      </c>
      <c r="E252">
        <v>214909</v>
      </c>
      <c r="F252">
        <v>0</v>
      </c>
      <c r="G252">
        <v>0</v>
      </c>
      <c r="H252">
        <v>6</v>
      </c>
      <c r="I252">
        <v>140000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10</v>
      </c>
      <c r="BC252" s="1">
        <v>1584364</v>
      </c>
      <c r="BD252" t="s">
        <v>74</v>
      </c>
      <c r="BE252" t="s">
        <v>1560</v>
      </c>
      <c r="BF252" t="s">
        <v>1561</v>
      </c>
      <c r="BH252" t="s">
        <v>77</v>
      </c>
      <c r="BI252" t="s">
        <v>228</v>
      </c>
      <c r="BJ252" t="s">
        <v>79</v>
      </c>
      <c r="BM252">
        <v>0</v>
      </c>
      <c r="BN252">
        <v>2</v>
      </c>
      <c r="BO252">
        <v>2</v>
      </c>
      <c r="BP252" t="s">
        <v>80</v>
      </c>
      <c r="BR252">
        <v>0</v>
      </c>
      <c r="BS252">
        <v>6</v>
      </c>
      <c r="BU252">
        <v>1409455</v>
      </c>
    </row>
    <row r="253" spans="1:73" x14ac:dyDescent="0.3">
      <c r="A253" t="s">
        <v>1565</v>
      </c>
      <c r="B253">
        <v>1</v>
      </c>
      <c r="C253">
        <v>606088</v>
      </c>
      <c r="D253">
        <v>10</v>
      </c>
      <c r="E253">
        <v>2440754</v>
      </c>
      <c r="F253">
        <v>0</v>
      </c>
      <c r="G253">
        <v>0</v>
      </c>
      <c r="H253">
        <v>14</v>
      </c>
      <c r="I253">
        <v>911224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141413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24</v>
      </c>
      <c r="BC253" s="1">
        <v>5523566</v>
      </c>
      <c r="BD253" t="s">
        <v>74</v>
      </c>
      <c r="BE253" t="s">
        <v>1566</v>
      </c>
      <c r="BF253" t="s">
        <v>1567</v>
      </c>
      <c r="BH253" t="s">
        <v>175</v>
      </c>
      <c r="BI253" t="s">
        <v>176</v>
      </c>
      <c r="BJ253" t="s">
        <v>125</v>
      </c>
      <c r="BM253">
        <v>1</v>
      </c>
      <c r="BN253">
        <v>3</v>
      </c>
      <c r="BO253">
        <v>4</v>
      </c>
      <c r="BP253" t="s">
        <v>80</v>
      </c>
      <c r="BR253">
        <v>0</v>
      </c>
      <c r="BS253">
        <v>6</v>
      </c>
      <c r="BU253">
        <v>4099479</v>
      </c>
    </row>
    <row r="254" spans="1:73" x14ac:dyDescent="0.3">
      <c r="A254" t="s">
        <v>1570</v>
      </c>
      <c r="B254">
        <v>0</v>
      </c>
      <c r="C254">
        <v>0</v>
      </c>
      <c r="D254">
        <v>9</v>
      </c>
      <c r="E254">
        <v>4443742</v>
      </c>
      <c r="F254">
        <v>0</v>
      </c>
      <c r="G254">
        <v>0</v>
      </c>
      <c r="H254">
        <v>16</v>
      </c>
      <c r="I254">
        <v>397484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22</v>
      </c>
      <c r="BC254" s="1">
        <v>8967484</v>
      </c>
      <c r="BD254" t="s">
        <v>74</v>
      </c>
      <c r="BE254" t="s">
        <v>1571</v>
      </c>
      <c r="BF254" t="s">
        <v>1242</v>
      </c>
      <c r="BH254" t="s">
        <v>77</v>
      </c>
      <c r="BI254" t="s">
        <v>88</v>
      </c>
      <c r="BJ254" t="s">
        <v>79</v>
      </c>
      <c r="BM254">
        <v>0</v>
      </c>
      <c r="BN254">
        <v>2</v>
      </c>
      <c r="BO254">
        <v>2</v>
      </c>
      <c r="BP254" t="s">
        <v>80</v>
      </c>
      <c r="BR254">
        <v>0</v>
      </c>
      <c r="BS254">
        <v>6</v>
      </c>
      <c r="BU254">
        <v>4841226</v>
      </c>
    </row>
    <row r="255" spans="1:73" x14ac:dyDescent="0.3">
      <c r="A255" t="s">
        <v>1572</v>
      </c>
      <c r="B255">
        <v>2</v>
      </c>
      <c r="C255">
        <v>301910</v>
      </c>
      <c r="D255">
        <v>7</v>
      </c>
      <c r="E255">
        <v>4282703</v>
      </c>
      <c r="F255">
        <v>0</v>
      </c>
      <c r="G255">
        <v>0</v>
      </c>
      <c r="H255">
        <v>10</v>
      </c>
      <c r="I255">
        <v>245406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16</v>
      </c>
      <c r="BC255" s="1">
        <v>8867316</v>
      </c>
      <c r="BD255" t="s">
        <v>74</v>
      </c>
      <c r="BE255" t="s">
        <v>1573</v>
      </c>
      <c r="BF255" t="s">
        <v>1574</v>
      </c>
      <c r="BH255" t="s">
        <v>136</v>
      </c>
      <c r="BI255" t="s">
        <v>191</v>
      </c>
      <c r="BJ255" t="s">
        <v>125</v>
      </c>
      <c r="BM255">
        <v>0</v>
      </c>
      <c r="BN255">
        <v>3</v>
      </c>
      <c r="BO255">
        <v>3</v>
      </c>
      <c r="BP255" t="s">
        <v>80</v>
      </c>
      <c r="BR255">
        <v>0</v>
      </c>
      <c r="BS255">
        <v>6</v>
      </c>
      <c r="BU255">
        <v>4830019</v>
      </c>
    </row>
    <row r="256" spans="1:73" x14ac:dyDescent="0.3">
      <c r="A256" t="s">
        <v>1578</v>
      </c>
      <c r="B256">
        <v>0</v>
      </c>
      <c r="C256">
        <v>3163638</v>
      </c>
      <c r="D256">
        <v>26</v>
      </c>
      <c r="E256">
        <v>19575718</v>
      </c>
      <c r="F256">
        <v>0</v>
      </c>
      <c r="G256">
        <v>0</v>
      </c>
      <c r="H256">
        <v>28</v>
      </c>
      <c r="I256">
        <v>836840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67878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55</v>
      </c>
      <c r="BC256" s="1">
        <v>41822259</v>
      </c>
      <c r="BD256" t="s">
        <v>74</v>
      </c>
      <c r="BE256" t="s">
        <v>1579</v>
      </c>
      <c r="BF256" t="s">
        <v>1580</v>
      </c>
      <c r="BH256" t="s">
        <v>77</v>
      </c>
      <c r="BI256" t="s">
        <v>593</v>
      </c>
      <c r="BJ256" t="s">
        <v>79</v>
      </c>
      <c r="BM256">
        <v>1</v>
      </c>
      <c r="BN256">
        <v>2</v>
      </c>
      <c r="BO256">
        <v>3</v>
      </c>
      <c r="BP256" t="s">
        <v>80</v>
      </c>
      <c r="BR256">
        <v>0</v>
      </c>
      <c r="BS256">
        <v>4</v>
      </c>
      <c r="BU256">
        <v>23644074</v>
      </c>
    </row>
    <row r="257" spans="1:73" x14ac:dyDescent="0.3">
      <c r="A257" t="s">
        <v>1584</v>
      </c>
      <c r="B257">
        <v>3</v>
      </c>
      <c r="C257">
        <v>726364</v>
      </c>
      <c r="D257">
        <v>13</v>
      </c>
      <c r="E257">
        <v>2005282</v>
      </c>
      <c r="F257">
        <v>0</v>
      </c>
      <c r="G257">
        <v>0</v>
      </c>
      <c r="H257">
        <v>24</v>
      </c>
      <c r="I257">
        <v>770564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333334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31</v>
      </c>
      <c r="BC257" s="1">
        <v>5403596</v>
      </c>
      <c r="BD257" t="s">
        <v>74</v>
      </c>
      <c r="BE257" t="s">
        <v>1585</v>
      </c>
      <c r="BF257" t="s">
        <v>1586</v>
      </c>
      <c r="BH257" t="s">
        <v>136</v>
      </c>
      <c r="BI257" t="s">
        <v>191</v>
      </c>
      <c r="BJ257" t="s">
        <v>125</v>
      </c>
      <c r="BM257">
        <v>1</v>
      </c>
      <c r="BN257">
        <v>3</v>
      </c>
      <c r="BO257">
        <v>4</v>
      </c>
      <c r="BP257" t="s">
        <v>80</v>
      </c>
      <c r="BR257">
        <v>0</v>
      </c>
      <c r="BS257">
        <v>5</v>
      </c>
      <c r="BU257">
        <v>3835544</v>
      </c>
    </row>
    <row r="258" spans="1:73" x14ac:dyDescent="0.3">
      <c r="A258" t="s">
        <v>1587</v>
      </c>
      <c r="B258">
        <v>2</v>
      </c>
      <c r="C258">
        <v>479123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</v>
      </c>
      <c r="BC258" s="1">
        <v>479123</v>
      </c>
      <c r="BD258" t="s">
        <v>74</v>
      </c>
      <c r="BE258" t="s">
        <v>1588</v>
      </c>
      <c r="BF258" t="s">
        <v>1589</v>
      </c>
      <c r="BH258" t="s">
        <v>77</v>
      </c>
      <c r="BI258" t="s">
        <v>574</v>
      </c>
      <c r="BJ258" t="s">
        <v>79</v>
      </c>
      <c r="BM258">
        <v>0</v>
      </c>
      <c r="BN258">
        <v>1</v>
      </c>
      <c r="BO258">
        <v>1</v>
      </c>
      <c r="BP258" t="s">
        <v>80</v>
      </c>
      <c r="BR258">
        <v>0</v>
      </c>
      <c r="BS258">
        <v>6</v>
      </c>
      <c r="BU258">
        <v>479123</v>
      </c>
    </row>
    <row r="259" spans="1:73" x14ac:dyDescent="0.3">
      <c r="A259" t="s">
        <v>1608</v>
      </c>
      <c r="B259">
        <v>0</v>
      </c>
      <c r="C259">
        <v>0</v>
      </c>
      <c r="D259">
        <v>9</v>
      </c>
      <c r="E259">
        <v>8702727</v>
      </c>
      <c r="F259">
        <v>0</v>
      </c>
      <c r="G259">
        <v>0</v>
      </c>
      <c r="H259">
        <v>14</v>
      </c>
      <c r="I259">
        <v>285454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22</v>
      </c>
      <c r="BC259" s="1">
        <v>17485454</v>
      </c>
      <c r="BD259" t="s">
        <v>74</v>
      </c>
      <c r="BE259" t="s">
        <v>1609</v>
      </c>
      <c r="BF259" t="s">
        <v>1610</v>
      </c>
      <c r="BH259" t="s">
        <v>77</v>
      </c>
      <c r="BI259" t="s">
        <v>593</v>
      </c>
      <c r="BJ259" t="s">
        <v>79</v>
      </c>
      <c r="BM259">
        <v>0</v>
      </c>
      <c r="BN259">
        <v>2</v>
      </c>
      <c r="BO259">
        <v>2</v>
      </c>
      <c r="BP259" t="s">
        <v>80</v>
      </c>
      <c r="BR259">
        <v>0</v>
      </c>
      <c r="BS259">
        <v>5</v>
      </c>
      <c r="BU259">
        <v>8988181</v>
      </c>
    </row>
    <row r="260" spans="1:73" x14ac:dyDescent="0.3">
      <c r="A260" t="s">
        <v>1614</v>
      </c>
      <c r="B260">
        <v>2</v>
      </c>
      <c r="C260">
        <v>611773</v>
      </c>
      <c r="D260">
        <v>1</v>
      </c>
      <c r="E260">
        <v>20000</v>
      </c>
      <c r="F260">
        <v>0</v>
      </c>
      <c r="G260">
        <v>0</v>
      </c>
      <c r="H260">
        <v>2</v>
      </c>
      <c r="I260">
        <v>40000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72000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6</v>
      </c>
      <c r="BC260" s="1">
        <v>795773</v>
      </c>
      <c r="BD260" t="s">
        <v>74</v>
      </c>
      <c r="BE260" t="s">
        <v>1615</v>
      </c>
      <c r="BF260" t="s">
        <v>1616</v>
      </c>
      <c r="BH260" t="s">
        <v>175</v>
      </c>
      <c r="BI260" t="s">
        <v>255</v>
      </c>
      <c r="BJ260" t="s">
        <v>125</v>
      </c>
      <c r="BM260">
        <v>0</v>
      </c>
      <c r="BN260">
        <v>4</v>
      </c>
      <c r="BO260">
        <v>4</v>
      </c>
      <c r="BP260" t="s">
        <v>80</v>
      </c>
      <c r="BR260">
        <v>0</v>
      </c>
      <c r="BS260">
        <v>6</v>
      </c>
      <c r="BU260">
        <v>743773</v>
      </c>
    </row>
    <row r="261" spans="1:73" x14ac:dyDescent="0.3">
      <c r="A261" t="s">
        <v>1619</v>
      </c>
      <c r="B261">
        <v>4</v>
      </c>
      <c r="C261">
        <v>1230673</v>
      </c>
      <c r="D261">
        <v>3</v>
      </c>
      <c r="E261">
        <v>382724</v>
      </c>
      <c r="F261">
        <v>0</v>
      </c>
      <c r="G261">
        <v>0</v>
      </c>
      <c r="H261">
        <v>2</v>
      </c>
      <c r="I261">
        <v>40000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19792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11</v>
      </c>
      <c r="BC261" s="1">
        <v>2015913</v>
      </c>
      <c r="BD261" t="s">
        <v>74</v>
      </c>
      <c r="BE261" t="s">
        <v>1620</v>
      </c>
      <c r="BF261" t="s">
        <v>1621</v>
      </c>
      <c r="BH261" t="s">
        <v>77</v>
      </c>
      <c r="BI261" t="s">
        <v>204</v>
      </c>
      <c r="BJ261" t="s">
        <v>79</v>
      </c>
      <c r="BM261">
        <v>1</v>
      </c>
      <c r="BN261">
        <v>3</v>
      </c>
      <c r="BO261">
        <v>4</v>
      </c>
      <c r="BP261" t="s">
        <v>80</v>
      </c>
      <c r="BR261">
        <v>0</v>
      </c>
      <c r="BS261">
        <v>6</v>
      </c>
      <c r="BU261">
        <v>1673189</v>
      </c>
    </row>
    <row r="262" spans="1:73" x14ac:dyDescent="0.3">
      <c r="A262" t="s">
        <v>1622</v>
      </c>
      <c r="B262">
        <v>0</v>
      </c>
      <c r="C262">
        <v>0</v>
      </c>
      <c r="D262">
        <v>1</v>
      </c>
      <c r="E262">
        <v>230000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 s="1">
        <v>230000</v>
      </c>
      <c r="BD262" t="s">
        <v>74</v>
      </c>
      <c r="BE262" t="s">
        <v>1623</v>
      </c>
      <c r="BF262" t="s">
        <v>1624</v>
      </c>
      <c r="BH262" t="s">
        <v>77</v>
      </c>
      <c r="BI262" t="s">
        <v>593</v>
      </c>
      <c r="BJ262" t="s">
        <v>79</v>
      </c>
      <c r="BM262">
        <v>0</v>
      </c>
      <c r="BN262">
        <v>1</v>
      </c>
      <c r="BO262">
        <v>1</v>
      </c>
      <c r="BP262" t="s">
        <v>80</v>
      </c>
      <c r="BR262">
        <v>0</v>
      </c>
      <c r="BS262">
        <v>6</v>
      </c>
      <c r="BU262">
        <v>230000</v>
      </c>
    </row>
    <row r="263" spans="1:73" x14ac:dyDescent="0.3">
      <c r="A263" t="s">
        <v>1625</v>
      </c>
      <c r="B263">
        <v>3</v>
      </c>
      <c r="C263">
        <v>780896</v>
      </c>
      <c r="D263">
        <v>3</v>
      </c>
      <c r="E263">
        <v>235455</v>
      </c>
      <c r="F263">
        <v>0</v>
      </c>
      <c r="G263">
        <v>0</v>
      </c>
      <c r="H263">
        <v>6</v>
      </c>
      <c r="I263">
        <v>130000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73535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14</v>
      </c>
      <c r="BC263" s="1">
        <v>1798876</v>
      </c>
      <c r="BD263" t="s">
        <v>74</v>
      </c>
      <c r="BE263" t="s">
        <v>1626</v>
      </c>
      <c r="BF263" t="s">
        <v>1627</v>
      </c>
      <c r="BH263" t="s">
        <v>77</v>
      </c>
      <c r="BI263" t="s">
        <v>88</v>
      </c>
      <c r="BJ263" t="s">
        <v>79</v>
      </c>
      <c r="BM263">
        <v>1</v>
      </c>
      <c r="BN263">
        <v>3</v>
      </c>
      <c r="BO263">
        <v>4</v>
      </c>
      <c r="BP263" t="s">
        <v>80</v>
      </c>
      <c r="BR263">
        <v>0</v>
      </c>
      <c r="BS263">
        <v>6</v>
      </c>
      <c r="BU263">
        <v>1219886</v>
      </c>
    </row>
    <row r="264" spans="1:73" x14ac:dyDescent="0.3">
      <c r="A264" t="s">
        <v>1645</v>
      </c>
      <c r="B264">
        <v>1</v>
      </c>
      <c r="C264">
        <v>379396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 s="1">
        <v>379396</v>
      </c>
      <c r="BD264" t="s">
        <v>74</v>
      </c>
      <c r="BE264" t="s">
        <v>1646</v>
      </c>
      <c r="BF264" t="s">
        <v>1647</v>
      </c>
      <c r="BH264" t="s">
        <v>77</v>
      </c>
      <c r="BI264" t="s">
        <v>204</v>
      </c>
      <c r="BJ264" t="s">
        <v>79</v>
      </c>
      <c r="BM264">
        <v>0</v>
      </c>
      <c r="BN264">
        <v>1</v>
      </c>
      <c r="BO264">
        <v>1</v>
      </c>
      <c r="BP264" t="s">
        <v>80</v>
      </c>
      <c r="BR264">
        <v>0</v>
      </c>
      <c r="BS264">
        <v>6</v>
      </c>
      <c r="BU264">
        <v>379396</v>
      </c>
    </row>
    <row r="265" spans="1:73" x14ac:dyDescent="0.3">
      <c r="A265" t="s">
        <v>1653</v>
      </c>
      <c r="B265">
        <v>70</v>
      </c>
      <c r="C265">
        <v>25652063</v>
      </c>
      <c r="D265">
        <v>3</v>
      </c>
      <c r="E265">
        <v>105000</v>
      </c>
      <c r="F265">
        <v>0</v>
      </c>
      <c r="G265">
        <v>0</v>
      </c>
      <c r="H265">
        <v>2</v>
      </c>
      <c r="I265">
        <v>6086910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78</v>
      </c>
      <c r="BC265" s="1">
        <v>31948973</v>
      </c>
      <c r="BD265" t="s">
        <v>74</v>
      </c>
      <c r="BE265" t="s">
        <v>1654</v>
      </c>
      <c r="BF265" t="s">
        <v>1655</v>
      </c>
      <c r="BH265" t="s">
        <v>136</v>
      </c>
      <c r="BI265" t="s">
        <v>191</v>
      </c>
      <c r="BJ265" t="s">
        <v>125</v>
      </c>
      <c r="BM265">
        <v>0</v>
      </c>
      <c r="BN265">
        <v>3</v>
      </c>
      <c r="BO265">
        <v>3</v>
      </c>
      <c r="BP265" t="s">
        <v>80</v>
      </c>
      <c r="BR265">
        <v>0</v>
      </c>
      <c r="BS265">
        <v>4</v>
      </c>
      <c r="BU265">
        <v>31843973</v>
      </c>
    </row>
    <row r="266" spans="1:73" x14ac:dyDescent="0.3">
      <c r="A266" t="s">
        <v>1656</v>
      </c>
      <c r="B266">
        <v>0</v>
      </c>
      <c r="C266">
        <v>0</v>
      </c>
      <c r="D266">
        <v>4</v>
      </c>
      <c r="E266">
        <v>1523420</v>
      </c>
      <c r="F266">
        <v>0</v>
      </c>
      <c r="G266">
        <v>0</v>
      </c>
      <c r="H266">
        <v>6</v>
      </c>
      <c r="I266">
        <v>166840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9</v>
      </c>
      <c r="BC266" s="1">
        <v>3120375</v>
      </c>
      <c r="BD266" t="s">
        <v>74</v>
      </c>
      <c r="BE266" t="s">
        <v>1657</v>
      </c>
      <c r="BF266" t="s">
        <v>1658</v>
      </c>
      <c r="BH266" t="s">
        <v>77</v>
      </c>
      <c r="BI266" t="s">
        <v>228</v>
      </c>
      <c r="BJ266" t="s">
        <v>79</v>
      </c>
      <c r="BM266">
        <v>0</v>
      </c>
      <c r="BN266">
        <v>2</v>
      </c>
      <c r="BO266">
        <v>2</v>
      </c>
      <c r="BP266" t="s">
        <v>80</v>
      </c>
      <c r="BR266">
        <v>0</v>
      </c>
      <c r="BS266">
        <v>6</v>
      </c>
      <c r="BU266">
        <v>1690260</v>
      </c>
    </row>
    <row r="267" spans="1:73" x14ac:dyDescent="0.3">
      <c r="A267" t="s">
        <v>1659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14</v>
      </c>
      <c r="I267">
        <v>280000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14</v>
      </c>
      <c r="BC267" s="1">
        <v>280000</v>
      </c>
      <c r="BD267" t="s">
        <v>74</v>
      </c>
      <c r="BE267" t="s">
        <v>1660</v>
      </c>
      <c r="BF267" t="s">
        <v>245</v>
      </c>
      <c r="BH267" t="s">
        <v>77</v>
      </c>
      <c r="BI267" t="s">
        <v>129</v>
      </c>
      <c r="BJ267" t="s">
        <v>79</v>
      </c>
      <c r="BM267">
        <v>0</v>
      </c>
      <c r="BN267">
        <v>1</v>
      </c>
      <c r="BO267">
        <v>1</v>
      </c>
      <c r="BP267" t="s">
        <v>80</v>
      </c>
      <c r="BR267">
        <v>0</v>
      </c>
      <c r="BS267">
        <v>6</v>
      </c>
      <c r="BU267">
        <v>280000</v>
      </c>
    </row>
    <row r="268" spans="1:73" x14ac:dyDescent="0.3">
      <c r="A268" t="s">
        <v>1661</v>
      </c>
      <c r="B268">
        <v>1</v>
      </c>
      <c r="C268">
        <v>262564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 s="1">
        <v>262564</v>
      </c>
      <c r="BD268" t="s">
        <v>74</v>
      </c>
      <c r="BE268" t="s">
        <v>1662</v>
      </c>
      <c r="BF268" t="s">
        <v>1663</v>
      </c>
      <c r="BH268" t="s">
        <v>77</v>
      </c>
      <c r="BI268" t="s">
        <v>228</v>
      </c>
      <c r="BJ268" t="s">
        <v>79</v>
      </c>
      <c r="BM268">
        <v>0</v>
      </c>
      <c r="BN268">
        <v>1</v>
      </c>
      <c r="BO268">
        <v>1</v>
      </c>
      <c r="BP268" t="s">
        <v>80</v>
      </c>
      <c r="BR268">
        <v>0</v>
      </c>
      <c r="BS268">
        <v>6</v>
      </c>
      <c r="BU268">
        <v>262564</v>
      </c>
    </row>
    <row r="269" spans="1:73" x14ac:dyDescent="0.3">
      <c r="A269" t="s">
        <v>1669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20000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 s="1">
        <v>20000</v>
      </c>
      <c r="BD269" t="s">
        <v>74</v>
      </c>
      <c r="BE269" t="s">
        <v>1670</v>
      </c>
      <c r="BF269" t="s">
        <v>245</v>
      </c>
      <c r="BH269" t="s">
        <v>77</v>
      </c>
      <c r="BI269" t="s">
        <v>129</v>
      </c>
      <c r="BJ269" t="s">
        <v>79</v>
      </c>
      <c r="BM269">
        <v>0</v>
      </c>
      <c r="BN269">
        <v>1</v>
      </c>
      <c r="BO269">
        <v>1</v>
      </c>
      <c r="BP269" t="s">
        <v>80</v>
      </c>
      <c r="BR269">
        <v>0</v>
      </c>
      <c r="BS269">
        <v>6</v>
      </c>
      <c r="BU269">
        <v>20000</v>
      </c>
    </row>
    <row r="270" spans="1:73" x14ac:dyDescent="0.3">
      <c r="A270" t="s">
        <v>1673</v>
      </c>
      <c r="B270">
        <v>0</v>
      </c>
      <c r="C270">
        <v>0</v>
      </c>
      <c r="D270">
        <v>21</v>
      </c>
      <c r="E270">
        <v>4795061</v>
      </c>
      <c r="F270">
        <v>0</v>
      </c>
      <c r="G270">
        <v>0</v>
      </c>
      <c r="H270">
        <v>42</v>
      </c>
      <c r="I270">
        <v>990122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73535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46</v>
      </c>
      <c r="BC270" s="1">
        <v>9782242</v>
      </c>
      <c r="BD270" t="s">
        <v>74</v>
      </c>
      <c r="BE270" t="s">
        <v>1674</v>
      </c>
      <c r="BF270" t="s">
        <v>1675</v>
      </c>
      <c r="BH270" t="s">
        <v>77</v>
      </c>
      <c r="BI270" t="s">
        <v>574</v>
      </c>
      <c r="BJ270" t="s">
        <v>79</v>
      </c>
      <c r="BM270">
        <v>1</v>
      </c>
      <c r="BN270">
        <v>2</v>
      </c>
      <c r="BO270">
        <v>3</v>
      </c>
      <c r="BP270" t="s">
        <v>80</v>
      </c>
      <c r="BR270">
        <v>0</v>
      </c>
      <c r="BS270">
        <v>6</v>
      </c>
      <c r="BU270">
        <v>5858718</v>
      </c>
    </row>
    <row r="271" spans="1:73" x14ac:dyDescent="0.3">
      <c r="A271" t="s">
        <v>1676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73535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</v>
      </c>
      <c r="BC271" s="1">
        <v>147070</v>
      </c>
      <c r="BD271" t="s">
        <v>74</v>
      </c>
      <c r="BE271" t="s">
        <v>1677</v>
      </c>
      <c r="BF271" t="s">
        <v>1678</v>
      </c>
      <c r="BH271" t="s">
        <v>77</v>
      </c>
      <c r="BI271" t="s">
        <v>228</v>
      </c>
      <c r="BJ271" t="s">
        <v>79</v>
      </c>
      <c r="BM271">
        <v>1</v>
      </c>
      <c r="BN271">
        <v>0</v>
      </c>
      <c r="BO271">
        <v>1</v>
      </c>
      <c r="BP271" t="s">
        <v>80</v>
      </c>
      <c r="BR271">
        <v>0</v>
      </c>
      <c r="BS271">
        <v>0</v>
      </c>
      <c r="BU271">
        <v>73535</v>
      </c>
    </row>
    <row r="272" spans="1:73" x14ac:dyDescent="0.3">
      <c r="A272" t="s">
        <v>1679</v>
      </c>
      <c r="B272">
        <v>1</v>
      </c>
      <c r="C272">
        <v>255244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 s="1">
        <v>255244</v>
      </c>
      <c r="BD272" t="s">
        <v>74</v>
      </c>
      <c r="BE272" t="s">
        <v>1680</v>
      </c>
      <c r="BF272" t="s">
        <v>1681</v>
      </c>
      <c r="BH272" t="s">
        <v>77</v>
      </c>
      <c r="BI272" t="s">
        <v>574</v>
      </c>
      <c r="BJ272" t="s">
        <v>79</v>
      </c>
      <c r="BM272">
        <v>0</v>
      </c>
      <c r="BN272">
        <v>1</v>
      </c>
      <c r="BO272">
        <v>1</v>
      </c>
      <c r="BP272" t="s">
        <v>80</v>
      </c>
      <c r="BR272">
        <v>0</v>
      </c>
      <c r="BS272">
        <v>6</v>
      </c>
      <c r="BU272">
        <v>255244</v>
      </c>
    </row>
    <row r="273" spans="1:73" x14ac:dyDescent="0.3">
      <c r="A273" t="s">
        <v>1682</v>
      </c>
      <c r="B273">
        <v>0</v>
      </c>
      <c r="C273">
        <v>0</v>
      </c>
      <c r="D273">
        <v>11</v>
      </c>
      <c r="E273">
        <v>5362244</v>
      </c>
      <c r="F273">
        <v>0</v>
      </c>
      <c r="G273">
        <v>0</v>
      </c>
      <c r="H273">
        <v>20</v>
      </c>
      <c r="I273">
        <v>534488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152120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28</v>
      </c>
      <c r="BC273" s="1">
        <v>10956608</v>
      </c>
      <c r="BD273" t="s">
        <v>74</v>
      </c>
      <c r="BE273" t="s">
        <v>1683</v>
      </c>
      <c r="BF273" t="s">
        <v>787</v>
      </c>
      <c r="BH273" t="s">
        <v>77</v>
      </c>
      <c r="BI273" t="s">
        <v>129</v>
      </c>
      <c r="BJ273" t="s">
        <v>79</v>
      </c>
      <c r="BM273">
        <v>1</v>
      </c>
      <c r="BN273">
        <v>2</v>
      </c>
      <c r="BO273">
        <v>3</v>
      </c>
      <c r="BP273" t="s">
        <v>80</v>
      </c>
      <c r="BR273">
        <v>0</v>
      </c>
      <c r="BS273">
        <v>5</v>
      </c>
      <c r="BU273">
        <v>6048852</v>
      </c>
    </row>
    <row r="274" spans="1:73" x14ac:dyDescent="0.3">
      <c r="A274" t="s">
        <v>1687</v>
      </c>
      <c r="B274">
        <v>3</v>
      </c>
      <c r="C274">
        <v>664712</v>
      </c>
      <c r="D274">
        <v>5</v>
      </c>
      <c r="E274">
        <v>14793181</v>
      </c>
      <c r="F274">
        <v>0</v>
      </c>
      <c r="G274">
        <v>0</v>
      </c>
      <c r="H274">
        <v>27</v>
      </c>
      <c r="I274">
        <v>705555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34</v>
      </c>
      <c r="BC274" s="1">
        <v>16143448</v>
      </c>
      <c r="BD274" t="s">
        <v>74</v>
      </c>
      <c r="BE274" t="s">
        <v>1688</v>
      </c>
      <c r="BF274" t="s">
        <v>1689</v>
      </c>
      <c r="BH274" t="s">
        <v>77</v>
      </c>
      <c r="BI274" t="s">
        <v>129</v>
      </c>
      <c r="BJ274" t="s">
        <v>79</v>
      </c>
      <c r="BM274">
        <v>0</v>
      </c>
      <c r="BN274">
        <v>3</v>
      </c>
      <c r="BO274">
        <v>3</v>
      </c>
      <c r="BP274" t="s">
        <v>80</v>
      </c>
      <c r="BR274">
        <v>0</v>
      </c>
      <c r="BS274">
        <v>3</v>
      </c>
      <c r="BU274">
        <v>16163448</v>
      </c>
    </row>
    <row r="275" spans="1:73" x14ac:dyDescent="0.3">
      <c r="A275" t="s">
        <v>1696</v>
      </c>
      <c r="B275">
        <v>2</v>
      </c>
      <c r="C275">
        <v>469017</v>
      </c>
      <c r="D275">
        <v>2</v>
      </c>
      <c r="E275">
        <v>152632</v>
      </c>
      <c r="F275">
        <v>0</v>
      </c>
      <c r="G275">
        <v>0</v>
      </c>
      <c r="H275">
        <v>2</v>
      </c>
      <c r="I275">
        <v>40986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27300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78585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19792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9</v>
      </c>
      <c r="BC275" s="1">
        <v>846404</v>
      </c>
      <c r="BD275" t="s">
        <v>74</v>
      </c>
      <c r="BE275" t="s">
        <v>1697</v>
      </c>
      <c r="BF275" t="s">
        <v>1698</v>
      </c>
      <c r="BH275" t="s">
        <v>77</v>
      </c>
      <c r="BI275" t="s">
        <v>88</v>
      </c>
      <c r="BJ275" t="s">
        <v>79</v>
      </c>
      <c r="BM275">
        <v>2</v>
      </c>
      <c r="BN275">
        <v>4</v>
      </c>
      <c r="BO275">
        <v>6</v>
      </c>
      <c r="BP275" t="s">
        <v>80</v>
      </c>
      <c r="BR275">
        <v>0</v>
      </c>
      <c r="BS275">
        <v>6</v>
      </c>
      <c r="BU275">
        <v>788312</v>
      </c>
    </row>
    <row r="276" spans="1:73" x14ac:dyDescent="0.3">
      <c r="A276" t="s">
        <v>1699</v>
      </c>
      <c r="B276">
        <v>0</v>
      </c>
      <c r="C276">
        <v>0</v>
      </c>
      <c r="D276">
        <v>1</v>
      </c>
      <c r="E276">
        <v>230000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</v>
      </c>
      <c r="BC276" s="1">
        <v>500909</v>
      </c>
      <c r="BD276" t="s">
        <v>74</v>
      </c>
      <c r="BE276" t="s">
        <v>1700</v>
      </c>
      <c r="BF276" t="s">
        <v>1701</v>
      </c>
      <c r="BH276" t="s">
        <v>77</v>
      </c>
      <c r="BI276" t="s">
        <v>739</v>
      </c>
      <c r="BJ276" t="s">
        <v>79</v>
      </c>
      <c r="BM276">
        <v>0</v>
      </c>
      <c r="BN276">
        <v>1</v>
      </c>
      <c r="BO276">
        <v>1</v>
      </c>
      <c r="BP276" t="s">
        <v>80</v>
      </c>
      <c r="BR276">
        <v>0</v>
      </c>
      <c r="BS276">
        <v>6</v>
      </c>
      <c r="BU276">
        <v>230000</v>
      </c>
    </row>
    <row r="277" spans="1:73" x14ac:dyDescent="0.3">
      <c r="A277" t="s">
        <v>1716</v>
      </c>
      <c r="B277">
        <v>1</v>
      </c>
      <c r="C277">
        <v>347009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45682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11526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5</v>
      </c>
      <c r="BC277" s="1">
        <v>461425</v>
      </c>
      <c r="BD277" t="s">
        <v>74</v>
      </c>
      <c r="BE277" t="s">
        <v>1717</v>
      </c>
      <c r="BF277" t="s">
        <v>1718</v>
      </c>
      <c r="BH277" t="s">
        <v>77</v>
      </c>
      <c r="BI277" t="s">
        <v>228</v>
      </c>
      <c r="BJ277" t="s">
        <v>79</v>
      </c>
      <c r="BM277">
        <v>2</v>
      </c>
      <c r="BN277">
        <v>1</v>
      </c>
      <c r="BO277">
        <v>3</v>
      </c>
      <c r="BP277" t="s">
        <v>80</v>
      </c>
      <c r="BR277">
        <v>0</v>
      </c>
      <c r="BS277">
        <v>6</v>
      </c>
      <c r="BU277">
        <v>404217</v>
      </c>
    </row>
    <row r="278" spans="1:73" x14ac:dyDescent="0.3">
      <c r="A278" t="s">
        <v>1719</v>
      </c>
      <c r="B278">
        <v>3</v>
      </c>
      <c r="C278">
        <v>1574913</v>
      </c>
      <c r="D278">
        <v>1</v>
      </c>
      <c r="E278">
        <v>350000</v>
      </c>
      <c r="F278">
        <v>0</v>
      </c>
      <c r="G278">
        <v>0</v>
      </c>
      <c r="H278">
        <v>2</v>
      </c>
      <c r="I278">
        <v>50000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7</v>
      </c>
      <c r="BC278" s="1">
        <v>2324913</v>
      </c>
      <c r="BD278" t="s">
        <v>74</v>
      </c>
      <c r="BE278" t="s">
        <v>1720</v>
      </c>
      <c r="BF278" t="s">
        <v>1721</v>
      </c>
      <c r="BH278" t="s">
        <v>77</v>
      </c>
      <c r="BI278" t="s">
        <v>524</v>
      </c>
      <c r="BJ278" t="s">
        <v>79</v>
      </c>
      <c r="BM278">
        <v>0</v>
      </c>
      <c r="BN278">
        <v>3</v>
      </c>
      <c r="BO278">
        <v>3</v>
      </c>
      <c r="BP278" t="s">
        <v>80</v>
      </c>
      <c r="BR278">
        <v>0</v>
      </c>
      <c r="BS278">
        <v>6</v>
      </c>
      <c r="BU278">
        <v>1974913</v>
      </c>
    </row>
    <row r="279" spans="1:73" x14ac:dyDescent="0.3">
      <c r="A279" t="s">
        <v>1724</v>
      </c>
      <c r="B279">
        <v>0</v>
      </c>
      <c r="C279">
        <v>0</v>
      </c>
      <c r="D279">
        <v>4</v>
      </c>
      <c r="E279">
        <v>3025952</v>
      </c>
      <c r="F279">
        <v>0</v>
      </c>
      <c r="G279">
        <v>0</v>
      </c>
      <c r="H279">
        <v>5</v>
      </c>
      <c r="I279">
        <v>121048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11</v>
      </c>
      <c r="BC279" s="1">
        <v>6111904</v>
      </c>
      <c r="BD279" t="s">
        <v>74</v>
      </c>
      <c r="BE279" t="s">
        <v>1725</v>
      </c>
      <c r="BF279" t="s">
        <v>1239</v>
      </c>
      <c r="BH279" t="s">
        <v>77</v>
      </c>
      <c r="BI279" t="s">
        <v>88</v>
      </c>
      <c r="BJ279" t="s">
        <v>79</v>
      </c>
      <c r="BM279">
        <v>0</v>
      </c>
      <c r="BN279">
        <v>2</v>
      </c>
      <c r="BO279">
        <v>2</v>
      </c>
      <c r="BP279" t="s">
        <v>80</v>
      </c>
      <c r="BR279">
        <v>0</v>
      </c>
      <c r="BS279">
        <v>6</v>
      </c>
      <c r="BU279">
        <v>3147000</v>
      </c>
    </row>
    <row r="280" spans="1:73" x14ac:dyDescent="0.3">
      <c r="A280" t="s">
        <v>1729</v>
      </c>
      <c r="B280">
        <v>19</v>
      </c>
      <c r="C280">
        <v>3937397</v>
      </c>
      <c r="D280">
        <v>13</v>
      </c>
      <c r="E280">
        <v>6458104</v>
      </c>
      <c r="F280">
        <v>0</v>
      </c>
      <c r="G280">
        <v>0</v>
      </c>
      <c r="H280">
        <v>30</v>
      </c>
      <c r="I280">
        <v>600208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1630000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64</v>
      </c>
      <c r="BC280" s="1">
        <v>19073605</v>
      </c>
      <c r="BD280" t="s">
        <v>74</v>
      </c>
      <c r="BE280" t="s">
        <v>1730</v>
      </c>
      <c r="BF280" t="s">
        <v>1731</v>
      </c>
      <c r="BH280" t="s">
        <v>600</v>
      </c>
      <c r="BI280" t="s">
        <v>1732</v>
      </c>
      <c r="BJ280" t="s">
        <v>125</v>
      </c>
      <c r="BM280">
        <v>0</v>
      </c>
      <c r="BN280">
        <v>4</v>
      </c>
      <c r="BO280">
        <v>4</v>
      </c>
      <c r="BP280" t="s">
        <v>80</v>
      </c>
      <c r="BR280">
        <v>0</v>
      </c>
      <c r="BS280">
        <v>4</v>
      </c>
      <c r="BU280">
        <v>12625709</v>
      </c>
    </row>
    <row r="281" spans="1:73" x14ac:dyDescent="0.3">
      <c r="A281" t="s">
        <v>1736</v>
      </c>
      <c r="B281">
        <v>0</v>
      </c>
      <c r="C281">
        <v>0</v>
      </c>
      <c r="D281">
        <v>14</v>
      </c>
      <c r="E281">
        <v>1933880</v>
      </c>
      <c r="F281">
        <v>0</v>
      </c>
      <c r="G281">
        <v>0</v>
      </c>
      <c r="H281">
        <v>26</v>
      </c>
      <c r="I281">
        <v>627760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7743000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169974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34</v>
      </c>
      <c r="BC281" s="1">
        <v>19693708</v>
      </c>
      <c r="BD281" t="s">
        <v>74</v>
      </c>
      <c r="BE281" t="s">
        <v>1737</v>
      </c>
      <c r="BF281" t="s">
        <v>1738</v>
      </c>
      <c r="BH281" t="s">
        <v>77</v>
      </c>
      <c r="BI281" t="s">
        <v>129</v>
      </c>
      <c r="BJ281" t="s">
        <v>79</v>
      </c>
      <c r="BM281">
        <v>1</v>
      </c>
      <c r="BN281">
        <v>3</v>
      </c>
      <c r="BO281">
        <v>4</v>
      </c>
      <c r="BP281" t="s">
        <v>80</v>
      </c>
      <c r="BR281">
        <v>0</v>
      </c>
      <c r="BS281">
        <v>5</v>
      </c>
      <c r="BU281">
        <v>10474614</v>
      </c>
    </row>
    <row r="282" spans="1:73" x14ac:dyDescent="0.3">
      <c r="A282" t="s">
        <v>1742</v>
      </c>
      <c r="B282">
        <v>0</v>
      </c>
      <c r="C282">
        <v>0</v>
      </c>
      <c r="D282">
        <v>5</v>
      </c>
      <c r="E282">
        <v>751893</v>
      </c>
      <c r="F282">
        <v>0</v>
      </c>
      <c r="G282">
        <v>0</v>
      </c>
      <c r="H282">
        <v>8</v>
      </c>
      <c r="I282">
        <v>212876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10</v>
      </c>
      <c r="BC282" s="1">
        <v>1503786</v>
      </c>
      <c r="BD282" t="s">
        <v>74</v>
      </c>
      <c r="BE282" t="s">
        <v>1743</v>
      </c>
      <c r="BF282" t="s">
        <v>1744</v>
      </c>
      <c r="BH282" t="s">
        <v>77</v>
      </c>
      <c r="BI282" t="s">
        <v>129</v>
      </c>
      <c r="BJ282" t="s">
        <v>79</v>
      </c>
      <c r="BM282">
        <v>0</v>
      </c>
      <c r="BN282">
        <v>2</v>
      </c>
      <c r="BO282">
        <v>2</v>
      </c>
      <c r="BP282" t="s">
        <v>80</v>
      </c>
      <c r="BR282">
        <v>0</v>
      </c>
      <c r="BS282">
        <v>6</v>
      </c>
      <c r="BU282">
        <v>964769</v>
      </c>
    </row>
    <row r="283" spans="1:73" x14ac:dyDescent="0.3">
      <c r="A283" t="s">
        <v>1748</v>
      </c>
      <c r="B283">
        <v>0</v>
      </c>
      <c r="C283">
        <v>0</v>
      </c>
      <c r="D283">
        <v>1</v>
      </c>
      <c r="E283">
        <v>150000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 s="1">
        <v>150000</v>
      </c>
      <c r="BD283" t="s">
        <v>74</v>
      </c>
      <c r="BE283" t="s">
        <v>1749</v>
      </c>
      <c r="BF283" t="s">
        <v>620</v>
      </c>
      <c r="BH283" t="s">
        <v>97</v>
      </c>
      <c r="BI283" t="s">
        <v>119</v>
      </c>
      <c r="BJ283" t="s">
        <v>79</v>
      </c>
      <c r="BM283">
        <v>0</v>
      </c>
      <c r="BN283">
        <v>1</v>
      </c>
      <c r="BO283">
        <v>1</v>
      </c>
      <c r="BP283" t="s">
        <v>80</v>
      </c>
      <c r="BR283">
        <v>0</v>
      </c>
      <c r="BS283">
        <v>6</v>
      </c>
      <c r="BU283">
        <v>150000</v>
      </c>
    </row>
    <row r="284" spans="1:73" x14ac:dyDescent="0.3">
      <c r="A284" t="s">
        <v>1750</v>
      </c>
      <c r="B284">
        <v>0</v>
      </c>
      <c r="C284">
        <v>0</v>
      </c>
      <c r="D284">
        <v>6</v>
      </c>
      <c r="E284">
        <v>1999786</v>
      </c>
      <c r="F284">
        <v>0</v>
      </c>
      <c r="G284">
        <v>0</v>
      </c>
      <c r="H284">
        <v>8</v>
      </c>
      <c r="I284">
        <v>199572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12</v>
      </c>
      <c r="BC284" s="1">
        <v>3999572</v>
      </c>
      <c r="BD284" t="s">
        <v>74</v>
      </c>
      <c r="BE284" t="s">
        <v>1751</v>
      </c>
      <c r="BF284" t="s">
        <v>1752</v>
      </c>
      <c r="BH284" t="s">
        <v>77</v>
      </c>
      <c r="BI284" t="s">
        <v>129</v>
      </c>
      <c r="BJ284" t="s">
        <v>79</v>
      </c>
      <c r="BM284">
        <v>0</v>
      </c>
      <c r="BN284">
        <v>2</v>
      </c>
      <c r="BO284">
        <v>2</v>
      </c>
      <c r="BP284" t="s">
        <v>80</v>
      </c>
      <c r="BR284">
        <v>0</v>
      </c>
      <c r="BS284">
        <v>6</v>
      </c>
      <c r="BU284">
        <v>2199358</v>
      </c>
    </row>
    <row r="285" spans="1:73" x14ac:dyDescent="0.3">
      <c r="A285" t="s">
        <v>1753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53167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26017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</v>
      </c>
      <c r="BC285" s="1">
        <v>79184</v>
      </c>
      <c r="BD285" t="s">
        <v>74</v>
      </c>
      <c r="BE285" t="s">
        <v>1754</v>
      </c>
      <c r="BF285" t="s">
        <v>1755</v>
      </c>
      <c r="BH285" t="s">
        <v>77</v>
      </c>
      <c r="BI285" t="s">
        <v>92</v>
      </c>
      <c r="BJ285" t="s">
        <v>79</v>
      </c>
      <c r="BM285">
        <v>2</v>
      </c>
      <c r="BN285">
        <v>0</v>
      </c>
      <c r="BO285">
        <v>2</v>
      </c>
      <c r="BP285" t="s">
        <v>80</v>
      </c>
      <c r="BR285">
        <v>0</v>
      </c>
      <c r="BS285">
        <v>0</v>
      </c>
      <c r="BU285">
        <v>79184</v>
      </c>
    </row>
    <row r="286" spans="1:73" x14ac:dyDescent="0.3">
      <c r="A286" t="s">
        <v>1756</v>
      </c>
      <c r="B286">
        <v>0</v>
      </c>
      <c r="C286">
        <v>0</v>
      </c>
      <c r="D286">
        <v>1</v>
      </c>
      <c r="E286">
        <v>150000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</v>
      </c>
      <c r="BC286" s="1">
        <v>300000</v>
      </c>
      <c r="BD286" t="s">
        <v>74</v>
      </c>
      <c r="BE286" t="s">
        <v>1757</v>
      </c>
      <c r="BF286" t="s">
        <v>1758</v>
      </c>
      <c r="BH286" t="s">
        <v>77</v>
      </c>
      <c r="BI286" t="s">
        <v>88</v>
      </c>
      <c r="BJ286" t="s">
        <v>79</v>
      </c>
      <c r="BM286">
        <v>0</v>
      </c>
      <c r="BN286">
        <v>1</v>
      </c>
      <c r="BO286">
        <v>1</v>
      </c>
      <c r="BP286" t="s">
        <v>80</v>
      </c>
      <c r="BR286">
        <v>0</v>
      </c>
      <c r="BS286">
        <v>6</v>
      </c>
      <c r="BU286">
        <v>150000</v>
      </c>
    </row>
    <row r="287" spans="1:73" x14ac:dyDescent="0.3">
      <c r="A287" t="s">
        <v>1759</v>
      </c>
      <c r="B287">
        <v>0</v>
      </c>
      <c r="C287">
        <v>0</v>
      </c>
      <c r="D287">
        <v>1</v>
      </c>
      <c r="E287">
        <v>2560000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</v>
      </c>
      <c r="BC287" s="1">
        <v>7120000</v>
      </c>
      <c r="BD287" t="s">
        <v>74</v>
      </c>
      <c r="BE287" t="s">
        <v>1760</v>
      </c>
      <c r="BF287" t="s">
        <v>1761</v>
      </c>
      <c r="BH287" t="s">
        <v>77</v>
      </c>
      <c r="BI287" t="s">
        <v>129</v>
      </c>
      <c r="BJ287" t="s">
        <v>79</v>
      </c>
      <c r="BM287">
        <v>0</v>
      </c>
      <c r="BN287">
        <v>1</v>
      </c>
      <c r="BO287">
        <v>1</v>
      </c>
      <c r="BP287" t="s">
        <v>99</v>
      </c>
      <c r="BR287">
        <v>0</v>
      </c>
      <c r="BS287">
        <v>6</v>
      </c>
      <c r="BU287">
        <v>2560000</v>
      </c>
    </row>
    <row r="288" spans="1:73" x14ac:dyDescent="0.3">
      <c r="A288" t="s">
        <v>1762</v>
      </c>
      <c r="B288">
        <v>0</v>
      </c>
      <c r="C288">
        <v>0</v>
      </c>
      <c r="D288">
        <v>1</v>
      </c>
      <c r="E288">
        <v>340000</v>
      </c>
      <c r="F288">
        <v>0</v>
      </c>
      <c r="G288">
        <v>0</v>
      </c>
      <c r="H288">
        <v>2</v>
      </c>
      <c r="I288">
        <v>40000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3</v>
      </c>
      <c r="BC288" s="1">
        <v>380000</v>
      </c>
      <c r="BD288" t="s">
        <v>74</v>
      </c>
      <c r="BE288" t="s">
        <v>1763</v>
      </c>
      <c r="BF288" t="s">
        <v>1764</v>
      </c>
      <c r="BH288" t="s">
        <v>77</v>
      </c>
      <c r="BI288" t="s">
        <v>88</v>
      </c>
      <c r="BJ288" t="s">
        <v>79</v>
      </c>
      <c r="BM288">
        <v>0</v>
      </c>
      <c r="BN288">
        <v>2</v>
      </c>
      <c r="BO288">
        <v>2</v>
      </c>
      <c r="BP288" t="s">
        <v>80</v>
      </c>
      <c r="BR288">
        <v>0</v>
      </c>
      <c r="BS288">
        <v>6</v>
      </c>
      <c r="BU288">
        <v>380000</v>
      </c>
    </row>
    <row r="289" spans="1:73" x14ac:dyDescent="0.3">
      <c r="A289" t="s">
        <v>1774</v>
      </c>
      <c r="B289">
        <v>0</v>
      </c>
      <c r="C289">
        <v>0</v>
      </c>
      <c r="D289">
        <v>2</v>
      </c>
      <c r="E289">
        <v>918181</v>
      </c>
      <c r="F289">
        <v>0</v>
      </c>
      <c r="G289">
        <v>0</v>
      </c>
      <c r="H289">
        <v>5</v>
      </c>
      <c r="I289">
        <v>108907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7</v>
      </c>
      <c r="BC289" s="1">
        <v>1027088</v>
      </c>
      <c r="BD289" t="s">
        <v>74</v>
      </c>
      <c r="BE289" t="s">
        <v>1775</v>
      </c>
      <c r="BF289" t="s">
        <v>245</v>
      </c>
      <c r="BH289" t="s">
        <v>77</v>
      </c>
      <c r="BI289" t="s">
        <v>129</v>
      </c>
      <c r="BJ289" t="s">
        <v>79</v>
      </c>
      <c r="BM289">
        <v>0</v>
      </c>
      <c r="BN289">
        <v>2</v>
      </c>
      <c r="BO289">
        <v>2</v>
      </c>
      <c r="BP289" t="s">
        <v>80</v>
      </c>
      <c r="BR289">
        <v>0</v>
      </c>
      <c r="BS289">
        <v>6</v>
      </c>
      <c r="BU289">
        <v>1027088</v>
      </c>
    </row>
    <row r="290" spans="1:73" x14ac:dyDescent="0.3">
      <c r="A290" t="s">
        <v>1776</v>
      </c>
      <c r="B290">
        <v>0</v>
      </c>
      <c r="C290">
        <v>0</v>
      </c>
      <c r="D290">
        <v>1</v>
      </c>
      <c r="E290">
        <v>350000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 s="1">
        <v>350000</v>
      </c>
      <c r="BD290" t="s">
        <v>74</v>
      </c>
      <c r="BE290" t="s">
        <v>1777</v>
      </c>
      <c r="BF290" t="s">
        <v>1778</v>
      </c>
      <c r="BH290" t="s">
        <v>77</v>
      </c>
      <c r="BI290" t="s">
        <v>204</v>
      </c>
      <c r="BJ290" t="s">
        <v>79</v>
      </c>
      <c r="BM290">
        <v>0</v>
      </c>
      <c r="BN290">
        <v>1</v>
      </c>
      <c r="BO290">
        <v>1</v>
      </c>
      <c r="BP290" t="s">
        <v>80</v>
      </c>
      <c r="BR290">
        <v>0</v>
      </c>
      <c r="BS290">
        <v>6</v>
      </c>
      <c r="BU290">
        <v>350000</v>
      </c>
    </row>
    <row r="291" spans="1:73" x14ac:dyDescent="0.3">
      <c r="A291" t="s">
        <v>1779</v>
      </c>
      <c r="B291">
        <v>3</v>
      </c>
      <c r="C291">
        <v>2700109</v>
      </c>
      <c r="D291">
        <v>5</v>
      </c>
      <c r="E291">
        <v>2120054</v>
      </c>
      <c r="F291">
        <v>0</v>
      </c>
      <c r="G291">
        <v>0</v>
      </c>
      <c r="H291">
        <v>8</v>
      </c>
      <c r="I291">
        <v>640108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13</v>
      </c>
      <c r="BC291" s="1">
        <v>6940217</v>
      </c>
      <c r="BD291" t="s">
        <v>74</v>
      </c>
      <c r="BE291" t="s">
        <v>1780</v>
      </c>
      <c r="BF291" t="s">
        <v>1781</v>
      </c>
      <c r="BH291" t="s">
        <v>77</v>
      </c>
      <c r="BI291" t="s">
        <v>129</v>
      </c>
      <c r="BJ291" t="s">
        <v>79</v>
      </c>
      <c r="BM291">
        <v>0</v>
      </c>
      <c r="BN291">
        <v>3</v>
      </c>
      <c r="BO291">
        <v>3</v>
      </c>
      <c r="BP291" t="s">
        <v>80</v>
      </c>
      <c r="BR291">
        <v>0</v>
      </c>
      <c r="BS291">
        <v>6</v>
      </c>
      <c r="BU291">
        <v>5460271</v>
      </c>
    </row>
    <row r="292" spans="1:73" x14ac:dyDescent="0.3">
      <c r="A292" t="s">
        <v>1782</v>
      </c>
      <c r="B292">
        <v>0</v>
      </c>
      <c r="C292">
        <v>0</v>
      </c>
      <c r="D292">
        <v>3</v>
      </c>
      <c r="E292">
        <v>638181</v>
      </c>
      <c r="F292">
        <v>0</v>
      </c>
      <c r="G292">
        <v>0</v>
      </c>
      <c r="H292">
        <v>2</v>
      </c>
      <c r="I292">
        <v>40000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6</v>
      </c>
      <c r="BC292" s="1">
        <v>1276362</v>
      </c>
      <c r="BD292" t="s">
        <v>74</v>
      </c>
      <c r="BE292" t="s">
        <v>1783</v>
      </c>
      <c r="BF292" t="s">
        <v>1761</v>
      </c>
      <c r="BH292" t="s">
        <v>77</v>
      </c>
      <c r="BI292" t="s">
        <v>129</v>
      </c>
      <c r="BJ292" t="s">
        <v>79</v>
      </c>
      <c r="BM292">
        <v>0</v>
      </c>
      <c r="BN292">
        <v>2</v>
      </c>
      <c r="BO292">
        <v>2</v>
      </c>
      <c r="BP292" t="s">
        <v>80</v>
      </c>
      <c r="BR292">
        <v>0</v>
      </c>
      <c r="BS292">
        <v>6</v>
      </c>
      <c r="BU292">
        <v>678181</v>
      </c>
    </row>
    <row r="293" spans="1:73" x14ac:dyDescent="0.3">
      <c r="A293" t="s">
        <v>1787</v>
      </c>
      <c r="B293">
        <v>0</v>
      </c>
      <c r="C293">
        <v>0</v>
      </c>
      <c r="D293">
        <v>4</v>
      </c>
      <c r="E293">
        <v>920000</v>
      </c>
      <c r="F293">
        <v>0</v>
      </c>
      <c r="G293">
        <v>0</v>
      </c>
      <c r="H293">
        <v>6</v>
      </c>
      <c r="I293">
        <v>120000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10</v>
      </c>
      <c r="BC293" s="1">
        <v>1880000</v>
      </c>
      <c r="BD293" t="s">
        <v>74</v>
      </c>
      <c r="BE293" t="s">
        <v>1788</v>
      </c>
      <c r="BF293" t="s">
        <v>1658</v>
      </c>
      <c r="BH293" t="s">
        <v>77</v>
      </c>
      <c r="BI293" t="s">
        <v>228</v>
      </c>
      <c r="BJ293" t="s">
        <v>79</v>
      </c>
      <c r="BM293">
        <v>0</v>
      </c>
      <c r="BN293">
        <v>2</v>
      </c>
      <c r="BO293">
        <v>2</v>
      </c>
      <c r="BP293" t="s">
        <v>80</v>
      </c>
      <c r="BR293">
        <v>0</v>
      </c>
      <c r="BS293">
        <v>6</v>
      </c>
      <c r="BU293">
        <v>1040000</v>
      </c>
    </row>
    <row r="294" spans="1:73" x14ac:dyDescent="0.3">
      <c r="A294" t="s">
        <v>1791</v>
      </c>
      <c r="B294">
        <v>0</v>
      </c>
      <c r="C294">
        <v>0</v>
      </c>
      <c r="D294">
        <v>11</v>
      </c>
      <c r="E294">
        <v>957125</v>
      </c>
      <c r="F294">
        <v>0</v>
      </c>
      <c r="G294">
        <v>0</v>
      </c>
      <c r="H294">
        <v>20</v>
      </c>
      <c r="I294">
        <v>614250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22</v>
      </c>
      <c r="BC294" s="1">
        <v>1914250</v>
      </c>
      <c r="BD294" t="s">
        <v>74</v>
      </c>
      <c r="BE294" t="s">
        <v>1792</v>
      </c>
      <c r="BF294" t="s">
        <v>787</v>
      </c>
      <c r="BH294" t="s">
        <v>77</v>
      </c>
      <c r="BI294" t="s">
        <v>129</v>
      </c>
      <c r="BJ294" t="s">
        <v>79</v>
      </c>
      <c r="BM294">
        <v>0</v>
      </c>
      <c r="BN294">
        <v>2</v>
      </c>
      <c r="BO294">
        <v>2</v>
      </c>
      <c r="BP294" t="s">
        <v>80</v>
      </c>
      <c r="BR294">
        <v>0</v>
      </c>
      <c r="BS294">
        <v>6</v>
      </c>
      <c r="BU294">
        <v>1571375</v>
      </c>
    </row>
    <row r="295" spans="1:73" x14ac:dyDescent="0.3">
      <c r="A295" t="s">
        <v>1796</v>
      </c>
      <c r="B295">
        <v>1</v>
      </c>
      <c r="C295">
        <v>635022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73535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19792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5</v>
      </c>
      <c r="BC295" s="1">
        <v>821676</v>
      </c>
      <c r="BD295" t="s">
        <v>74</v>
      </c>
      <c r="BE295" t="s">
        <v>1797</v>
      </c>
      <c r="BF295" t="s">
        <v>1798</v>
      </c>
      <c r="BH295" t="s">
        <v>77</v>
      </c>
      <c r="BI295" t="s">
        <v>92</v>
      </c>
      <c r="BJ295" t="s">
        <v>79</v>
      </c>
      <c r="BM295">
        <v>2</v>
      </c>
      <c r="BN295">
        <v>1</v>
      </c>
      <c r="BO295">
        <v>3</v>
      </c>
      <c r="BP295" t="s">
        <v>80</v>
      </c>
      <c r="BR295">
        <v>0</v>
      </c>
      <c r="BS295">
        <v>6</v>
      </c>
      <c r="BU295">
        <v>728349</v>
      </c>
    </row>
    <row r="296" spans="1:73" x14ac:dyDescent="0.3">
      <c r="A296" t="s">
        <v>1799</v>
      </c>
      <c r="B296">
        <v>1</v>
      </c>
      <c r="C296">
        <v>233331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 s="1">
        <v>233331</v>
      </c>
      <c r="BD296" t="s">
        <v>74</v>
      </c>
      <c r="BE296" t="s">
        <v>1800</v>
      </c>
      <c r="BF296" t="s">
        <v>1801</v>
      </c>
      <c r="BH296" t="s">
        <v>77</v>
      </c>
      <c r="BI296" t="s">
        <v>204</v>
      </c>
      <c r="BJ296" t="s">
        <v>79</v>
      </c>
      <c r="BM296">
        <v>0</v>
      </c>
      <c r="BN296">
        <v>1</v>
      </c>
      <c r="BO296">
        <v>1</v>
      </c>
      <c r="BP296" t="s">
        <v>80</v>
      </c>
      <c r="BR296">
        <v>0</v>
      </c>
      <c r="BS296">
        <v>6</v>
      </c>
      <c r="BU296">
        <v>233331</v>
      </c>
    </row>
    <row r="297" spans="1:73" x14ac:dyDescent="0.3">
      <c r="A297" t="s">
        <v>1802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9552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 s="1">
        <v>9552</v>
      </c>
      <c r="BD297" t="s">
        <v>74</v>
      </c>
      <c r="BE297" t="s">
        <v>1803</v>
      </c>
      <c r="BF297" t="s">
        <v>1689</v>
      </c>
      <c r="BH297" t="s">
        <v>77</v>
      </c>
      <c r="BI297" t="s">
        <v>129</v>
      </c>
      <c r="BJ297" t="s">
        <v>79</v>
      </c>
      <c r="BM297">
        <v>0</v>
      </c>
      <c r="BN297">
        <v>1</v>
      </c>
      <c r="BO297">
        <v>1</v>
      </c>
      <c r="BP297" t="s">
        <v>80</v>
      </c>
      <c r="BR297">
        <v>0</v>
      </c>
      <c r="BS297">
        <v>6</v>
      </c>
      <c r="BU297">
        <v>9552</v>
      </c>
    </row>
    <row r="298" spans="1:73" x14ac:dyDescent="0.3">
      <c r="A298" t="s">
        <v>1804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73535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 s="1">
        <v>73535</v>
      </c>
      <c r="BD298" t="s">
        <v>74</v>
      </c>
      <c r="BE298" t="s">
        <v>1805</v>
      </c>
      <c r="BF298" t="s">
        <v>1806</v>
      </c>
      <c r="BH298" t="s">
        <v>77</v>
      </c>
      <c r="BI298" t="s">
        <v>593</v>
      </c>
      <c r="BJ298" t="s">
        <v>79</v>
      </c>
      <c r="BM298">
        <v>1</v>
      </c>
      <c r="BN298">
        <v>0</v>
      </c>
      <c r="BO298">
        <v>1</v>
      </c>
      <c r="BP298" t="s">
        <v>80</v>
      </c>
      <c r="BR298">
        <v>0</v>
      </c>
      <c r="BS298">
        <v>0</v>
      </c>
      <c r="BU298">
        <v>73535</v>
      </c>
    </row>
    <row r="299" spans="1:73" x14ac:dyDescent="0.3">
      <c r="A299" t="s">
        <v>1812</v>
      </c>
      <c r="B299">
        <v>0</v>
      </c>
      <c r="C299">
        <v>0</v>
      </c>
      <c r="D299">
        <v>2</v>
      </c>
      <c r="E299">
        <v>255454</v>
      </c>
      <c r="F299">
        <v>0</v>
      </c>
      <c r="G299">
        <v>0</v>
      </c>
      <c r="H299">
        <v>10</v>
      </c>
      <c r="I299">
        <v>210000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11</v>
      </c>
      <c r="BC299" s="1">
        <v>445454</v>
      </c>
      <c r="BD299" t="s">
        <v>74</v>
      </c>
      <c r="BE299" t="s">
        <v>1813</v>
      </c>
      <c r="BF299" t="s">
        <v>1814</v>
      </c>
      <c r="BH299" t="s">
        <v>77</v>
      </c>
      <c r="BI299" t="s">
        <v>281</v>
      </c>
      <c r="BJ299" t="s">
        <v>79</v>
      </c>
      <c r="BM299">
        <v>0</v>
      </c>
      <c r="BN299">
        <v>2</v>
      </c>
      <c r="BO299">
        <v>2</v>
      </c>
      <c r="BP299" t="s">
        <v>80</v>
      </c>
      <c r="BR299">
        <v>0</v>
      </c>
      <c r="BS299">
        <v>6</v>
      </c>
      <c r="BU299">
        <v>465454</v>
      </c>
    </row>
    <row r="300" spans="1:73" x14ac:dyDescent="0.3">
      <c r="A300" t="s">
        <v>1815</v>
      </c>
      <c r="B300">
        <v>0</v>
      </c>
      <c r="C300">
        <v>0</v>
      </c>
      <c r="D300">
        <v>2</v>
      </c>
      <c r="E300">
        <v>2340000</v>
      </c>
      <c r="F300">
        <v>0</v>
      </c>
      <c r="G300">
        <v>0</v>
      </c>
      <c r="H300">
        <v>7</v>
      </c>
      <c r="I300">
        <v>150349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33332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145757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16</v>
      </c>
      <c r="BC300" s="1">
        <v>2789689</v>
      </c>
      <c r="BD300" t="s">
        <v>74</v>
      </c>
      <c r="BE300" t="s">
        <v>1816</v>
      </c>
      <c r="BF300" t="s">
        <v>1817</v>
      </c>
      <c r="BH300" t="s">
        <v>77</v>
      </c>
      <c r="BI300" t="s">
        <v>129</v>
      </c>
      <c r="BJ300" t="s">
        <v>79</v>
      </c>
      <c r="BM300">
        <v>2</v>
      </c>
      <c r="BN300">
        <v>2</v>
      </c>
      <c r="BO300">
        <v>4</v>
      </c>
      <c r="BP300" t="s">
        <v>80</v>
      </c>
      <c r="BR300">
        <v>0</v>
      </c>
      <c r="BS300">
        <v>6</v>
      </c>
      <c r="BU300">
        <v>2669438</v>
      </c>
    </row>
    <row r="301" spans="1:73" x14ac:dyDescent="0.3">
      <c r="A301" t="s">
        <v>1818</v>
      </c>
      <c r="B301">
        <v>0</v>
      </c>
      <c r="C301">
        <v>0</v>
      </c>
      <c r="D301">
        <v>4</v>
      </c>
      <c r="E301">
        <v>3161287</v>
      </c>
      <c r="F301">
        <v>0</v>
      </c>
      <c r="G301">
        <v>0</v>
      </c>
      <c r="H301">
        <v>6</v>
      </c>
      <c r="I301">
        <v>326212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9</v>
      </c>
      <c r="BC301" s="1">
        <v>6344393</v>
      </c>
      <c r="BD301" t="s">
        <v>74</v>
      </c>
      <c r="BE301" t="s">
        <v>1819</v>
      </c>
      <c r="BF301" t="s">
        <v>1820</v>
      </c>
      <c r="BH301" t="s">
        <v>77</v>
      </c>
      <c r="BI301" t="s">
        <v>129</v>
      </c>
      <c r="BJ301" t="s">
        <v>79</v>
      </c>
      <c r="BM301">
        <v>0</v>
      </c>
      <c r="BN301">
        <v>2</v>
      </c>
      <c r="BO301">
        <v>2</v>
      </c>
      <c r="BP301" t="s">
        <v>80</v>
      </c>
      <c r="BR301">
        <v>0</v>
      </c>
      <c r="BS301">
        <v>6</v>
      </c>
      <c r="BU301">
        <v>3487499</v>
      </c>
    </row>
    <row r="302" spans="1:73" x14ac:dyDescent="0.3">
      <c r="A302" t="s">
        <v>1821</v>
      </c>
      <c r="B302">
        <v>0</v>
      </c>
      <c r="C302">
        <v>0</v>
      </c>
      <c r="D302">
        <v>1</v>
      </c>
      <c r="E302">
        <v>145454</v>
      </c>
      <c r="F302">
        <v>0</v>
      </c>
      <c r="G302">
        <v>0</v>
      </c>
      <c r="H302">
        <v>1</v>
      </c>
      <c r="I302">
        <v>20000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</v>
      </c>
      <c r="BC302" s="1">
        <v>165454</v>
      </c>
      <c r="BD302" t="s">
        <v>74</v>
      </c>
      <c r="BE302" t="s">
        <v>1822</v>
      </c>
      <c r="BF302" t="s">
        <v>1823</v>
      </c>
      <c r="BH302" t="s">
        <v>77</v>
      </c>
      <c r="BI302" t="s">
        <v>92</v>
      </c>
      <c r="BJ302" t="s">
        <v>79</v>
      </c>
      <c r="BM302">
        <v>0</v>
      </c>
      <c r="BN302">
        <v>2</v>
      </c>
      <c r="BO302">
        <v>2</v>
      </c>
      <c r="BP302" t="s">
        <v>80</v>
      </c>
      <c r="BR302">
        <v>0</v>
      </c>
      <c r="BS302">
        <v>6</v>
      </c>
      <c r="BU302">
        <v>165454</v>
      </c>
    </row>
    <row r="303" spans="1:73" x14ac:dyDescent="0.3">
      <c r="A303" t="s">
        <v>1824</v>
      </c>
      <c r="B303">
        <v>0</v>
      </c>
      <c r="C303">
        <v>0</v>
      </c>
      <c r="D303">
        <v>4</v>
      </c>
      <c r="E303">
        <v>593856</v>
      </c>
      <c r="F303">
        <v>0</v>
      </c>
      <c r="G303">
        <v>0</v>
      </c>
      <c r="H303">
        <v>2</v>
      </c>
      <c r="I303">
        <v>40000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68182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9</v>
      </c>
      <c r="BC303" s="1">
        <v>1125220</v>
      </c>
      <c r="BD303" t="s">
        <v>74</v>
      </c>
      <c r="BE303" t="s">
        <v>1825</v>
      </c>
      <c r="BF303" t="s">
        <v>1826</v>
      </c>
      <c r="BH303" t="s">
        <v>77</v>
      </c>
      <c r="BI303" t="s">
        <v>593</v>
      </c>
      <c r="BJ303" t="s">
        <v>79</v>
      </c>
      <c r="BM303">
        <v>0</v>
      </c>
      <c r="BN303">
        <v>3</v>
      </c>
      <c r="BO303">
        <v>3</v>
      </c>
      <c r="BP303" t="s">
        <v>80</v>
      </c>
      <c r="BR303">
        <v>0</v>
      </c>
      <c r="BS303">
        <v>6</v>
      </c>
      <c r="BU303">
        <v>702038</v>
      </c>
    </row>
    <row r="304" spans="1:73" x14ac:dyDescent="0.3">
      <c r="A304" t="s">
        <v>1827</v>
      </c>
      <c r="B304">
        <v>1</v>
      </c>
      <c r="C304">
        <v>145276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 s="1">
        <v>145276</v>
      </c>
      <c r="BD304" t="s">
        <v>74</v>
      </c>
      <c r="BE304" t="s">
        <v>1828</v>
      </c>
      <c r="BF304" t="s">
        <v>1829</v>
      </c>
      <c r="BH304" t="s">
        <v>77</v>
      </c>
      <c r="BI304" t="s">
        <v>593</v>
      </c>
      <c r="BJ304" t="s">
        <v>79</v>
      </c>
      <c r="BM304">
        <v>0</v>
      </c>
      <c r="BN304">
        <v>1</v>
      </c>
      <c r="BO304">
        <v>1</v>
      </c>
      <c r="BP304" t="s">
        <v>80</v>
      </c>
      <c r="BR304">
        <v>0</v>
      </c>
      <c r="BS304">
        <v>6</v>
      </c>
      <c r="BU304">
        <v>145276</v>
      </c>
    </row>
    <row r="305" spans="1:73" x14ac:dyDescent="0.3">
      <c r="A305" t="s">
        <v>1830</v>
      </c>
      <c r="B305">
        <v>2</v>
      </c>
      <c r="C305">
        <v>364163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25000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4</v>
      </c>
      <c r="BC305" s="1">
        <v>579163</v>
      </c>
      <c r="BD305" t="s">
        <v>74</v>
      </c>
      <c r="BE305" t="s">
        <v>1831</v>
      </c>
      <c r="BF305" t="s">
        <v>1832</v>
      </c>
      <c r="BH305" t="s">
        <v>77</v>
      </c>
      <c r="BI305" t="s">
        <v>92</v>
      </c>
      <c r="BJ305" t="s">
        <v>79</v>
      </c>
      <c r="BM305">
        <v>0</v>
      </c>
      <c r="BN305">
        <v>2</v>
      </c>
      <c r="BO305">
        <v>2</v>
      </c>
      <c r="BP305" t="s">
        <v>80</v>
      </c>
      <c r="BR305">
        <v>0</v>
      </c>
      <c r="BS305">
        <v>6</v>
      </c>
      <c r="BU305">
        <v>389163</v>
      </c>
    </row>
    <row r="306" spans="1:73" x14ac:dyDescent="0.3">
      <c r="A306" t="s">
        <v>1833</v>
      </c>
      <c r="B306">
        <v>0</v>
      </c>
      <c r="C306">
        <v>0</v>
      </c>
      <c r="D306">
        <v>7</v>
      </c>
      <c r="E306">
        <v>4787640</v>
      </c>
      <c r="F306">
        <v>0</v>
      </c>
      <c r="G306">
        <v>0</v>
      </c>
      <c r="H306">
        <v>10</v>
      </c>
      <c r="I306">
        <v>215280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14</v>
      </c>
      <c r="BC306" s="1">
        <v>9575280</v>
      </c>
      <c r="BD306" t="s">
        <v>74</v>
      </c>
      <c r="BE306" t="s">
        <v>1834</v>
      </c>
      <c r="BF306" t="s">
        <v>245</v>
      </c>
      <c r="BH306" t="s">
        <v>77</v>
      </c>
      <c r="BI306" t="s">
        <v>129</v>
      </c>
      <c r="BJ306" t="s">
        <v>79</v>
      </c>
      <c r="BM306">
        <v>0</v>
      </c>
      <c r="BN306">
        <v>2</v>
      </c>
      <c r="BO306">
        <v>2</v>
      </c>
      <c r="BP306" t="s">
        <v>80</v>
      </c>
      <c r="BR306">
        <v>0</v>
      </c>
      <c r="BS306">
        <v>6</v>
      </c>
      <c r="BU306">
        <v>5002920</v>
      </c>
    </row>
    <row r="307" spans="1:73" x14ac:dyDescent="0.3">
      <c r="A307" t="s">
        <v>1835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31722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 s="1">
        <v>31722</v>
      </c>
      <c r="BD307" t="s">
        <v>74</v>
      </c>
      <c r="BE307" t="s">
        <v>1836</v>
      </c>
      <c r="BF307" t="s">
        <v>1837</v>
      </c>
      <c r="BH307" t="s">
        <v>77</v>
      </c>
      <c r="BI307" t="s">
        <v>574</v>
      </c>
      <c r="BJ307" t="s">
        <v>79</v>
      </c>
      <c r="BM307">
        <v>0</v>
      </c>
      <c r="BN307">
        <v>1</v>
      </c>
      <c r="BO307">
        <v>1</v>
      </c>
      <c r="BP307" t="s">
        <v>80</v>
      </c>
      <c r="BR307">
        <v>0</v>
      </c>
      <c r="BS307">
        <v>6</v>
      </c>
      <c r="BU307">
        <v>31722</v>
      </c>
    </row>
    <row r="308" spans="1:73" x14ac:dyDescent="0.3">
      <c r="A308" t="s">
        <v>1841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82993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</v>
      </c>
      <c r="BC308" s="1">
        <v>165986</v>
      </c>
      <c r="BD308" t="s">
        <v>74</v>
      </c>
      <c r="BE308" t="s">
        <v>1842</v>
      </c>
      <c r="BF308" t="s">
        <v>1843</v>
      </c>
      <c r="BH308" t="s">
        <v>77</v>
      </c>
      <c r="BI308" t="s">
        <v>204</v>
      </c>
      <c r="BJ308" t="s">
        <v>79</v>
      </c>
      <c r="BM308">
        <v>1</v>
      </c>
      <c r="BN308">
        <v>0</v>
      </c>
      <c r="BO308">
        <v>1</v>
      </c>
      <c r="BP308" t="s">
        <v>80</v>
      </c>
      <c r="BR308">
        <v>0</v>
      </c>
      <c r="BS308">
        <v>0</v>
      </c>
      <c r="BU308">
        <v>82993</v>
      </c>
    </row>
    <row r="309" spans="1:73" x14ac:dyDescent="0.3">
      <c r="A309" t="s">
        <v>1848</v>
      </c>
      <c r="B309">
        <v>1</v>
      </c>
      <c r="C309">
        <v>372042</v>
      </c>
      <c r="D309">
        <v>1</v>
      </c>
      <c r="E309">
        <v>650000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37500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</v>
      </c>
      <c r="BC309" s="1">
        <v>1709542</v>
      </c>
      <c r="BD309" t="s">
        <v>74</v>
      </c>
      <c r="BE309" t="s">
        <v>1849</v>
      </c>
      <c r="BF309" t="s">
        <v>1850</v>
      </c>
      <c r="BH309" t="s">
        <v>77</v>
      </c>
      <c r="BI309" t="s">
        <v>88</v>
      </c>
      <c r="BJ309" t="s">
        <v>79</v>
      </c>
      <c r="BM309">
        <v>0</v>
      </c>
      <c r="BN309">
        <v>3</v>
      </c>
      <c r="BO309">
        <v>3</v>
      </c>
      <c r="BP309" t="s">
        <v>80</v>
      </c>
      <c r="BR309">
        <v>0</v>
      </c>
      <c r="BS309">
        <v>6</v>
      </c>
      <c r="BU309">
        <v>1059542</v>
      </c>
    </row>
    <row r="310" spans="1:73" x14ac:dyDescent="0.3">
      <c r="A310" t="s">
        <v>1851</v>
      </c>
      <c r="B310">
        <v>0</v>
      </c>
      <c r="C310">
        <v>0</v>
      </c>
      <c r="D310">
        <v>5</v>
      </c>
      <c r="E310">
        <v>136824</v>
      </c>
      <c r="F310">
        <v>0</v>
      </c>
      <c r="G310">
        <v>0</v>
      </c>
      <c r="H310">
        <v>8</v>
      </c>
      <c r="I310">
        <v>225648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513105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2795000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16</v>
      </c>
      <c r="BC310" s="1">
        <v>4369144</v>
      </c>
      <c r="BD310" t="s">
        <v>74</v>
      </c>
      <c r="BE310" t="s">
        <v>1852</v>
      </c>
      <c r="BF310" t="s">
        <v>1853</v>
      </c>
      <c r="BH310" t="s">
        <v>77</v>
      </c>
      <c r="BI310" t="s">
        <v>129</v>
      </c>
      <c r="BJ310" t="s">
        <v>79</v>
      </c>
      <c r="BM310">
        <v>2</v>
      </c>
      <c r="BN310">
        <v>2</v>
      </c>
      <c r="BO310">
        <v>4</v>
      </c>
      <c r="BP310" t="s">
        <v>80</v>
      </c>
      <c r="BR310">
        <v>0</v>
      </c>
      <c r="BS310">
        <v>6</v>
      </c>
      <c r="BU310">
        <v>3670577</v>
      </c>
    </row>
    <row r="311" spans="1:73" x14ac:dyDescent="0.3">
      <c r="A311" t="s">
        <v>1854</v>
      </c>
      <c r="B311">
        <v>1</v>
      </c>
      <c r="C311">
        <v>559975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 s="1">
        <v>559975</v>
      </c>
      <c r="BD311" t="s">
        <v>74</v>
      </c>
      <c r="BE311" t="s">
        <v>1855</v>
      </c>
      <c r="BF311" t="s">
        <v>1856</v>
      </c>
      <c r="BH311" t="s">
        <v>77</v>
      </c>
      <c r="BI311" t="s">
        <v>84</v>
      </c>
      <c r="BJ311" t="s">
        <v>79</v>
      </c>
      <c r="BM311">
        <v>0</v>
      </c>
      <c r="BN311">
        <v>1</v>
      </c>
      <c r="BO311">
        <v>1</v>
      </c>
      <c r="BP311" t="s">
        <v>80</v>
      </c>
      <c r="BR311">
        <v>0</v>
      </c>
      <c r="BS311">
        <v>6</v>
      </c>
      <c r="BU311">
        <v>559975</v>
      </c>
    </row>
    <row r="312" spans="1:73" x14ac:dyDescent="0.3">
      <c r="A312" t="s">
        <v>1857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45000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</v>
      </c>
      <c r="BC312" s="1">
        <v>45000</v>
      </c>
      <c r="BD312" t="s">
        <v>74</v>
      </c>
      <c r="BE312" t="s">
        <v>1858</v>
      </c>
      <c r="BF312" t="s">
        <v>1859</v>
      </c>
      <c r="BH312" t="s">
        <v>77</v>
      </c>
      <c r="BI312" t="s">
        <v>593</v>
      </c>
      <c r="BJ312" t="s">
        <v>79</v>
      </c>
      <c r="BM312">
        <v>0</v>
      </c>
      <c r="BN312">
        <v>1</v>
      </c>
      <c r="BO312">
        <v>1</v>
      </c>
      <c r="BP312" t="s">
        <v>80</v>
      </c>
      <c r="BR312">
        <v>0</v>
      </c>
      <c r="BS312">
        <v>6</v>
      </c>
      <c r="BU312">
        <v>45000</v>
      </c>
    </row>
    <row r="313" spans="1:73" x14ac:dyDescent="0.3">
      <c r="A313" t="s">
        <v>1863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20000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 s="1">
        <v>20000</v>
      </c>
      <c r="BD313" t="s">
        <v>74</v>
      </c>
      <c r="BE313" t="s">
        <v>1864</v>
      </c>
      <c r="BF313" t="s">
        <v>1865</v>
      </c>
      <c r="BH313" t="s">
        <v>77</v>
      </c>
      <c r="BI313" t="s">
        <v>593</v>
      </c>
      <c r="BJ313" t="s">
        <v>79</v>
      </c>
      <c r="BM313">
        <v>0</v>
      </c>
      <c r="BN313">
        <v>1</v>
      </c>
      <c r="BO313">
        <v>1</v>
      </c>
      <c r="BP313" t="s">
        <v>80</v>
      </c>
      <c r="BR313">
        <v>0</v>
      </c>
      <c r="BS313">
        <v>6</v>
      </c>
      <c r="BU313">
        <v>20000</v>
      </c>
    </row>
    <row r="314" spans="1:73" x14ac:dyDescent="0.3">
      <c r="A314" t="s">
        <v>1869</v>
      </c>
      <c r="B314">
        <v>3</v>
      </c>
      <c r="C314">
        <v>760160</v>
      </c>
      <c r="D314">
        <v>1</v>
      </c>
      <c r="E314">
        <v>33486</v>
      </c>
      <c r="F314">
        <v>0</v>
      </c>
      <c r="G314">
        <v>0</v>
      </c>
      <c r="H314">
        <v>4</v>
      </c>
      <c r="I314">
        <v>93486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73535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13</v>
      </c>
      <c r="BC314" s="1">
        <v>1597807</v>
      </c>
      <c r="BD314" t="s">
        <v>74</v>
      </c>
      <c r="BE314" t="s">
        <v>1870</v>
      </c>
      <c r="BF314" t="s">
        <v>1871</v>
      </c>
      <c r="BH314" t="s">
        <v>77</v>
      </c>
      <c r="BI314" t="s">
        <v>92</v>
      </c>
      <c r="BJ314" t="s">
        <v>79</v>
      </c>
      <c r="BM314">
        <v>1</v>
      </c>
      <c r="BN314">
        <v>3</v>
      </c>
      <c r="BO314">
        <v>4</v>
      </c>
      <c r="BP314" t="s">
        <v>80</v>
      </c>
      <c r="BR314">
        <v>0</v>
      </c>
      <c r="BS314">
        <v>6</v>
      </c>
      <c r="BU314">
        <v>960667</v>
      </c>
    </row>
    <row r="315" spans="1:73" x14ac:dyDescent="0.3">
      <c r="A315" t="s">
        <v>1880</v>
      </c>
      <c r="B315">
        <v>1</v>
      </c>
      <c r="C315">
        <v>316863</v>
      </c>
      <c r="D315">
        <v>3</v>
      </c>
      <c r="E315">
        <v>517091</v>
      </c>
      <c r="F315">
        <v>0</v>
      </c>
      <c r="G315">
        <v>0</v>
      </c>
      <c r="H315">
        <v>2</v>
      </c>
      <c r="I315">
        <v>40000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18182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152120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19792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14</v>
      </c>
      <c r="BC315" s="1">
        <v>1652648</v>
      </c>
      <c r="BD315" t="s">
        <v>74</v>
      </c>
      <c r="BE315" t="s">
        <v>1881</v>
      </c>
      <c r="BF315" t="s">
        <v>1882</v>
      </c>
      <c r="BH315" t="s">
        <v>77</v>
      </c>
      <c r="BI315" t="s">
        <v>78</v>
      </c>
      <c r="BJ315" t="s">
        <v>79</v>
      </c>
      <c r="BM315">
        <v>2</v>
      </c>
      <c r="BN315">
        <v>4</v>
      </c>
      <c r="BO315">
        <v>6</v>
      </c>
      <c r="BP315" t="s">
        <v>80</v>
      </c>
      <c r="BR315">
        <v>0</v>
      </c>
      <c r="BS315">
        <v>6</v>
      </c>
      <c r="BU315">
        <v>1064048</v>
      </c>
    </row>
    <row r="316" spans="1:73" x14ac:dyDescent="0.3">
      <c r="A316" t="s">
        <v>1883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46255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</v>
      </c>
      <c r="BC316" s="1">
        <v>46255</v>
      </c>
      <c r="BD316" t="s">
        <v>74</v>
      </c>
      <c r="BE316" t="s">
        <v>1884</v>
      </c>
      <c r="BF316" t="s">
        <v>513</v>
      </c>
      <c r="BH316" t="s">
        <v>77</v>
      </c>
      <c r="BI316" t="s">
        <v>204</v>
      </c>
      <c r="BJ316" t="s">
        <v>79</v>
      </c>
      <c r="BM316">
        <v>0</v>
      </c>
      <c r="BN316">
        <v>1</v>
      </c>
      <c r="BO316">
        <v>1</v>
      </c>
      <c r="BP316" t="s">
        <v>514</v>
      </c>
      <c r="BR316">
        <v>0</v>
      </c>
      <c r="BS316">
        <v>6</v>
      </c>
      <c r="BU316">
        <v>46255</v>
      </c>
    </row>
    <row r="317" spans="1:73" x14ac:dyDescent="0.3">
      <c r="A317" t="s">
        <v>1885</v>
      </c>
      <c r="B317">
        <v>1</v>
      </c>
      <c r="C317">
        <v>397702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39033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</v>
      </c>
      <c r="BC317" s="1">
        <v>436735</v>
      </c>
      <c r="BD317" t="s">
        <v>74</v>
      </c>
      <c r="BE317" t="s">
        <v>1886</v>
      </c>
      <c r="BF317" t="s">
        <v>1273</v>
      </c>
      <c r="BH317" t="s">
        <v>77</v>
      </c>
      <c r="BI317" t="s">
        <v>204</v>
      </c>
      <c r="BJ317" t="s">
        <v>79</v>
      </c>
      <c r="BM317">
        <v>0</v>
      </c>
      <c r="BN317">
        <v>2</v>
      </c>
      <c r="BO317">
        <v>2</v>
      </c>
      <c r="BP317" t="s">
        <v>80</v>
      </c>
      <c r="BR317">
        <v>0</v>
      </c>
      <c r="BS317">
        <v>6</v>
      </c>
      <c r="BU317">
        <v>436735</v>
      </c>
    </row>
    <row r="318" spans="1:73" x14ac:dyDescent="0.3">
      <c r="A318" t="s">
        <v>1893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25000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 s="1">
        <v>25000</v>
      </c>
      <c r="BD318" t="s">
        <v>74</v>
      </c>
      <c r="BE318" t="s">
        <v>1894</v>
      </c>
      <c r="BF318" t="s">
        <v>1273</v>
      </c>
      <c r="BH318" t="s">
        <v>77</v>
      </c>
      <c r="BI318" t="s">
        <v>204</v>
      </c>
      <c r="BJ318" t="s">
        <v>79</v>
      </c>
      <c r="BM318">
        <v>0</v>
      </c>
      <c r="BN318">
        <v>1</v>
      </c>
      <c r="BO318">
        <v>1</v>
      </c>
      <c r="BP318" t="s">
        <v>80</v>
      </c>
      <c r="BR318">
        <v>0</v>
      </c>
      <c r="BS318">
        <v>6</v>
      </c>
      <c r="BU318">
        <v>25000</v>
      </c>
    </row>
    <row r="319" spans="1:73" x14ac:dyDescent="0.3">
      <c r="A319" t="s">
        <v>1904</v>
      </c>
      <c r="B319">
        <v>0</v>
      </c>
      <c r="C319">
        <v>0</v>
      </c>
      <c r="D319">
        <v>7</v>
      </c>
      <c r="E319">
        <v>3229000</v>
      </c>
      <c r="F319">
        <v>0</v>
      </c>
      <c r="G319">
        <v>0</v>
      </c>
      <c r="H319">
        <v>8</v>
      </c>
      <c r="I319">
        <v>160000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14</v>
      </c>
      <c r="BC319" s="1">
        <v>6458000</v>
      </c>
      <c r="BD319" t="s">
        <v>74</v>
      </c>
      <c r="BE319" t="s">
        <v>1905</v>
      </c>
      <c r="BF319" t="s">
        <v>245</v>
      </c>
      <c r="BH319" t="s">
        <v>77</v>
      </c>
      <c r="BI319" t="s">
        <v>129</v>
      </c>
      <c r="BJ319" t="s">
        <v>79</v>
      </c>
      <c r="BM319">
        <v>0</v>
      </c>
      <c r="BN319">
        <v>2</v>
      </c>
      <c r="BO319">
        <v>2</v>
      </c>
      <c r="BP319" t="s">
        <v>80</v>
      </c>
      <c r="BR319">
        <v>0</v>
      </c>
      <c r="BS319">
        <v>6</v>
      </c>
      <c r="BU319">
        <v>3389000</v>
      </c>
    </row>
    <row r="320" spans="1:73" x14ac:dyDescent="0.3">
      <c r="A320" t="s">
        <v>1912</v>
      </c>
      <c r="B320">
        <v>7</v>
      </c>
      <c r="C320">
        <v>2781109</v>
      </c>
      <c r="D320">
        <v>3</v>
      </c>
      <c r="E320">
        <v>374543</v>
      </c>
      <c r="F320">
        <v>0</v>
      </c>
      <c r="G320">
        <v>0</v>
      </c>
      <c r="H320">
        <v>2</v>
      </c>
      <c r="I320">
        <v>40000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68182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15</v>
      </c>
      <c r="BC320" s="1">
        <v>3666559</v>
      </c>
      <c r="BD320" t="s">
        <v>74</v>
      </c>
      <c r="BE320" t="s">
        <v>1913</v>
      </c>
      <c r="BF320" t="s">
        <v>1914</v>
      </c>
      <c r="BH320" t="s">
        <v>136</v>
      </c>
      <c r="BI320" t="s">
        <v>191</v>
      </c>
      <c r="BJ320" t="s">
        <v>125</v>
      </c>
      <c r="BM320">
        <v>0</v>
      </c>
      <c r="BN320">
        <v>4</v>
      </c>
      <c r="BO320">
        <v>4</v>
      </c>
      <c r="BP320" t="s">
        <v>80</v>
      </c>
      <c r="BR320">
        <v>0</v>
      </c>
      <c r="BS320">
        <v>6</v>
      </c>
      <c r="BU320">
        <v>3263834</v>
      </c>
    </row>
    <row r="321" spans="1:73" x14ac:dyDescent="0.3">
      <c r="A321" t="s">
        <v>1918</v>
      </c>
      <c r="B321">
        <v>2</v>
      </c>
      <c r="C321">
        <v>753637</v>
      </c>
      <c r="D321">
        <v>0</v>
      </c>
      <c r="E321">
        <v>0</v>
      </c>
      <c r="F321">
        <v>0</v>
      </c>
      <c r="G321">
        <v>0</v>
      </c>
      <c r="H321">
        <v>2</v>
      </c>
      <c r="I321">
        <v>45000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</v>
      </c>
      <c r="BC321" s="1">
        <v>798637</v>
      </c>
      <c r="BD321" t="s">
        <v>74</v>
      </c>
      <c r="BE321" t="s">
        <v>1919</v>
      </c>
      <c r="BF321" t="s">
        <v>1920</v>
      </c>
      <c r="BH321" t="s">
        <v>77</v>
      </c>
      <c r="BI321" t="s">
        <v>204</v>
      </c>
      <c r="BJ321" t="s">
        <v>79</v>
      </c>
      <c r="BM321">
        <v>0</v>
      </c>
      <c r="BN321">
        <v>2</v>
      </c>
      <c r="BO321">
        <v>2</v>
      </c>
      <c r="BP321" t="s">
        <v>80</v>
      </c>
      <c r="BR321">
        <v>0</v>
      </c>
      <c r="BS321">
        <v>6</v>
      </c>
      <c r="BU321">
        <v>798637</v>
      </c>
    </row>
    <row r="322" spans="1:73" x14ac:dyDescent="0.3">
      <c r="A322" t="s">
        <v>1927</v>
      </c>
      <c r="B322">
        <v>35</v>
      </c>
      <c r="C322">
        <v>5579801</v>
      </c>
      <c r="D322">
        <v>4</v>
      </c>
      <c r="E322">
        <v>14310000</v>
      </c>
      <c r="F322">
        <v>0</v>
      </c>
      <c r="G322">
        <v>0</v>
      </c>
      <c r="H322">
        <v>2</v>
      </c>
      <c r="I322">
        <v>17733184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45</v>
      </c>
      <c r="BC322" s="1">
        <v>83164785</v>
      </c>
      <c r="BD322" t="s">
        <v>74</v>
      </c>
      <c r="BE322" t="s">
        <v>1928</v>
      </c>
      <c r="BF322" t="s">
        <v>754</v>
      </c>
      <c r="BH322" t="s">
        <v>136</v>
      </c>
      <c r="BI322" t="s">
        <v>191</v>
      </c>
      <c r="BJ322" t="s">
        <v>125</v>
      </c>
      <c r="BM322">
        <v>0</v>
      </c>
      <c r="BN322">
        <v>3</v>
      </c>
      <c r="BO322">
        <v>3</v>
      </c>
      <c r="BP322" t="s">
        <v>80</v>
      </c>
      <c r="BR322">
        <v>0</v>
      </c>
      <c r="BS322">
        <v>4</v>
      </c>
      <c r="BU322">
        <v>37622985</v>
      </c>
    </row>
    <row r="323" spans="1:73" x14ac:dyDescent="0.3">
      <c r="A323" t="s">
        <v>1932</v>
      </c>
      <c r="B323">
        <v>4</v>
      </c>
      <c r="C323">
        <v>909950</v>
      </c>
      <c r="D323">
        <v>1</v>
      </c>
      <c r="E323">
        <v>350000</v>
      </c>
      <c r="F323">
        <v>0</v>
      </c>
      <c r="G323">
        <v>0</v>
      </c>
      <c r="H323">
        <v>4</v>
      </c>
      <c r="I323">
        <v>80000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19455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12</v>
      </c>
      <c r="BC323" s="1">
        <v>1728860</v>
      </c>
      <c r="BD323" t="s">
        <v>74</v>
      </c>
      <c r="BE323" t="s">
        <v>1933</v>
      </c>
      <c r="BF323" t="s">
        <v>1934</v>
      </c>
      <c r="BH323" t="s">
        <v>175</v>
      </c>
      <c r="BI323" t="s">
        <v>255</v>
      </c>
      <c r="BJ323" t="s">
        <v>125</v>
      </c>
      <c r="BM323">
        <v>0</v>
      </c>
      <c r="BN323">
        <v>4</v>
      </c>
      <c r="BO323">
        <v>4</v>
      </c>
      <c r="BP323" t="s">
        <v>80</v>
      </c>
      <c r="BR323">
        <v>0</v>
      </c>
      <c r="BS323">
        <v>6</v>
      </c>
      <c r="BU323">
        <v>1359405</v>
      </c>
    </row>
    <row r="324" spans="1:73" x14ac:dyDescent="0.3">
      <c r="A324" t="s">
        <v>1938</v>
      </c>
      <c r="B324">
        <v>0</v>
      </c>
      <c r="C324">
        <v>0</v>
      </c>
      <c r="D324">
        <v>6</v>
      </c>
      <c r="E324">
        <v>1932439</v>
      </c>
      <c r="F324">
        <v>0</v>
      </c>
      <c r="G324">
        <v>0</v>
      </c>
      <c r="H324">
        <v>10</v>
      </c>
      <c r="I324">
        <v>264878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13</v>
      </c>
      <c r="BC324" s="1">
        <v>4533449</v>
      </c>
      <c r="BD324" t="s">
        <v>74</v>
      </c>
      <c r="BE324" t="s">
        <v>1939</v>
      </c>
      <c r="BF324" t="s">
        <v>1940</v>
      </c>
      <c r="BH324" t="s">
        <v>77</v>
      </c>
      <c r="BI324" t="s">
        <v>129</v>
      </c>
      <c r="BJ324" t="s">
        <v>79</v>
      </c>
      <c r="BM324">
        <v>0</v>
      </c>
      <c r="BN324">
        <v>2</v>
      </c>
      <c r="BO324">
        <v>2</v>
      </c>
      <c r="BP324" t="s">
        <v>80</v>
      </c>
      <c r="BR324">
        <v>0</v>
      </c>
      <c r="BS324">
        <v>6</v>
      </c>
      <c r="BU324">
        <v>2197317</v>
      </c>
    </row>
    <row r="325" spans="1:73" x14ac:dyDescent="0.3">
      <c r="A325" t="s">
        <v>1950</v>
      </c>
      <c r="B325">
        <v>0</v>
      </c>
      <c r="C325">
        <v>0</v>
      </c>
      <c r="D325">
        <v>5</v>
      </c>
      <c r="E325">
        <v>1564373</v>
      </c>
      <c r="F325">
        <v>0</v>
      </c>
      <c r="G325">
        <v>0</v>
      </c>
      <c r="H325">
        <v>8</v>
      </c>
      <c r="I325">
        <v>248746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10</v>
      </c>
      <c r="BC325" s="1">
        <v>3128746</v>
      </c>
      <c r="BD325" t="s">
        <v>74</v>
      </c>
      <c r="BE325" t="s">
        <v>1951</v>
      </c>
      <c r="BF325" t="s">
        <v>1242</v>
      </c>
      <c r="BH325" t="s">
        <v>77</v>
      </c>
      <c r="BI325" t="s">
        <v>88</v>
      </c>
      <c r="BJ325" t="s">
        <v>79</v>
      </c>
      <c r="BM325">
        <v>0</v>
      </c>
      <c r="BN325">
        <v>2</v>
      </c>
      <c r="BO325">
        <v>2</v>
      </c>
      <c r="BP325" t="s">
        <v>80</v>
      </c>
      <c r="BR325">
        <v>0</v>
      </c>
      <c r="BS325">
        <v>6</v>
      </c>
      <c r="BU325">
        <v>1813119</v>
      </c>
    </row>
    <row r="326" spans="1:73" x14ac:dyDescent="0.3">
      <c r="A326" t="s">
        <v>1952</v>
      </c>
      <c r="B326">
        <v>0</v>
      </c>
      <c r="C326">
        <v>0</v>
      </c>
      <c r="D326">
        <v>10</v>
      </c>
      <c r="E326">
        <v>4978429</v>
      </c>
      <c r="F326">
        <v>0</v>
      </c>
      <c r="G326">
        <v>0</v>
      </c>
      <c r="H326">
        <v>22</v>
      </c>
      <c r="I326">
        <v>618288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73535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31</v>
      </c>
      <c r="BC326" s="1">
        <v>10342513</v>
      </c>
      <c r="BD326" t="s">
        <v>74</v>
      </c>
      <c r="BE326" t="s">
        <v>1953</v>
      </c>
      <c r="BF326" t="s">
        <v>1242</v>
      </c>
      <c r="BH326" t="s">
        <v>77</v>
      </c>
      <c r="BI326" t="s">
        <v>88</v>
      </c>
      <c r="BJ326" t="s">
        <v>79</v>
      </c>
      <c r="BM326">
        <v>1</v>
      </c>
      <c r="BN326">
        <v>2</v>
      </c>
      <c r="BO326">
        <v>3</v>
      </c>
      <c r="BP326" t="s">
        <v>80</v>
      </c>
      <c r="BR326">
        <v>0</v>
      </c>
      <c r="BS326">
        <v>6</v>
      </c>
      <c r="BU326">
        <v>5670252</v>
      </c>
    </row>
    <row r="327" spans="1:73" x14ac:dyDescent="0.3">
      <c r="A327" t="s">
        <v>1959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73535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20000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</v>
      </c>
      <c r="BC327" s="1">
        <v>113535</v>
      </c>
      <c r="BD327" t="s">
        <v>74</v>
      </c>
      <c r="BE327" t="s">
        <v>1960</v>
      </c>
      <c r="BF327" t="s">
        <v>1961</v>
      </c>
      <c r="BH327" t="s">
        <v>77</v>
      </c>
      <c r="BI327" t="s">
        <v>92</v>
      </c>
      <c r="BJ327" t="s">
        <v>79</v>
      </c>
      <c r="BM327">
        <v>2</v>
      </c>
      <c r="BN327">
        <v>0</v>
      </c>
      <c r="BO327">
        <v>2</v>
      </c>
      <c r="BP327" t="s">
        <v>80</v>
      </c>
      <c r="BR327">
        <v>0</v>
      </c>
      <c r="BS327">
        <v>0</v>
      </c>
      <c r="BU327">
        <v>93535</v>
      </c>
    </row>
    <row r="328" spans="1:73" x14ac:dyDescent="0.3">
      <c r="A328" t="s">
        <v>1962</v>
      </c>
      <c r="B328">
        <v>1</v>
      </c>
      <c r="C328">
        <v>473071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 s="1">
        <v>473071</v>
      </c>
      <c r="BD328" t="s">
        <v>74</v>
      </c>
      <c r="BE328" t="s">
        <v>1963</v>
      </c>
      <c r="BF328" t="s">
        <v>1964</v>
      </c>
      <c r="BH328" t="s">
        <v>1965</v>
      </c>
      <c r="BI328" t="s">
        <v>1966</v>
      </c>
      <c r="BJ328" t="s">
        <v>79</v>
      </c>
      <c r="BM328">
        <v>0</v>
      </c>
      <c r="BN328">
        <v>1</v>
      </c>
      <c r="BO328">
        <v>1</v>
      </c>
      <c r="BP328" t="s">
        <v>80</v>
      </c>
      <c r="BR328">
        <v>0</v>
      </c>
      <c r="BS328">
        <v>6</v>
      </c>
      <c r="BU328">
        <v>473071</v>
      </c>
    </row>
    <row r="329" spans="1:73" x14ac:dyDescent="0.3">
      <c r="A329" t="s">
        <v>1970</v>
      </c>
      <c r="B329">
        <v>0</v>
      </c>
      <c r="C329">
        <v>0</v>
      </c>
      <c r="D329">
        <v>1</v>
      </c>
      <c r="E329">
        <v>1440000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 s="1">
        <v>1440000</v>
      </c>
      <c r="BD329" t="s">
        <v>74</v>
      </c>
      <c r="BE329" t="s">
        <v>1971</v>
      </c>
      <c r="BF329" t="s">
        <v>1972</v>
      </c>
      <c r="BH329" t="s">
        <v>114</v>
      </c>
      <c r="BI329" t="s">
        <v>408</v>
      </c>
      <c r="BJ329" t="s">
        <v>79</v>
      </c>
      <c r="BM329">
        <v>0</v>
      </c>
      <c r="BN329">
        <v>1</v>
      </c>
      <c r="BO329">
        <v>1</v>
      </c>
      <c r="BP329" t="s">
        <v>80</v>
      </c>
      <c r="BR329">
        <v>0</v>
      </c>
      <c r="BS329">
        <v>6</v>
      </c>
      <c r="BU329">
        <v>1440000</v>
      </c>
    </row>
    <row r="330" spans="1:73" x14ac:dyDescent="0.3">
      <c r="A330" t="s">
        <v>1979</v>
      </c>
      <c r="B330">
        <v>1</v>
      </c>
      <c r="C330">
        <v>369102</v>
      </c>
      <c r="D330">
        <v>7</v>
      </c>
      <c r="E330">
        <v>2467957</v>
      </c>
      <c r="F330">
        <v>0</v>
      </c>
      <c r="G330">
        <v>0</v>
      </c>
      <c r="H330">
        <v>10</v>
      </c>
      <c r="I330">
        <v>213840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78585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20</v>
      </c>
      <c r="BC330" s="1">
        <v>5463601</v>
      </c>
      <c r="BD330" t="s">
        <v>74</v>
      </c>
      <c r="BE330" t="s">
        <v>1980</v>
      </c>
      <c r="BF330" t="s">
        <v>1981</v>
      </c>
      <c r="BH330" t="s">
        <v>77</v>
      </c>
      <c r="BI330" t="s">
        <v>84</v>
      </c>
      <c r="BJ330" t="s">
        <v>79</v>
      </c>
      <c r="BM330">
        <v>1</v>
      </c>
      <c r="BN330">
        <v>3</v>
      </c>
      <c r="BO330">
        <v>4</v>
      </c>
      <c r="BP330" t="s">
        <v>80</v>
      </c>
      <c r="BR330">
        <v>0</v>
      </c>
      <c r="BS330">
        <v>6</v>
      </c>
      <c r="BU330">
        <v>3129484</v>
      </c>
    </row>
    <row r="331" spans="1:73" x14ac:dyDescent="0.3">
      <c r="A331" t="s">
        <v>1990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96439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</v>
      </c>
      <c r="BC331" s="1">
        <v>192878</v>
      </c>
      <c r="BD331" t="s">
        <v>74</v>
      </c>
      <c r="BE331" t="s">
        <v>1991</v>
      </c>
      <c r="BF331" t="s">
        <v>1992</v>
      </c>
      <c r="BH331" t="s">
        <v>77</v>
      </c>
      <c r="BI331" t="s">
        <v>204</v>
      </c>
      <c r="BJ331" t="s">
        <v>79</v>
      </c>
      <c r="BM331">
        <v>1</v>
      </c>
      <c r="BN331">
        <v>0</v>
      </c>
      <c r="BO331">
        <v>1</v>
      </c>
      <c r="BP331" t="s">
        <v>80</v>
      </c>
      <c r="BR331">
        <v>0</v>
      </c>
      <c r="BS331">
        <v>0</v>
      </c>
      <c r="BU331">
        <v>96439</v>
      </c>
    </row>
    <row r="332" spans="1:73" x14ac:dyDescent="0.3">
      <c r="A332" t="s">
        <v>2002</v>
      </c>
      <c r="B332">
        <v>6</v>
      </c>
      <c r="C332">
        <v>931765</v>
      </c>
      <c r="D332">
        <v>2</v>
      </c>
      <c r="E332">
        <v>520000</v>
      </c>
      <c r="F332">
        <v>0</v>
      </c>
      <c r="G332">
        <v>0</v>
      </c>
      <c r="H332">
        <v>3</v>
      </c>
      <c r="I332">
        <v>60000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11</v>
      </c>
      <c r="BC332" s="1">
        <v>1991765</v>
      </c>
      <c r="BD332" t="s">
        <v>74</v>
      </c>
      <c r="BE332" t="s">
        <v>2003</v>
      </c>
      <c r="BF332" t="s">
        <v>2004</v>
      </c>
      <c r="BH332" t="s">
        <v>1464</v>
      </c>
      <c r="BI332" t="s">
        <v>1465</v>
      </c>
      <c r="BJ332" t="s">
        <v>125</v>
      </c>
      <c r="BM332">
        <v>0</v>
      </c>
      <c r="BN332">
        <v>3</v>
      </c>
      <c r="BO332">
        <v>3</v>
      </c>
      <c r="BP332" t="s">
        <v>80</v>
      </c>
      <c r="BR332">
        <v>0</v>
      </c>
      <c r="BS332">
        <v>6</v>
      </c>
      <c r="BU332">
        <v>1511765</v>
      </c>
    </row>
    <row r="333" spans="1:73" x14ac:dyDescent="0.3">
      <c r="A333" t="s">
        <v>2005</v>
      </c>
      <c r="B333">
        <v>4</v>
      </c>
      <c r="C333">
        <v>768744</v>
      </c>
      <c r="D333">
        <v>1</v>
      </c>
      <c r="E333">
        <v>97745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6</v>
      </c>
      <c r="BC333" s="1">
        <v>964234</v>
      </c>
      <c r="BD333" t="s">
        <v>74</v>
      </c>
      <c r="BE333" t="s">
        <v>2006</v>
      </c>
      <c r="BF333" t="s">
        <v>2007</v>
      </c>
      <c r="BH333" t="s">
        <v>77</v>
      </c>
      <c r="BI333" t="s">
        <v>574</v>
      </c>
      <c r="BJ333" t="s">
        <v>79</v>
      </c>
      <c r="BM333">
        <v>0</v>
      </c>
      <c r="BN333">
        <v>2</v>
      </c>
      <c r="BO333">
        <v>2</v>
      </c>
      <c r="BP333" t="s">
        <v>80</v>
      </c>
      <c r="BR333">
        <v>0</v>
      </c>
      <c r="BS333">
        <v>6</v>
      </c>
      <c r="BU333">
        <v>866489</v>
      </c>
    </row>
    <row r="334" spans="1:73" x14ac:dyDescent="0.3">
      <c r="A334" t="s">
        <v>2008</v>
      </c>
      <c r="B334">
        <v>0</v>
      </c>
      <c r="C334">
        <v>0</v>
      </c>
      <c r="D334">
        <v>1</v>
      </c>
      <c r="E334">
        <v>150000</v>
      </c>
      <c r="F334">
        <v>0</v>
      </c>
      <c r="G334">
        <v>0</v>
      </c>
      <c r="H334">
        <v>3</v>
      </c>
      <c r="I334">
        <v>60000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</v>
      </c>
      <c r="BC334" s="1">
        <v>210000</v>
      </c>
      <c r="BD334" t="s">
        <v>74</v>
      </c>
      <c r="BE334" t="s">
        <v>2009</v>
      </c>
      <c r="BF334" t="s">
        <v>2010</v>
      </c>
      <c r="BH334" t="s">
        <v>77</v>
      </c>
      <c r="BI334" t="s">
        <v>78</v>
      </c>
      <c r="BJ334" t="s">
        <v>79</v>
      </c>
      <c r="BM334">
        <v>0</v>
      </c>
      <c r="BN334">
        <v>2</v>
      </c>
      <c r="BO334">
        <v>2</v>
      </c>
      <c r="BP334" t="s">
        <v>80</v>
      </c>
      <c r="BR334">
        <v>0</v>
      </c>
      <c r="BS334">
        <v>6</v>
      </c>
      <c r="BU334">
        <v>210000</v>
      </c>
    </row>
    <row r="335" spans="1:73" x14ac:dyDescent="0.3">
      <c r="A335" t="s">
        <v>2014</v>
      </c>
      <c r="B335">
        <v>2</v>
      </c>
      <c r="C335">
        <v>298797</v>
      </c>
      <c r="D335">
        <v>1</v>
      </c>
      <c r="E335">
        <v>174909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66000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6</v>
      </c>
      <c r="BC335" s="1">
        <v>780615</v>
      </c>
      <c r="BD335" t="s">
        <v>74</v>
      </c>
      <c r="BE335" t="s">
        <v>2015</v>
      </c>
      <c r="BF335" t="s">
        <v>2016</v>
      </c>
      <c r="BH335" t="s">
        <v>97</v>
      </c>
      <c r="BI335" t="s">
        <v>119</v>
      </c>
      <c r="BJ335" t="s">
        <v>79</v>
      </c>
      <c r="BM335">
        <v>0</v>
      </c>
      <c r="BN335">
        <v>3</v>
      </c>
      <c r="BO335">
        <v>3</v>
      </c>
      <c r="BP335" t="s">
        <v>80</v>
      </c>
      <c r="BR335">
        <v>0</v>
      </c>
      <c r="BS335">
        <v>6</v>
      </c>
      <c r="BU335">
        <v>539706</v>
      </c>
    </row>
    <row r="336" spans="1:73" x14ac:dyDescent="0.3">
      <c r="A336" t="s">
        <v>2017</v>
      </c>
      <c r="B336">
        <v>2</v>
      </c>
      <c r="C336">
        <v>672709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30000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</v>
      </c>
      <c r="BC336" s="1">
        <v>702709</v>
      </c>
      <c r="BD336" t="s">
        <v>74</v>
      </c>
      <c r="BE336" t="s">
        <v>2018</v>
      </c>
      <c r="BF336" t="s">
        <v>2019</v>
      </c>
      <c r="BH336" t="s">
        <v>77</v>
      </c>
      <c r="BI336" t="s">
        <v>524</v>
      </c>
      <c r="BJ336" t="s">
        <v>79</v>
      </c>
      <c r="BM336">
        <v>0</v>
      </c>
      <c r="BN336">
        <v>2</v>
      </c>
      <c r="BO336">
        <v>2</v>
      </c>
      <c r="BP336" t="s">
        <v>80</v>
      </c>
      <c r="BR336">
        <v>0</v>
      </c>
      <c r="BS336">
        <v>6</v>
      </c>
      <c r="BU336">
        <v>702709</v>
      </c>
    </row>
    <row r="337" spans="1:73" x14ac:dyDescent="0.3">
      <c r="A337" t="s">
        <v>2020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20000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 s="1">
        <v>20000</v>
      </c>
      <c r="BD337" t="s">
        <v>74</v>
      </c>
      <c r="BE337" t="s">
        <v>2021</v>
      </c>
      <c r="BF337" t="s">
        <v>2022</v>
      </c>
      <c r="BH337" t="s">
        <v>77</v>
      </c>
      <c r="BI337" t="s">
        <v>593</v>
      </c>
      <c r="BJ337" t="s">
        <v>79</v>
      </c>
      <c r="BM337">
        <v>0</v>
      </c>
      <c r="BN337">
        <v>1</v>
      </c>
      <c r="BO337">
        <v>1</v>
      </c>
      <c r="BP337" t="s">
        <v>80</v>
      </c>
      <c r="BR337">
        <v>0</v>
      </c>
      <c r="BS337">
        <v>6</v>
      </c>
      <c r="BU337">
        <v>20000</v>
      </c>
    </row>
    <row r="338" spans="1:73" x14ac:dyDescent="0.3">
      <c r="A338" t="s">
        <v>2026</v>
      </c>
      <c r="B338">
        <v>4</v>
      </c>
      <c r="C338">
        <v>1335870</v>
      </c>
      <c r="D338">
        <v>2</v>
      </c>
      <c r="E338">
        <v>40000</v>
      </c>
      <c r="F338">
        <v>0</v>
      </c>
      <c r="G338">
        <v>0</v>
      </c>
      <c r="H338">
        <v>2</v>
      </c>
      <c r="I338">
        <v>40000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73535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19792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11</v>
      </c>
      <c r="BC338" s="1">
        <v>1706524</v>
      </c>
      <c r="BD338" t="s">
        <v>74</v>
      </c>
      <c r="BE338" t="s">
        <v>2027</v>
      </c>
      <c r="BF338" t="s">
        <v>2028</v>
      </c>
      <c r="BH338" t="s">
        <v>136</v>
      </c>
      <c r="BI338" t="s">
        <v>439</v>
      </c>
      <c r="BJ338" t="s">
        <v>125</v>
      </c>
      <c r="BM338">
        <v>2</v>
      </c>
      <c r="BN338">
        <v>3</v>
      </c>
      <c r="BO338">
        <v>5</v>
      </c>
      <c r="BP338" t="s">
        <v>80</v>
      </c>
      <c r="BR338">
        <v>0</v>
      </c>
      <c r="BS338">
        <v>6</v>
      </c>
      <c r="BU338">
        <v>1509197</v>
      </c>
    </row>
    <row r="339" spans="1:73" x14ac:dyDescent="0.3">
      <c r="A339" t="s">
        <v>2035</v>
      </c>
      <c r="B339">
        <v>0</v>
      </c>
      <c r="C339">
        <v>0</v>
      </c>
      <c r="D339">
        <v>11</v>
      </c>
      <c r="E339">
        <v>1114624</v>
      </c>
      <c r="F339">
        <v>0</v>
      </c>
      <c r="G339">
        <v>0</v>
      </c>
      <c r="H339">
        <v>20</v>
      </c>
      <c r="I339">
        <v>1617248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23</v>
      </c>
      <c r="BC339" s="1">
        <v>2325687</v>
      </c>
      <c r="BD339" t="s">
        <v>74</v>
      </c>
      <c r="BE339" t="s">
        <v>2036</v>
      </c>
      <c r="BF339" t="s">
        <v>683</v>
      </c>
      <c r="BH339" t="s">
        <v>77</v>
      </c>
      <c r="BI339" t="s">
        <v>129</v>
      </c>
      <c r="BJ339" t="s">
        <v>79</v>
      </c>
      <c r="BM339">
        <v>0</v>
      </c>
      <c r="BN339">
        <v>2</v>
      </c>
      <c r="BO339">
        <v>2</v>
      </c>
      <c r="BP339" t="s">
        <v>80</v>
      </c>
      <c r="BR339">
        <v>0</v>
      </c>
      <c r="BS339">
        <v>6</v>
      </c>
      <c r="BU339">
        <v>2731872</v>
      </c>
    </row>
    <row r="340" spans="1:73" x14ac:dyDescent="0.3">
      <c r="A340" t="s">
        <v>2037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4</v>
      </c>
      <c r="I340">
        <v>82400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</v>
      </c>
      <c r="BC340" s="1">
        <v>82400</v>
      </c>
      <c r="BD340" t="s">
        <v>74</v>
      </c>
      <c r="BE340" t="s">
        <v>2038</v>
      </c>
      <c r="BF340" t="s">
        <v>2039</v>
      </c>
      <c r="BH340" t="s">
        <v>77</v>
      </c>
      <c r="BI340" t="s">
        <v>78</v>
      </c>
      <c r="BJ340" t="s">
        <v>79</v>
      </c>
      <c r="BM340">
        <v>0</v>
      </c>
      <c r="BN340">
        <v>1</v>
      </c>
      <c r="BO340">
        <v>1</v>
      </c>
      <c r="BP340" t="s">
        <v>80</v>
      </c>
      <c r="BR340">
        <v>0</v>
      </c>
      <c r="BS340">
        <v>6</v>
      </c>
      <c r="BU340">
        <v>82400</v>
      </c>
    </row>
    <row r="341" spans="1:73" x14ac:dyDescent="0.3">
      <c r="A341" t="s">
        <v>2040</v>
      </c>
      <c r="B341">
        <v>1</v>
      </c>
      <c r="C341">
        <v>408029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 s="1">
        <v>408029</v>
      </c>
      <c r="BD341" t="s">
        <v>74</v>
      </c>
      <c r="BE341" t="s">
        <v>2041</v>
      </c>
      <c r="BF341" t="s">
        <v>2042</v>
      </c>
      <c r="BM341">
        <v>0</v>
      </c>
      <c r="BN341">
        <v>1</v>
      </c>
      <c r="BO341">
        <v>1</v>
      </c>
      <c r="BP341" t="s">
        <v>80</v>
      </c>
      <c r="BR341">
        <v>0</v>
      </c>
      <c r="BS341">
        <v>6</v>
      </c>
      <c r="BU341">
        <v>408029</v>
      </c>
    </row>
    <row r="342" spans="1:73" x14ac:dyDescent="0.3">
      <c r="A342" t="s">
        <v>2049</v>
      </c>
      <c r="B342">
        <v>2</v>
      </c>
      <c r="C342">
        <v>341840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 s="1">
        <v>341840</v>
      </c>
      <c r="BD342" t="s">
        <v>74</v>
      </c>
      <c r="BE342" t="s">
        <v>2050</v>
      </c>
      <c r="BF342" t="s">
        <v>2051</v>
      </c>
      <c r="BH342" t="s">
        <v>97</v>
      </c>
      <c r="BI342" t="s">
        <v>208</v>
      </c>
      <c r="BJ342" t="s">
        <v>79</v>
      </c>
      <c r="BM342">
        <v>0</v>
      </c>
      <c r="BN342">
        <v>1</v>
      </c>
      <c r="BO342">
        <v>1</v>
      </c>
      <c r="BP342" t="s">
        <v>80</v>
      </c>
      <c r="BR342">
        <v>0</v>
      </c>
      <c r="BS342">
        <v>6</v>
      </c>
      <c r="BU342">
        <v>341840</v>
      </c>
    </row>
    <row r="343" spans="1:73" x14ac:dyDescent="0.3">
      <c r="A343" t="s">
        <v>2055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101102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3</v>
      </c>
      <c r="BC343" s="1">
        <v>101102</v>
      </c>
      <c r="BD343" t="s">
        <v>74</v>
      </c>
      <c r="BE343" t="s">
        <v>2056</v>
      </c>
      <c r="BF343" t="s">
        <v>2057</v>
      </c>
      <c r="BH343" t="s">
        <v>77</v>
      </c>
      <c r="BI343" t="s">
        <v>88</v>
      </c>
      <c r="BJ343" t="s">
        <v>79</v>
      </c>
      <c r="BM343">
        <v>0</v>
      </c>
      <c r="BN343">
        <v>1</v>
      </c>
      <c r="BO343">
        <v>1</v>
      </c>
      <c r="BP343" t="s">
        <v>80</v>
      </c>
      <c r="BR343">
        <v>0</v>
      </c>
      <c r="BS343">
        <v>6</v>
      </c>
      <c r="BU343">
        <v>101102</v>
      </c>
    </row>
    <row r="344" spans="1:73" x14ac:dyDescent="0.3">
      <c r="A344" t="s">
        <v>2061</v>
      </c>
      <c r="B344">
        <v>0</v>
      </c>
      <c r="C344">
        <v>0</v>
      </c>
      <c r="D344">
        <v>1</v>
      </c>
      <c r="E344">
        <v>500000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 s="1">
        <v>500000</v>
      </c>
      <c r="BD344" t="s">
        <v>74</v>
      </c>
      <c r="BE344" t="s">
        <v>2062</v>
      </c>
      <c r="BF344" t="s">
        <v>2063</v>
      </c>
      <c r="BH344" t="s">
        <v>77</v>
      </c>
      <c r="BI344" t="s">
        <v>593</v>
      </c>
      <c r="BJ344" t="s">
        <v>79</v>
      </c>
      <c r="BM344">
        <v>0</v>
      </c>
      <c r="BN344">
        <v>1</v>
      </c>
      <c r="BO344">
        <v>1</v>
      </c>
      <c r="BP344" t="s">
        <v>80</v>
      </c>
      <c r="BR344">
        <v>0</v>
      </c>
      <c r="BS344">
        <v>6</v>
      </c>
      <c r="BU344">
        <v>500000</v>
      </c>
    </row>
    <row r="345" spans="1:73" x14ac:dyDescent="0.3">
      <c r="A345" t="s">
        <v>2067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96439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</v>
      </c>
      <c r="BC345" s="1">
        <v>192878</v>
      </c>
      <c r="BD345" t="s">
        <v>74</v>
      </c>
      <c r="BE345" t="s">
        <v>2068</v>
      </c>
      <c r="BF345" t="s">
        <v>2069</v>
      </c>
      <c r="BH345" t="s">
        <v>77</v>
      </c>
      <c r="BI345" t="s">
        <v>574</v>
      </c>
      <c r="BJ345" t="s">
        <v>79</v>
      </c>
      <c r="BM345">
        <v>1</v>
      </c>
      <c r="BN345">
        <v>0</v>
      </c>
      <c r="BO345">
        <v>1</v>
      </c>
      <c r="BP345" t="s">
        <v>80</v>
      </c>
      <c r="BR345">
        <v>0</v>
      </c>
      <c r="BS345">
        <v>6</v>
      </c>
      <c r="BU345">
        <v>96439</v>
      </c>
    </row>
    <row r="346" spans="1:73" x14ac:dyDescent="0.3">
      <c r="A346" t="s">
        <v>2070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82993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</v>
      </c>
      <c r="BC346" s="1">
        <v>165986</v>
      </c>
      <c r="BD346" t="s">
        <v>74</v>
      </c>
      <c r="BE346" t="s">
        <v>2071</v>
      </c>
      <c r="BF346" t="s">
        <v>2072</v>
      </c>
      <c r="BH346" t="s">
        <v>77</v>
      </c>
      <c r="BI346" t="s">
        <v>204</v>
      </c>
      <c r="BJ346" t="s">
        <v>79</v>
      </c>
      <c r="BM346">
        <v>1</v>
      </c>
      <c r="BN346">
        <v>0</v>
      </c>
      <c r="BO346">
        <v>1</v>
      </c>
      <c r="BP346" t="s">
        <v>80</v>
      </c>
      <c r="BR346">
        <v>0</v>
      </c>
      <c r="BS346">
        <v>6</v>
      </c>
      <c r="BU346">
        <v>82993</v>
      </c>
    </row>
    <row r="347" spans="1:73" x14ac:dyDescent="0.3">
      <c r="A347" t="s">
        <v>2073</v>
      </c>
      <c r="B347">
        <v>0</v>
      </c>
      <c r="C347">
        <v>0</v>
      </c>
      <c r="D347">
        <v>2</v>
      </c>
      <c r="E347">
        <v>300000</v>
      </c>
      <c r="F347">
        <v>0</v>
      </c>
      <c r="G347">
        <v>0</v>
      </c>
      <c r="H347">
        <v>15</v>
      </c>
      <c r="I347">
        <v>299104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200000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375000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22</v>
      </c>
      <c r="BC347" s="1">
        <v>1677675</v>
      </c>
      <c r="BD347" t="s">
        <v>74</v>
      </c>
      <c r="BE347" t="s">
        <v>2074</v>
      </c>
      <c r="BF347" t="s">
        <v>923</v>
      </c>
      <c r="BH347" t="s">
        <v>77</v>
      </c>
      <c r="BI347" t="s">
        <v>204</v>
      </c>
      <c r="BJ347" t="s">
        <v>79</v>
      </c>
      <c r="BM347">
        <v>1</v>
      </c>
      <c r="BN347">
        <v>3</v>
      </c>
      <c r="BO347">
        <v>4</v>
      </c>
      <c r="BP347" t="s">
        <v>514</v>
      </c>
      <c r="BR347">
        <v>0</v>
      </c>
      <c r="BS347">
        <v>6</v>
      </c>
      <c r="BU347">
        <v>1174104</v>
      </c>
    </row>
    <row r="348" spans="1:73" x14ac:dyDescent="0.3">
      <c r="A348" t="s">
        <v>2075</v>
      </c>
      <c r="B348">
        <v>7</v>
      </c>
      <c r="C348">
        <v>1425146</v>
      </c>
      <c r="D348">
        <v>3</v>
      </c>
      <c r="E348">
        <v>230909</v>
      </c>
      <c r="F348">
        <v>0</v>
      </c>
      <c r="G348">
        <v>0</v>
      </c>
      <c r="H348">
        <v>3</v>
      </c>
      <c r="I348">
        <v>60000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73535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13</v>
      </c>
      <c r="BC348" s="1">
        <v>1828175</v>
      </c>
      <c r="BD348" t="s">
        <v>74</v>
      </c>
      <c r="BE348" t="s">
        <v>2076</v>
      </c>
      <c r="BF348" t="s">
        <v>2077</v>
      </c>
      <c r="BH348" t="s">
        <v>77</v>
      </c>
      <c r="BI348" t="s">
        <v>281</v>
      </c>
      <c r="BJ348" t="s">
        <v>79</v>
      </c>
      <c r="BM348">
        <v>1</v>
      </c>
      <c r="BN348">
        <v>3</v>
      </c>
      <c r="BO348">
        <v>4</v>
      </c>
      <c r="BP348" t="s">
        <v>80</v>
      </c>
      <c r="BR348">
        <v>0</v>
      </c>
      <c r="BS348">
        <v>6</v>
      </c>
      <c r="BU348">
        <v>1789590</v>
      </c>
    </row>
    <row r="349" spans="1:73" x14ac:dyDescent="0.3">
      <c r="A349" t="s">
        <v>2078</v>
      </c>
      <c r="B349">
        <v>2</v>
      </c>
      <c r="C349">
        <v>100031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 s="1">
        <v>100031</v>
      </c>
      <c r="BD349" t="s">
        <v>74</v>
      </c>
      <c r="BE349" t="s">
        <v>2079</v>
      </c>
      <c r="BF349" t="s">
        <v>2080</v>
      </c>
      <c r="BH349" t="s">
        <v>77</v>
      </c>
      <c r="BI349" t="s">
        <v>593</v>
      </c>
      <c r="BJ349" t="s">
        <v>79</v>
      </c>
      <c r="BM349">
        <v>0</v>
      </c>
      <c r="BN349">
        <v>1</v>
      </c>
      <c r="BO349">
        <v>1</v>
      </c>
      <c r="BP349" t="s">
        <v>80</v>
      </c>
      <c r="BR349">
        <v>0</v>
      </c>
      <c r="BS349">
        <v>6</v>
      </c>
      <c r="BU349">
        <v>100031</v>
      </c>
    </row>
    <row r="350" spans="1:73" x14ac:dyDescent="0.3">
      <c r="A350" t="s">
        <v>2081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73535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</v>
      </c>
      <c r="BC350" s="1">
        <v>147070</v>
      </c>
      <c r="BD350" t="s">
        <v>74</v>
      </c>
      <c r="BE350" t="s">
        <v>2082</v>
      </c>
      <c r="BF350" t="s">
        <v>2083</v>
      </c>
      <c r="BH350" t="s">
        <v>77</v>
      </c>
      <c r="BI350" t="s">
        <v>204</v>
      </c>
      <c r="BJ350" t="s">
        <v>79</v>
      </c>
      <c r="BM350">
        <v>1</v>
      </c>
      <c r="BN350">
        <v>0</v>
      </c>
      <c r="BO350">
        <v>1</v>
      </c>
      <c r="BP350" t="s">
        <v>80</v>
      </c>
      <c r="BR350">
        <v>0</v>
      </c>
      <c r="BS350">
        <v>0</v>
      </c>
      <c r="BU350">
        <v>73535</v>
      </c>
    </row>
    <row r="351" spans="1:73" x14ac:dyDescent="0.3">
      <c r="A351" t="s">
        <v>2087</v>
      </c>
      <c r="B351">
        <v>3</v>
      </c>
      <c r="C351">
        <v>2402092</v>
      </c>
      <c r="D351">
        <v>4</v>
      </c>
      <c r="E351">
        <v>359782</v>
      </c>
      <c r="F351">
        <v>0</v>
      </c>
      <c r="G351">
        <v>0</v>
      </c>
      <c r="H351">
        <v>5</v>
      </c>
      <c r="I351">
        <v>169913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12</v>
      </c>
      <c r="BC351" s="1">
        <v>3030039</v>
      </c>
      <c r="BD351" t="s">
        <v>74</v>
      </c>
      <c r="BE351" t="s">
        <v>2088</v>
      </c>
      <c r="BF351" t="s">
        <v>2089</v>
      </c>
      <c r="BH351" t="s">
        <v>77</v>
      </c>
      <c r="BI351" t="s">
        <v>228</v>
      </c>
      <c r="BJ351" t="s">
        <v>79</v>
      </c>
      <c r="BM351">
        <v>0</v>
      </c>
      <c r="BN351">
        <v>3</v>
      </c>
      <c r="BO351">
        <v>3</v>
      </c>
      <c r="BP351" t="s">
        <v>80</v>
      </c>
      <c r="BR351">
        <v>0</v>
      </c>
      <c r="BS351">
        <v>6</v>
      </c>
      <c r="BU351">
        <v>2931787</v>
      </c>
    </row>
    <row r="352" spans="1:73" x14ac:dyDescent="0.3">
      <c r="A352" t="s">
        <v>2092</v>
      </c>
      <c r="B352">
        <v>0</v>
      </c>
      <c r="C352">
        <v>114546</v>
      </c>
      <c r="D352">
        <v>6</v>
      </c>
      <c r="E352">
        <v>1230908</v>
      </c>
      <c r="F352">
        <v>0</v>
      </c>
      <c r="G352">
        <v>0</v>
      </c>
      <c r="H352">
        <v>6</v>
      </c>
      <c r="I352">
        <v>120000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12</v>
      </c>
      <c r="BC352" s="1">
        <v>2576362</v>
      </c>
      <c r="BD352" t="s">
        <v>74</v>
      </c>
      <c r="BE352" t="s">
        <v>2093</v>
      </c>
      <c r="BF352" t="s">
        <v>2094</v>
      </c>
      <c r="BH352" t="s">
        <v>77</v>
      </c>
      <c r="BI352" t="s">
        <v>88</v>
      </c>
      <c r="BJ352" t="s">
        <v>79</v>
      </c>
      <c r="BM352">
        <v>0</v>
      </c>
      <c r="BN352">
        <v>2</v>
      </c>
      <c r="BO352">
        <v>2</v>
      </c>
      <c r="BP352" t="s">
        <v>80</v>
      </c>
      <c r="BR352">
        <v>0</v>
      </c>
      <c r="BS352">
        <v>6</v>
      </c>
      <c r="BU352">
        <v>1465454</v>
      </c>
    </row>
    <row r="353" spans="1:73" x14ac:dyDescent="0.3">
      <c r="A353" t="s">
        <v>2095</v>
      </c>
      <c r="B353">
        <v>0</v>
      </c>
      <c r="C353">
        <v>0</v>
      </c>
      <c r="D353">
        <v>9</v>
      </c>
      <c r="E353">
        <v>2338751</v>
      </c>
      <c r="F353">
        <v>0</v>
      </c>
      <c r="G353">
        <v>0</v>
      </c>
      <c r="H353">
        <v>14</v>
      </c>
      <c r="I353">
        <v>357502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17</v>
      </c>
      <c r="BC353" s="1">
        <v>3597502</v>
      </c>
      <c r="BD353" t="s">
        <v>74</v>
      </c>
      <c r="BE353" t="s">
        <v>2096</v>
      </c>
      <c r="BF353" t="s">
        <v>2097</v>
      </c>
      <c r="BH353" t="s">
        <v>77</v>
      </c>
      <c r="BI353" t="s">
        <v>84</v>
      </c>
      <c r="BJ353" t="s">
        <v>79</v>
      </c>
      <c r="BM353">
        <v>0</v>
      </c>
      <c r="BN353">
        <v>2</v>
      </c>
      <c r="BO353">
        <v>2</v>
      </c>
      <c r="BP353" t="s">
        <v>80</v>
      </c>
      <c r="BR353">
        <v>0</v>
      </c>
      <c r="BS353">
        <v>6</v>
      </c>
      <c r="BU353">
        <v>2696253</v>
      </c>
    </row>
    <row r="354" spans="1:73" x14ac:dyDescent="0.3">
      <c r="A354" t="s">
        <v>2101</v>
      </c>
      <c r="B354">
        <v>2</v>
      </c>
      <c r="C354">
        <v>189990</v>
      </c>
      <c r="D354">
        <v>1</v>
      </c>
      <c r="E354">
        <v>150000</v>
      </c>
      <c r="F354">
        <v>0</v>
      </c>
      <c r="G354">
        <v>0</v>
      </c>
      <c r="H354">
        <v>2</v>
      </c>
      <c r="I354">
        <v>20000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6</v>
      </c>
      <c r="BC354" s="1">
        <v>509990</v>
      </c>
      <c r="BD354" t="s">
        <v>74</v>
      </c>
      <c r="BE354" t="s">
        <v>2102</v>
      </c>
      <c r="BF354" t="s">
        <v>2103</v>
      </c>
      <c r="BH354" t="s">
        <v>136</v>
      </c>
      <c r="BI354" t="s">
        <v>333</v>
      </c>
      <c r="BJ354" t="s">
        <v>125</v>
      </c>
      <c r="BM354">
        <v>0</v>
      </c>
      <c r="BN354">
        <v>3</v>
      </c>
      <c r="BO354">
        <v>3</v>
      </c>
      <c r="BP354" t="s">
        <v>80</v>
      </c>
      <c r="BR354">
        <v>0</v>
      </c>
      <c r="BS354">
        <v>6</v>
      </c>
      <c r="BU354">
        <v>359990</v>
      </c>
    </row>
    <row r="355" spans="1:73" x14ac:dyDescent="0.3">
      <c r="A355" t="s">
        <v>2104</v>
      </c>
      <c r="B355">
        <v>4</v>
      </c>
      <c r="C355">
        <v>1106001</v>
      </c>
      <c r="D355">
        <v>5</v>
      </c>
      <c r="E355">
        <v>1360000</v>
      </c>
      <c r="F355">
        <v>0</v>
      </c>
      <c r="G355">
        <v>0</v>
      </c>
      <c r="H355">
        <v>6</v>
      </c>
      <c r="I355">
        <v>120000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50000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15</v>
      </c>
      <c r="BC355" s="1">
        <v>3876001</v>
      </c>
      <c r="BD355" t="s">
        <v>74</v>
      </c>
      <c r="BE355" t="s">
        <v>2105</v>
      </c>
      <c r="BF355" t="s">
        <v>2106</v>
      </c>
      <c r="BH355" t="s">
        <v>123</v>
      </c>
      <c r="BI355" t="s">
        <v>325</v>
      </c>
      <c r="BJ355" t="s">
        <v>125</v>
      </c>
      <c r="BM355">
        <v>1</v>
      </c>
      <c r="BN355">
        <v>3</v>
      </c>
      <c r="BO355">
        <v>4</v>
      </c>
      <c r="BP355" t="s">
        <v>80</v>
      </c>
      <c r="BR355">
        <v>0</v>
      </c>
      <c r="BS355">
        <v>6</v>
      </c>
      <c r="BU355">
        <v>2636001</v>
      </c>
    </row>
    <row r="356" spans="1:73" x14ac:dyDescent="0.3">
      <c r="A356" t="s">
        <v>2113</v>
      </c>
      <c r="B356">
        <v>0</v>
      </c>
      <c r="C356">
        <v>0</v>
      </c>
      <c r="D356">
        <v>4</v>
      </c>
      <c r="E356">
        <v>690000</v>
      </c>
      <c r="F356">
        <v>0</v>
      </c>
      <c r="G356">
        <v>0</v>
      </c>
      <c r="H356">
        <v>6</v>
      </c>
      <c r="I356">
        <v>120000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8</v>
      </c>
      <c r="BC356" s="1">
        <v>1380000</v>
      </c>
      <c r="BD356" t="s">
        <v>74</v>
      </c>
      <c r="BE356" t="s">
        <v>2114</v>
      </c>
      <c r="BF356" t="s">
        <v>1380</v>
      </c>
      <c r="BH356" t="s">
        <v>77</v>
      </c>
      <c r="BI356" t="s">
        <v>593</v>
      </c>
      <c r="BJ356" t="s">
        <v>79</v>
      </c>
      <c r="BM356">
        <v>0</v>
      </c>
      <c r="BN356">
        <v>2</v>
      </c>
      <c r="BO356">
        <v>2</v>
      </c>
      <c r="BP356" t="s">
        <v>80</v>
      </c>
      <c r="BR356">
        <v>0</v>
      </c>
      <c r="BS356">
        <v>6</v>
      </c>
      <c r="BU356">
        <v>810000</v>
      </c>
    </row>
    <row r="357" spans="1:73" x14ac:dyDescent="0.3">
      <c r="A357" t="s">
        <v>2117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73535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</v>
      </c>
      <c r="BC357" s="1">
        <v>147070</v>
      </c>
      <c r="BD357" t="s">
        <v>74</v>
      </c>
      <c r="BE357" t="s">
        <v>2118</v>
      </c>
      <c r="BF357" t="s">
        <v>2119</v>
      </c>
      <c r="BH357" t="s">
        <v>77</v>
      </c>
      <c r="BI357" t="s">
        <v>204</v>
      </c>
      <c r="BJ357" t="s">
        <v>79</v>
      </c>
      <c r="BM357">
        <v>1</v>
      </c>
      <c r="BN357">
        <v>0</v>
      </c>
      <c r="BO357">
        <v>1</v>
      </c>
      <c r="BP357" t="s">
        <v>80</v>
      </c>
      <c r="BR357">
        <v>0</v>
      </c>
      <c r="BS357">
        <v>6</v>
      </c>
      <c r="BU357">
        <v>73535</v>
      </c>
    </row>
    <row r="358" spans="1:73" x14ac:dyDescent="0.3">
      <c r="A358" t="s">
        <v>2120</v>
      </c>
      <c r="B358">
        <v>0</v>
      </c>
      <c r="C358">
        <v>0</v>
      </c>
      <c r="D358">
        <v>1</v>
      </c>
      <c r="E358">
        <v>288000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</v>
      </c>
      <c r="BC358" s="1">
        <v>576000</v>
      </c>
      <c r="BD358" t="s">
        <v>74</v>
      </c>
      <c r="BE358" t="s">
        <v>2121</v>
      </c>
      <c r="BF358" t="s">
        <v>813</v>
      </c>
      <c r="BH358" t="s">
        <v>77</v>
      </c>
      <c r="BI358" t="s">
        <v>593</v>
      </c>
      <c r="BJ358" t="s">
        <v>79</v>
      </c>
      <c r="BM358">
        <v>0</v>
      </c>
      <c r="BN358">
        <v>1</v>
      </c>
      <c r="BO358">
        <v>1</v>
      </c>
      <c r="BP358" t="s">
        <v>80</v>
      </c>
      <c r="BR358">
        <v>0</v>
      </c>
      <c r="BS358">
        <v>6</v>
      </c>
      <c r="BU358">
        <v>288000</v>
      </c>
    </row>
    <row r="359" spans="1:73" x14ac:dyDescent="0.3">
      <c r="A359" t="s">
        <v>2122</v>
      </c>
      <c r="B359">
        <v>0</v>
      </c>
      <c r="C359">
        <v>0</v>
      </c>
      <c r="D359">
        <v>1</v>
      </c>
      <c r="E359">
        <v>340000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 s="1">
        <v>340000</v>
      </c>
      <c r="BD359" t="s">
        <v>74</v>
      </c>
      <c r="BE359" t="s">
        <v>2123</v>
      </c>
      <c r="BF359" t="s">
        <v>2124</v>
      </c>
      <c r="BH359" t="s">
        <v>77</v>
      </c>
      <c r="BI359" t="s">
        <v>593</v>
      </c>
      <c r="BJ359" t="s">
        <v>79</v>
      </c>
      <c r="BM359">
        <v>0</v>
      </c>
      <c r="BN359">
        <v>1</v>
      </c>
      <c r="BO359">
        <v>1</v>
      </c>
      <c r="BP359" t="s">
        <v>80</v>
      </c>
      <c r="BR359">
        <v>0</v>
      </c>
      <c r="BS359">
        <v>6</v>
      </c>
      <c r="BU359">
        <v>340000</v>
      </c>
    </row>
    <row r="360" spans="1:73" x14ac:dyDescent="0.3">
      <c r="A360" t="s">
        <v>2125</v>
      </c>
      <c r="B360">
        <v>0</v>
      </c>
      <c r="C360">
        <v>705460</v>
      </c>
      <c r="D360">
        <v>2</v>
      </c>
      <c r="E360">
        <v>227270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</v>
      </c>
      <c r="BC360" s="1">
        <v>1096363</v>
      </c>
      <c r="BD360" t="s">
        <v>74</v>
      </c>
      <c r="BE360" t="s">
        <v>2126</v>
      </c>
      <c r="BF360" t="s">
        <v>2127</v>
      </c>
      <c r="BH360" t="s">
        <v>77</v>
      </c>
      <c r="BI360" t="s">
        <v>593</v>
      </c>
      <c r="BJ360" t="s">
        <v>79</v>
      </c>
      <c r="BM360">
        <v>0</v>
      </c>
      <c r="BN360">
        <v>1</v>
      </c>
      <c r="BO360">
        <v>1</v>
      </c>
      <c r="BP360" t="s">
        <v>80</v>
      </c>
      <c r="BR360">
        <v>0</v>
      </c>
      <c r="BS360">
        <v>6</v>
      </c>
      <c r="BU360">
        <v>932730</v>
      </c>
    </row>
    <row r="361" spans="1:73" x14ac:dyDescent="0.3">
      <c r="A361" t="s">
        <v>2131</v>
      </c>
      <c r="B361">
        <v>0</v>
      </c>
      <c r="C361">
        <v>0</v>
      </c>
      <c r="D361">
        <v>2</v>
      </c>
      <c r="E361">
        <v>190000</v>
      </c>
      <c r="F361">
        <v>0</v>
      </c>
      <c r="G361">
        <v>0</v>
      </c>
      <c r="H361">
        <v>2</v>
      </c>
      <c r="I361">
        <v>40000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4</v>
      </c>
      <c r="BC361" s="1">
        <v>380000</v>
      </c>
      <c r="BD361" t="s">
        <v>74</v>
      </c>
      <c r="BE361" t="s">
        <v>2132</v>
      </c>
      <c r="BF361" t="s">
        <v>2133</v>
      </c>
      <c r="BH361" t="s">
        <v>77</v>
      </c>
      <c r="BI361" t="s">
        <v>88</v>
      </c>
      <c r="BJ361" t="s">
        <v>79</v>
      </c>
      <c r="BM361">
        <v>0</v>
      </c>
      <c r="BN361">
        <v>2</v>
      </c>
      <c r="BO361">
        <v>2</v>
      </c>
      <c r="BP361" t="s">
        <v>80</v>
      </c>
      <c r="BR361">
        <v>0</v>
      </c>
      <c r="BS361">
        <v>6</v>
      </c>
      <c r="BU361">
        <v>230000</v>
      </c>
    </row>
    <row r="362" spans="1:73" x14ac:dyDescent="0.3">
      <c r="A362" t="s">
        <v>2134</v>
      </c>
      <c r="B362">
        <v>5</v>
      </c>
      <c r="C362">
        <v>1450163</v>
      </c>
      <c r="D362">
        <v>2</v>
      </c>
      <c r="E362">
        <v>798181</v>
      </c>
      <c r="F362">
        <v>0</v>
      </c>
      <c r="G362">
        <v>0</v>
      </c>
      <c r="H362">
        <v>3</v>
      </c>
      <c r="I362">
        <v>60000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10</v>
      </c>
      <c r="BC362" s="1">
        <v>2308344</v>
      </c>
      <c r="BD362" t="s">
        <v>74</v>
      </c>
      <c r="BE362" t="s">
        <v>2135</v>
      </c>
      <c r="BF362" t="s">
        <v>245</v>
      </c>
      <c r="BH362" t="s">
        <v>77</v>
      </c>
      <c r="BI362" t="s">
        <v>129</v>
      </c>
      <c r="BJ362" t="s">
        <v>79</v>
      </c>
      <c r="BM362">
        <v>0</v>
      </c>
      <c r="BN362">
        <v>3</v>
      </c>
      <c r="BO362">
        <v>3</v>
      </c>
      <c r="BP362" t="s">
        <v>80</v>
      </c>
      <c r="BR362">
        <v>0</v>
      </c>
      <c r="BS362">
        <v>6</v>
      </c>
      <c r="BU362">
        <v>2308344</v>
      </c>
    </row>
    <row r="363" spans="1:73" x14ac:dyDescent="0.3">
      <c r="A363" t="s">
        <v>2136</v>
      </c>
      <c r="B363">
        <v>0</v>
      </c>
      <c r="C363">
        <v>0</v>
      </c>
      <c r="D363">
        <v>2</v>
      </c>
      <c r="E363">
        <v>44000</v>
      </c>
      <c r="F363">
        <v>0</v>
      </c>
      <c r="G363">
        <v>0</v>
      </c>
      <c r="H363">
        <v>4</v>
      </c>
      <c r="I363">
        <v>90000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7</v>
      </c>
      <c r="BC363" s="1">
        <v>265500</v>
      </c>
      <c r="BD363" t="s">
        <v>74</v>
      </c>
      <c r="BE363" t="s">
        <v>2137</v>
      </c>
      <c r="BF363" t="s">
        <v>2138</v>
      </c>
      <c r="BH363" t="s">
        <v>77</v>
      </c>
      <c r="BI363" t="s">
        <v>204</v>
      </c>
      <c r="BJ363" t="s">
        <v>79</v>
      </c>
      <c r="BM363">
        <v>0</v>
      </c>
      <c r="BN363">
        <v>2</v>
      </c>
      <c r="BO363">
        <v>2</v>
      </c>
      <c r="BP363" t="s">
        <v>80</v>
      </c>
      <c r="BR363">
        <v>0</v>
      </c>
      <c r="BS363">
        <v>6</v>
      </c>
      <c r="BU363">
        <v>134000</v>
      </c>
    </row>
    <row r="364" spans="1:73" x14ac:dyDescent="0.3">
      <c r="A364" t="s">
        <v>2139</v>
      </c>
      <c r="B364">
        <v>0</v>
      </c>
      <c r="C364">
        <v>0</v>
      </c>
      <c r="D364">
        <v>1</v>
      </c>
      <c r="E364">
        <v>20000</v>
      </c>
      <c r="F364">
        <v>0</v>
      </c>
      <c r="G364">
        <v>0</v>
      </c>
      <c r="H364">
        <v>2</v>
      </c>
      <c r="I364">
        <v>40000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73535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19792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6</v>
      </c>
      <c r="BC364" s="1">
        <v>289855</v>
      </c>
      <c r="BD364" t="s">
        <v>74</v>
      </c>
      <c r="BE364" t="s">
        <v>2140</v>
      </c>
      <c r="BF364" t="s">
        <v>2141</v>
      </c>
      <c r="BH364" t="s">
        <v>77</v>
      </c>
      <c r="BI364" t="s">
        <v>593</v>
      </c>
      <c r="BJ364" t="s">
        <v>79</v>
      </c>
      <c r="BM364">
        <v>2</v>
      </c>
      <c r="BN364">
        <v>2</v>
      </c>
      <c r="BO364">
        <v>4</v>
      </c>
      <c r="BP364" t="s">
        <v>80</v>
      </c>
      <c r="BR364">
        <v>0</v>
      </c>
      <c r="BS364">
        <v>6</v>
      </c>
      <c r="BU364">
        <v>153327</v>
      </c>
    </row>
    <row r="365" spans="1:73" x14ac:dyDescent="0.3">
      <c r="A365" t="s">
        <v>2142</v>
      </c>
      <c r="B365">
        <v>1</v>
      </c>
      <c r="C365">
        <v>405611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 s="1">
        <v>405611</v>
      </c>
      <c r="BD365" t="s">
        <v>74</v>
      </c>
      <c r="BE365" t="s">
        <v>2143</v>
      </c>
      <c r="BF365" t="s">
        <v>2144</v>
      </c>
      <c r="BH365" t="s">
        <v>77</v>
      </c>
      <c r="BI365" t="s">
        <v>88</v>
      </c>
      <c r="BJ365" t="s">
        <v>79</v>
      </c>
      <c r="BM365">
        <v>0</v>
      </c>
      <c r="BN365">
        <v>1</v>
      </c>
      <c r="BO365">
        <v>1</v>
      </c>
      <c r="BP365" t="s">
        <v>80</v>
      </c>
      <c r="BR365">
        <v>0</v>
      </c>
      <c r="BS365">
        <v>6</v>
      </c>
      <c r="BU365">
        <v>405611</v>
      </c>
    </row>
    <row r="366" spans="1:73" x14ac:dyDescent="0.3">
      <c r="A366" t="s">
        <v>2148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52200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</v>
      </c>
      <c r="BC366" s="1">
        <v>52200</v>
      </c>
      <c r="BD366" t="s">
        <v>74</v>
      </c>
      <c r="BE366" t="s">
        <v>2149</v>
      </c>
      <c r="BF366" t="s">
        <v>1273</v>
      </c>
      <c r="BH366" t="s">
        <v>77</v>
      </c>
      <c r="BI366" t="s">
        <v>204</v>
      </c>
      <c r="BJ366" t="s">
        <v>79</v>
      </c>
      <c r="BM366">
        <v>0</v>
      </c>
      <c r="BN366">
        <v>1</v>
      </c>
      <c r="BO366">
        <v>1</v>
      </c>
      <c r="BP366" t="s">
        <v>514</v>
      </c>
      <c r="BR366">
        <v>0</v>
      </c>
      <c r="BS366">
        <v>6</v>
      </c>
      <c r="BU366">
        <v>52200</v>
      </c>
    </row>
    <row r="367" spans="1:73" x14ac:dyDescent="0.3">
      <c r="A367" t="s">
        <v>2150</v>
      </c>
      <c r="B367">
        <v>0</v>
      </c>
      <c r="C367">
        <v>114546</v>
      </c>
      <c r="D367">
        <v>1</v>
      </c>
      <c r="E367">
        <v>152727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</v>
      </c>
      <c r="BC367" s="1">
        <v>420000</v>
      </c>
      <c r="BD367" t="s">
        <v>74</v>
      </c>
      <c r="BE367" t="s">
        <v>2151</v>
      </c>
      <c r="BF367" t="s">
        <v>2152</v>
      </c>
      <c r="BH367" t="s">
        <v>77</v>
      </c>
      <c r="BI367" t="s">
        <v>281</v>
      </c>
      <c r="BJ367" t="s">
        <v>79</v>
      </c>
      <c r="BM367">
        <v>0</v>
      </c>
      <c r="BN367">
        <v>1</v>
      </c>
      <c r="BO367">
        <v>1</v>
      </c>
      <c r="BP367" t="s">
        <v>80</v>
      </c>
      <c r="BR367">
        <v>0</v>
      </c>
      <c r="BS367">
        <v>6</v>
      </c>
      <c r="BU367">
        <v>267273</v>
      </c>
    </row>
    <row r="368" spans="1:73" x14ac:dyDescent="0.3">
      <c r="A368" t="s">
        <v>2177</v>
      </c>
      <c r="B368">
        <v>0</v>
      </c>
      <c r="C368">
        <v>0</v>
      </c>
      <c r="D368">
        <v>11</v>
      </c>
      <c r="E368">
        <v>2407014</v>
      </c>
      <c r="F368">
        <v>0</v>
      </c>
      <c r="G368">
        <v>0</v>
      </c>
      <c r="H368">
        <v>18</v>
      </c>
      <c r="I368">
        <v>614028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22</v>
      </c>
      <c r="BC368" s="1">
        <v>4814028</v>
      </c>
      <c r="BD368" t="s">
        <v>74</v>
      </c>
      <c r="BE368" t="s">
        <v>2178</v>
      </c>
      <c r="BF368" t="s">
        <v>2179</v>
      </c>
      <c r="BH368" t="s">
        <v>77</v>
      </c>
      <c r="BI368" t="s">
        <v>88</v>
      </c>
      <c r="BJ368" t="s">
        <v>79</v>
      </c>
      <c r="BM368">
        <v>0</v>
      </c>
      <c r="BN368">
        <v>2</v>
      </c>
      <c r="BO368">
        <v>2</v>
      </c>
      <c r="BP368" t="s">
        <v>80</v>
      </c>
      <c r="BR368">
        <v>0</v>
      </c>
      <c r="BS368">
        <v>6</v>
      </c>
      <c r="BU368">
        <v>3021042</v>
      </c>
    </row>
    <row r="369" spans="1:73" x14ac:dyDescent="0.3">
      <c r="A369" t="s">
        <v>2180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78063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</v>
      </c>
      <c r="BC369" s="1">
        <v>78063</v>
      </c>
      <c r="BD369" t="s">
        <v>74</v>
      </c>
      <c r="BE369" t="s">
        <v>2181</v>
      </c>
      <c r="BF369" t="s">
        <v>2182</v>
      </c>
      <c r="BH369" t="s">
        <v>77</v>
      </c>
      <c r="BI369" t="s">
        <v>204</v>
      </c>
      <c r="BJ369" t="s">
        <v>79</v>
      </c>
      <c r="BM369">
        <v>0</v>
      </c>
      <c r="BN369">
        <v>1</v>
      </c>
      <c r="BO369">
        <v>1</v>
      </c>
      <c r="BP369" t="s">
        <v>514</v>
      </c>
      <c r="BR369">
        <v>0</v>
      </c>
      <c r="BS369">
        <v>6</v>
      </c>
      <c r="BU369">
        <v>78063</v>
      </c>
    </row>
    <row r="370" spans="1:73" x14ac:dyDescent="0.3">
      <c r="A370" t="s">
        <v>2183</v>
      </c>
      <c r="B370">
        <v>0</v>
      </c>
      <c r="C370">
        <v>0</v>
      </c>
      <c r="D370">
        <v>2</v>
      </c>
      <c r="E370">
        <v>596857</v>
      </c>
      <c r="F370">
        <v>0</v>
      </c>
      <c r="G370">
        <v>0</v>
      </c>
      <c r="H370">
        <v>3</v>
      </c>
      <c r="I370">
        <v>50000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5</v>
      </c>
      <c r="BC370" s="1">
        <v>646857</v>
      </c>
      <c r="BD370" t="s">
        <v>74</v>
      </c>
      <c r="BE370" t="s">
        <v>2184</v>
      </c>
      <c r="BF370" t="s">
        <v>2185</v>
      </c>
      <c r="BH370" t="s">
        <v>77</v>
      </c>
      <c r="BI370" t="s">
        <v>129</v>
      </c>
      <c r="BJ370" t="s">
        <v>79</v>
      </c>
      <c r="BM370">
        <v>0</v>
      </c>
      <c r="BN370">
        <v>2</v>
      </c>
      <c r="BO370">
        <v>2</v>
      </c>
      <c r="BP370" t="s">
        <v>514</v>
      </c>
      <c r="BR370">
        <v>0</v>
      </c>
      <c r="BS370">
        <v>6</v>
      </c>
      <c r="BU370">
        <v>646857</v>
      </c>
    </row>
    <row r="371" spans="1:73" x14ac:dyDescent="0.3">
      <c r="A371" t="s">
        <v>2186</v>
      </c>
      <c r="B371">
        <v>0</v>
      </c>
      <c r="C371">
        <v>0</v>
      </c>
      <c r="D371">
        <v>3</v>
      </c>
      <c r="E371">
        <v>974000</v>
      </c>
      <c r="F371">
        <v>0</v>
      </c>
      <c r="G371">
        <v>0</v>
      </c>
      <c r="H371">
        <v>14</v>
      </c>
      <c r="I371">
        <v>266563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330000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19</v>
      </c>
      <c r="BC371" s="1">
        <v>1900563</v>
      </c>
      <c r="BD371" t="s">
        <v>74</v>
      </c>
      <c r="BE371" t="s">
        <v>2187</v>
      </c>
      <c r="BF371" t="s">
        <v>2188</v>
      </c>
      <c r="BH371" t="s">
        <v>77</v>
      </c>
      <c r="BI371" t="s">
        <v>739</v>
      </c>
      <c r="BJ371" t="s">
        <v>79</v>
      </c>
      <c r="BM371">
        <v>0</v>
      </c>
      <c r="BN371">
        <v>3</v>
      </c>
      <c r="BO371">
        <v>3</v>
      </c>
      <c r="BP371" t="s">
        <v>514</v>
      </c>
      <c r="BR371">
        <v>0</v>
      </c>
      <c r="BS371">
        <v>6</v>
      </c>
      <c r="BU371">
        <v>1570563</v>
      </c>
    </row>
    <row r="372" spans="1:73" x14ac:dyDescent="0.3">
      <c r="A372" t="s">
        <v>2189</v>
      </c>
      <c r="B372">
        <v>0</v>
      </c>
      <c r="C372">
        <v>0</v>
      </c>
      <c r="D372">
        <v>2</v>
      </c>
      <c r="E372">
        <v>345454</v>
      </c>
      <c r="F372">
        <v>0</v>
      </c>
      <c r="G372">
        <v>0</v>
      </c>
      <c r="H372">
        <v>2</v>
      </c>
      <c r="I372">
        <v>50000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73535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8</v>
      </c>
      <c r="BC372" s="1">
        <v>887978</v>
      </c>
      <c r="BD372" t="s">
        <v>74</v>
      </c>
      <c r="BE372" t="s">
        <v>2190</v>
      </c>
      <c r="BF372" t="s">
        <v>2191</v>
      </c>
      <c r="BH372" t="s">
        <v>77</v>
      </c>
      <c r="BI372" t="s">
        <v>204</v>
      </c>
      <c r="BJ372" t="s">
        <v>79</v>
      </c>
      <c r="BM372">
        <v>1</v>
      </c>
      <c r="BN372">
        <v>2</v>
      </c>
      <c r="BO372">
        <v>3</v>
      </c>
      <c r="BP372" t="s">
        <v>80</v>
      </c>
      <c r="BR372">
        <v>0</v>
      </c>
      <c r="BS372">
        <v>6</v>
      </c>
      <c r="BU372">
        <v>468989</v>
      </c>
    </row>
    <row r="373" spans="1:73" x14ac:dyDescent="0.3">
      <c r="A373" t="s">
        <v>2192</v>
      </c>
      <c r="B373">
        <v>1</v>
      </c>
      <c r="C373">
        <v>343017</v>
      </c>
      <c r="D373">
        <v>0</v>
      </c>
      <c r="E373">
        <v>0</v>
      </c>
      <c r="F373">
        <v>0</v>
      </c>
      <c r="G373">
        <v>0</v>
      </c>
      <c r="H373">
        <v>2</v>
      </c>
      <c r="I373">
        <v>89861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3</v>
      </c>
      <c r="BC373" s="1">
        <v>432878</v>
      </c>
      <c r="BD373" t="s">
        <v>74</v>
      </c>
      <c r="BE373" t="s">
        <v>2193</v>
      </c>
      <c r="BF373" t="s">
        <v>2194</v>
      </c>
      <c r="BH373" t="s">
        <v>77</v>
      </c>
      <c r="BI373" t="s">
        <v>204</v>
      </c>
      <c r="BJ373" t="s">
        <v>79</v>
      </c>
      <c r="BM373">
        <v>0</v>
      </c>
      <c r="BN373">
        <v>2</v>
      </c>
      <c r="BO373">
        <v>2</v>
      </c>
      <c r="BP373" t="s">
        <v>80</v>
      </c>
      <c r="BR373">
        <v>0</v>
      </c>
      <c r="BS373">
        <v>6</v>
      </c>
      <c r="BU373">
        <v>432878</v>
      </c>
    </row>
    <row r="374" spans="1:73" x14ac:dyDescent="0.3">
      <c r="A374" t="s">
        <v>2195</v>
      </c>
      <c r="B374">
        <v>1</v>
      </c>
      <c r="C374">
        <v>342966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 s="1">
        <v>342966</v>
      </c>
      <c r="BD374" t="s">
        <v>74</v>
      </c>
      <c r="BE374" t="s">
        <v>2196</v>
      </c>
      <c r="BF374" t="s">
        <v>2197</v>
      </c>
      <c r="BM374">
        <v>0</v>
      </c>
      <c r="BN374">
        <v>1</v>
      </c>
      <c r="BO374">
        <v>1</v>
      </c>
      <c r="BP374" t="s">
        <v>80</v>
      </c>
      <c r="BR374">
        <v>0</v>
      </c>
      <c r="BS374">
        <v>6</v>
      </c>
      <c r="BU374">
        <v>342966</v>
      </c>
    </row>
    <row r="375" spans="1:73" x14ac:dyDescent="0.3">
      <c r="A375" t="s">
        <v>2198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78585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 s="1">
        <v>78585</v>
      </c>
      <c r="BD375" t="s">
        <v>74</v>
      </c>
      <c r="BE375" t="s">
        <v>2199</v>
      </c>
      <c r="BF375" t="s">
        <v>2200</v>
      </c>
      <c r="BH375" t="s">
        <v>77</v>
      </c>
      <c r="BI375" t="s">
        <v>720</v>
      </c>
      <c r="BJ375" t="s">
        <v>79</v>
      </c>
      <c r="BM375">
        <v>1</v>
      </c>
      <c r="BN375">
        <v>0</v>
      </c>
      <c r="BO375">
        <v>1</v>
      </c>
      <c r="BP375" t="s">
        <v>80</v>
      </c>
      <c r="BR375">
        <v>0</v>
      </c>
      <c r="BS375">
        <v>0</v>
      </c>
      <c r="BU375">
        <v>78585</v>
      </c>
    </row>
    <row r="376" spans="1:73" x14ac:dyDescent="0.3">
      <c r="A376" t="s">
        <v>2201</v>
      </c>
      <c r="B376">
        <v>1</v>
      </c>
      <c r="C376">
        <v>217250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 s="1">
        <v>217250</v>
      </c>
      <c r="BD376" t="s">
        <v>74</v>
      </c>
      <c r="BE376" t="s">
        <v>2202</v>
      </c>
      <c r="BF376" t="s">
        <v>2203</v>
      </c>
      <c r="BH376" t="s">
        <v>77</v>
      </c>
      <c r="BI376" t="s">
        <v>739</v>
      </c>
      <c r="BJ376" t="s">
        <v>79</v>
      </c>
      <c r="BM376">
        <v>0</v>
      </c>
      <c r="BN376">
        <v>1</v>
      </c>
      <c r="BO376">
        <v>1</v>
      </c>
      <c r="BP376" t="s">
        <v>80</v>
      </c>
      <c r="BR376">
        <v>0</v>
      </c>
      <c r="BS376">
        <v>6</v>
      </c>
      <c r="BU376">
        <v>217250</v>
      </c>
    </row>
    <row r="377" spans="1:73" x14ac:dyDescent="0.3">
      <c r="A377" t="s">
        <v>2204</v>
      </c>
      <c r="B377">
        <v>0</v>
      </c>
      <c r="C377">
        <v>0</v>
      </c>
      <c r="D377">
        <v>5</v>
      </c>
      <c r="E377">
        <v>1186800</v>
      </c>
      <c r="F377">
        <v>0</v>
      </c>
      <c r="G377">
        <v>0</v>
      </c>
      <c r="H377">
        <v>3</v>
      </c>
      <c r="I377">
        <v>70000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9</v>
      </c>
      <c r="BC377" s="1">
        <v>1299029</v>
      </c>
      <c r="BD377" t="s">
        <v>74</v>
      </c>
      <c r="BE377" t="s">
        <v>2205</v>
      </c>
      <c r="BF377" t="s">
        <v>251</v>
      </c>
      <c r="BH377" t="s">
        <v>77</v>
      </c>
      <c r="BI377" t="s">
        <v>84</v>
      </c>
      <c r="BJ377" t="s">
        <v>79</v>
      </c>
      <c r="BM377">
        <v>0</v>
      </c>
      <c r="BN377">
        <v>2</v>
      </c>
      <c r="BO377">
        <v>2</v>
      </c>
      <c r="BP377" t="s">
        <v>514</v>
      </c>
      <c r="BR377">
        <v>0</v>
      </c>
      <c r="BS377">
        <v>6</v>
      </c>
      <c r="BU377">
        <v>1256800</v>
      </c>
    </row>
    <row r="378" spans="1:73" x14ac:dyDescent="0.3">
      <c r="A378" t="s">
        <v>2206</v>
      </c>
      <c r="B378">
        <v>0</v>
      </c>
      <c r="C378">
        <v>0</v>
      </c>
      <c r="D378">
        <v>5</v>
      </c>
      <c r="E378">
        <v>1320908</v>
      </c>
      <c r="F378">
        <v>0</v>
      </c>
      <c r="G378">
        <v>0</v>
      </c>
      <c r="H378">
        <v>7</v>
      </c>
      <c r="I378">
        <v>155083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239091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19</v>
      </c>
      <c r="BC378" s="1">
        <v>2381204</v>
      </c>
      <c r="BD378" t="s">
        <v>74</v>
      </c>
      <c r="BE378" t="s">
        <v>2207</v>
      </c>
      <c r="BF378" t="s">
        <v>2208</v>
      </c>
      <c r="BH378" t="s">
        <v>77</v>
      </c>
      <c r="BI378" t="s">
        <v>281</v>
      </c>
      <c r="BJ378" t="s">
        <v>79</v>
      </c>
      <c r="BM378">
        <v>0</v>
      </c>
      <c r="BN378">
        <v>3</v>
      </c>
      <c r="BO378">
        <v>3</v>
      </c>
      <c r="BP378" t="s">
        <v>514</v>
      </c>
      <c r="BR378">
        <v>0</v>
      </c>
      <c r="BS378">
        <v>6</v>
      </c>
      <c r="BU378">
        <v>1715082</v>
      </c>
    </row>
    <row r="379" spans="1:73" x14ac:dyDescent="0.3">
      <c r="A379" t="s">
        <v>2209</v>
      </c>
      <c r="B379">
        <v>0</v>
      </c>
      <c r="C379">
        <v>0</v>
      </c>
      <c r="D379">
        <v>10</v>
      </c>
      <c r="E379">
        <v>987025</v>
      </c>
      <c r="F379">
        <v>0</v>
      </c>
      <c r="G379">
        <v>0</v>
      </c>
      <c r="H379">
        <v>16</v>
      </c>
      <c r="I379">
        <v>464050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20</v>
      </c>
      <c r="BC379" s="1">
        <v>1974050</v>
      </c>
      <c r="BD379" t="s">
        <v>74</v>
      </c>
      <c r="BE379" t="s">
        <v>2210</v>
      </c>
      <c r="BF379" t="s">
        <v>1242</v>
      </c>
      <c r="BH379" t="s">
        <v>77</v>
      </c>
      <c r="BI379" t="s">
        <v>88</v>
      </c>
      <c r="BJ379" t="s">
        <v>79</v>
      </c>
      <c r="BM379">
        <v>0</v>
      </c>
      <c r="BN379">
        <v>2</v>
      </c>
      <c r="BO379">
        <v>2</v>
      </c>
      <c r="BP379" t="s">
        <v>80</v>
      </c>
      <c r="BR379">
        <v>0</v>
      </c>
      <c r="BS379">
        <v>4</v>
      </c>
      <c r="BU379">
        <v>1451075</v>
      </c>
    </row>
    <row r="380" spans="1:73" x14ac:dyDescent="0.3">
      <c r="A380" t="s">
        <v>2211</v>
      </c>
      <c r="B380">
        <v>1</v>
      </c>
      <c r="C380">
        <v>393403</v>
      </c>
      <c r="D380">
        <v>1</v>
      </c>
      <c r="E380">
        <v>230000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</v>
      </c>
      <c r="BC380" s="1">
        <v>853403</v>
      </c>
      <c r="BD380" t="s">
        <v>74</v>
      </c>
      <c r="BE380" t="s">
        <v>2212</v>
      </c>
      <c r="BF380" t="s">
        <v>2213</v>
      </c>
      <c r="BH380" t="s">
        <v>175</v>
      </c>
      <c r="BI380" t="s">
        <v>255</v>
      </c>
      <c r="BJ380" t="s">
        <v>125</v>
      </c>
      <c r="BM380">
        <v>0</v>
      </c>
      <c r="BN380">
        <v>2</v>
      </c>
      <c r="BO380">
        <v>2</v>
      </c>
      <c r="BP380" t="s">
        <v>80</v>
      </c>
      <c r="BR380">
        <v>0</v>
      </c>
      <c r="BS380">
        <v>6</v>
      </c>
      <c r="BU380">
        <v>623403</v>
      </c>
    </row>
    <row r="381" spans="1:73" x14ac:dyDescent="0.3">
      <c r="A381" t="s">
        <v>2214</v>
      </c>
      <c r="B381">
        <v>0</v>
      </c>
      <c r="C381">
        <v>0</v>
      </c>
      <c r="D381">
        <v>3</v>
      </c>
      <c r="E381">
        <v>572727</v>
      </c>
      <c r="F381">
        <v>0</v>
      </c>
      <c r="G381">
        <v>0</v>
      </c>
      <c r="H381">
        <v>1</v>
      </c>
      <c r="I381">
        <v>20000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7</v>
      </c>
      <c r="BC381" s="1">
        <v>1165454</v>
      </c>
      <c r="BD381" t="s">
        <v>74</v>
      </c>
      <c r="BE381" t="s">
        <v>2215</v>
      </c>
      <c r="BF381" t="s">
        <v>2216</v>
      </c>
      <c r="BH381" t="s">
        <v>77</v>
      </c>
      <c r="BI381" t="s">
        <v>88</v>
      </c>
      <c r="BJ381" t="s">
        <v>79</v>
      </c>
      <c r="BM381">
        <v>0</v>
      </c>
      <c r="BN381">
        <v>2</v>
      </c>
      <c r="BO381">
        <v>2</v>
      </c>
      <c r="BP381" t="s">
        <v>80</v>
      </c>
      <c r="BR381">
        <v>0</v>
      </c>
      <c r="BS381">
        <v>6</v>
      </c>
      <c r="BU381">
        <v>592727</v>
      </c>
    </row>
    <row r="382" spans="1:73" x14ac:dyDescent="0.3">
      <c r="A382" t="s">
        <v>2219</v>
      </c>
      <c r="B382">
        <v>1</v>
      </c>
      <c r="C382">
        <v>207960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2645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3</v>
      </c>
      <c r="BC382" s="1">
        <v>382033</v>
      </c>
      <c r="BD382" t="s">
        <v>74</v>
      </c>
      <c r="BE382" t="s">
        <v>2220</v>
      </c>
      <c r="BF382" t="s">
        <v>1914</v>
      </c>
      <c r="BH382" t="s">
        <v>77</v>
      </c>
      <c r="BI382" t="s">
        <v>593</v>
      </c>
      <c r="BJ382" t="s">
        <v>79</v>
      </c>
      <c r="BM382">
        <v>0</v>
      </c>
      <c r="BN382">
        <v>2</v>
      </c>
      <c r="BO382">
        <v>2</v>
      </c>
      <c r="BP382" t="s">
        <v>80</v>
      </c>
      <c r="BR382">
        <v>0</v>
      </c>
      <c r="BS382">
        <v>6</v>
      </c>
      <c r="BU382">
        <v>210605</v>
      </c>
    </row>
    <row r="383" spans="1:73" x14ac:dyDescent="0.3">
      <c r="A383" t="s">
        <v>2221</v>
      </c>
      <c r="B383">
        <v>0</v>
      </c>
      <c r="C383">
        <v>0</v>
      </c>
      <c r="D383">
        <v>2</v>
      </c>
      <c r="E383">
        <v>850000</v>
      </c>
      <c r="F383">
        <v>0</v>
      </c>
      <c r="G383">
        <v>0</v>
      </c>
      <c r="H383">
        <v>3</v>
      </c>
      <c r="I383">
        <v>65000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</v>
      </c>
      <c r="BC383" s="1">
        <v>915000</v>
      </c>
      <c r="BD383" t="s">
        <v>74</v>
      </c>
      <c r="BE383" t="s">
        <v>2222</v>
      </c>
      <c r="BF383" t="s">
        <v>2223</v>
      </c>
      <c r="BH383" t="s">
        <v>77</v>
      </c>
      <c r="BI383" t="s">
        <v>88</v>
      </c>
      <c r="BJ383" t="s">
        <v>79</v>
      </c>
      <c r="BM383">
        <v>0</v>
      </c>
      <c r="BN383">
        <v>2</v>
      </c>
      <c r="BO383">
        <v>2</v>
      </c>
      <c r="BP383" t="s">
        <v>80</v>
      </c>
      <c r="BR383">
        <v>0</v>
      </c>
      <c r="BS383">
        <v>6</v>
      </c>
      <c r="BU383">
        <v>915000</v>
      </c>
    </row>
    <row r="384" spans="1:73" x14ac:dyDescent="0.3">
      <c r="A384" t="s">
        <v>2224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57208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 s="1">
        <v>57208</v>
      </c>
      <c r="BD384" t="s">
        <v>74</v>
      </c>
      <c r="BE384" t="s">
        <v>2225</v>
      </c>
      <c r="BF384" t="s">
        <v>2226</v>
      </c>
      <c r="BH384" t="s">
        <v>77</v>
      </c>
      <c r="BI384" t="s">
        <v>593</v>
      </c>
      <c r="BJ384" t="s">
        <v>79</v>
      </c>
      <c r="BM384">
        <v>1</v>
      </c>
      <c r="BN384">
        <v>0</v>
      </c>
      <c r="BO384">
        <v>1</v>
      </c>
      <c r="BP384" t="s">
        <v>80</v>
      </c>
      <c r="BR384">
        <v>0</v>
      </c>
      <c r="BS384">
        <v>0</v>
      </c>
      <c r="BU384">
        <v>57208</v>
      </c>
    </row>
    <row r="385" spans="1:73" x14ac:dyDescent="0.3">
      <c r="A385" t="s">
        <v>2227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78585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 s="1">
        <v>78585</v>
      </c>
      <c r="BD385" t="s">
        <v>74</v>
      </c>
      <c r="BE385" t="s">
        <v>2228</v>
      </c>
      <c r="BF385" t="s">
        <v>2229</v>
      </c>
      <c r="BH385" t="s">
        <v>77</v>
      </c>
      <c r="BI385" t="s">
        <v>228</v>
      </c>
      <c r="BJ385" t="s">
        <v>79</v>
      </c>
      <c r="BM385">
        <v>1</v>
      </c>
      <c r="BN385">
        <v>0</v>
      </c>
      <c r="BO385">
        <v>1</v>
      </c>
      <c r="BP385" t="s">
        <v>80</v>
      </c>
      <c r="BR385">
        <v>0</v>
      </c>
      <c r="BS385">
        <v>0</v>
      </c>
      <c r="BU385">
        <v>78585</v>
      </c>
    </row>
    <row r="386" spans="1:73" x14ac:dyDescent="0.3">
      <c r="A386" t="s">
        <v>2235</v>
      </c>
      <c r="B386">
        <v>1</v>
      </c>
      <c r="C386">
        <v>493163</v>
      </c>
      <c r="D386">
        <v>1</v>
      </c>
      <c r="E386">
        <v>35000</v>
      </c>
      <c r="F386">
        <v>0</v>
      </c>
      <c r="G386">
        <v>0</v>
      </c>
      <c r="H386">
        <v>1</v>
      </c>
      <c r="I386">
        <v>20000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</v>
      </c>
      <c r="BC386" s="1">
        <v>548163</v>
      </c>
      <c r="BD386" t="s">
        <v>74</v>
      </c>
      <c r="BE386" t="s">
        <v>2236</v>
      </c>
      <c r="BF386" t="s">
        <v>2237</v>
      </c>
      <c r="BH386" t="s">
        <v>77</v>
      </c>
      <c r="BI386" t="s">
        <v>204</v>
      </c>
      <c r="BJ386" t="s">
        <v>79</v>
      </c>
      <c r="BM386">
        <v>0</v>
      </c>
      <c r="BN386">
        <v>3</v>
      </c>
      <c r="BO386">
        <v>3</v>
      </c>
      <c r="BP386" t="s">
        <v>80</v>
      </c>
      <c r="BR386">
        <v>0</v>
      </c>
      <c r="BS386">
        <v>6</v>
      </c>
      <c r="BU386">
        <v>548163</v>
      </c>
    </row>
    <row r="387" spans="1:73" x14ac:dyDescent="0.3">
      <c r="A387" t="s">
        <v>2241</v>
      </c>
      <c r="B387">
        <v>0</v>
      </c>
      <c r="C387">
        <v>0</v>
      </c>
      <c r="D387">
        <v>1</v>
      </c>
      <c r="E387">
        <v>250000</v>
      </c>
      <c r="F387">
        <v>0</v>
      </c>
      <c r="G387">
        <v>0</v>
      </c>
      <c r="H387">
        <v>1</v>
      </c>
      <c r="I387">
        <v>20000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</v>
      </c>
      <c r="BC387" s="1">
        <v>270000</v>
      </c>
      <c r="BD387" t="s">
        <v>74</v>
      </c>
      <c r="BE387" t="s">
        <v>2242</v>
      </c>
      <c r="BF387" t="s">
        <v>2243</v>
      </c>
      <c r="BH387" t="s">
        <v>77</v>
      </c>
      <c r="BI387" t="s">
        <v>524</v>
      </c>
      <c r="BJ387" t="s">
        <v>79</v>
      </c>
      <c r="BM387">
        <v>0</v>
      </c>
      <c r="BN387">
        <v>2</v>
      </c>
      <c r="BO387">
        <v>2</v>
      </c>
      <c r="BP387" t="s">
        <v>514</v>
      </c>
      <c r="BR387">
        <v>0</v>
      </c>
      <c r="BS387">
        <v>6</v>
      </c>
      <c r="BU387">
        <v>270000</v>
      </c>
    </row>
    <row r="388" spans="1:73" x14ac:dyDescent="0.3">
      <c r="A388" t="s">
        <v>2244</v>
      </c>
      <c r="B388">
        <v>0</v>
      </c>
      <c r="C388">
        <v>0</v>
      </c>
      <c r="D388">
        <v>3</v>
      </c>
      <c r="E388">
        <v>339209</v>
      </c>
      <c r="F388">
        <v>0</v>
      </c>
      <c r="G388">
        <v>0</v>
      </c>
      <c r="H388">
        <v>1</v>
      </c>
      <c r="I388">
        <v>23655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69818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34092</v>
      </c>
      <c r="AA388">
        <v>0</v>
      </c>
      <c r="AB388">
        <v>1</v>
      </c>
      <c r="AC388">
        <v>225000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18</v>
      </c>
      <c r="BC388" s="1">
        <v>1448150</v>
      </c>
      <c r="BD388" t="s">
        <v>74</v>
      </c>
      <c r="BE388" t="s">
        <v>2245</v>
      </c>
      <c r="BF388" t="s">
        <v>2246</v>
      </c>
      <c r="BH388" t="s">
        <v>77</v>
      </c>
      <c r="BI388" t="s">
        <v>204</v>
      </c>
      <c r="BJ388" t="s">
        <v>79</v>
      </c>
      <c r="BM388">
        <v>2</v>
      </c>
      <c r="BN388">
        <v>3</v>
      </c>
      <c r="BO388">
        <v>5</v>
      </c>
      <c r="BP388" t="s">
        <v>514</v>
      </c>
      <c r="BR388">
        <v>0</v>
      </c>
      <c r="BS388">
        <v>6</v>
      </c>
      <c r="BU388">
        <v>691774</v>
      </c>
    </row>
    <row r="389" spans="1:73" x14ac:dyDescent="0.3">
      <c r="A389" t="s">
        <v>2247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15000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 s="1">
        <v>15000</v>
      </c>
      <c r="BD389" t="s">
        <v>74</v>
      </c>
      <c r="BE389" t="s">
        <v>2248</v>
      </c>
      <c r="BF389" t="s">
        <v>2249</v>
      </c>
      <c r="BH389" t="s">
        <v>77</v>
      </c>
      <c r="BI389" t="s">
        <v>204</v>
      </c>
      <c r="BJ389" t="s">
        <v>79</v>
      </c>
      <c r="BM389">
        <v>0</v>
      </c>
      <c r="BN389">
        <v>1</v>
      </c>
      <c r="BO389">
        <v>1</v>
      </c>
      <c r="BP389" t="s">
        <v>80</v>
      </c>
      <c r="BR389">
        <v>0</v>
      </c>
      <c r="BS389">
        <v>6</v>
      </c>
      <c r="BU389">
        <v>15000</v>
      </c>
    </row>
    <row r="390" spans="1:73" x14ac:dyDescent="0.3">
      <c r="A390" t="s">
        <v>2253</v>
      </c>
      <c r="B390">
        <v>2</v>
      </c>
      <c r="C390">
        <v>540867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</v>
      </c>
      <c r="BC390" s="1">
        <v>540867</v>
      </c>
      <c r="BD390" t="s">
        <v>74</v>
      </c>
      <c r="BE390" t="s">
        <v>2254</v>
      </c>
      <c r="BF390" t="s">
        <v>2255</v>
      </c>
      <c r="BH390" t="s">
        <v>77</v>
      </c>
      <c r="BI390" t="s">
        <v>204</v>
      </c>
      <c r="BJ390" t="s">
        <v>79</v>
      </c>
      <c r="BM390">
        <v>0</v>
      </c>
      <c r="BN390">
        <v>1</v>
      </c>
      <c r="BO390">
        <v>1</v>
      </c>
      <c r="BP390" t="s">
        <v>80</v>
      </c>
      <c r="BR390">
        <v>0</v>
      </c>
      <c r="BS390">
        <v>6</v>
      </c>
      <c r="BU390">
        <v>540867</v>
      </c>
    </row>
    <row r="391" spans="1:73" x14ac:dyDescent="0.3">
      <c r="A391" t="s">
        <v>2256</v>
      </c>
      <c r="B391">
        <v>0</v>
      </c>
      <c r="C391">
        <v>0</v>
      </c>
      <c r="D391">
        <v>3</v>
      </c>
      <c r="E391">
        <v>161737</v>
      </c>
      <c r="F391">
        <v>0</v>
      </c>
      <c r="G391">
        <v>0</v>
      </c>
      <c r="H391">
        <v>10</v>
      </c>
      <c r="I391">
        <v>213474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135000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13</v>
      </c>
      <c r="BC391" s="1">
        <v>603474</v>
      </c>
      <c r="BD391" t="s">
        <v>74</v>
      </c>
      <c r="BE391" t="s">
        <v>2257</v>
      </c>
      <c r="BF391" t="s">
        <v>2258</v>
      </c>
      <c r="BH391" t="s">
        <v>77</v>
      </c>
      <c r="BI391" t="s">
        <v>88</v>
      </c>
      <c r="BJ391" t="s">
        <v>79</v>
      </c>
      <c r="BM391">
        <v>0</v>
      </c>
      <c r="BN391">
        <v>3</v>
      </c>
      <c r="BO391">
        <v>3</v>
      </c>
      <c r="BP391" t="s">
        <v>80</v>
      </c>
      <c r="BR391">
        <v>0</v>
      </c>
      <c r="BS391">
        <v>6</v>
      </c>
      <c r="BU391">
        <v>510211</v>
      </c>
    </row>
    <row r="392" spans="1:73" x14ac:dyDescent="0.3">
      <c r="A392" t="s">
        <v>2262</v>
      </c>
      <c r="B392">
        <v>0</v>
      </c>
      <c r="C392">
        <v>0</v>
      </c>
      <c r="D392">
        <v>15</v>
      </c>
      <c r="E392">
        <v>6229032</v>
      </c>
      <c r="F392">
        <v>0</v>
      </c>
      <c r="G392">
        <v>0</v>
      </c>
      <c r="H392">
        <v>17</v>
      </c>
      <c r="I392">
        <v>375702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60000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35</v>
      </c>
      <c r="BC392" s="1">
        <v>11413064</v>
      </c>
      <c r="BD392" t="s">
        <v>74</v>
      </c>
      <c r="BE392" t="s">
        <v>2263</v>
      </c>
      <c r="BF392" t="s">
        <v>2264</v>
      </c>
      <c r="BH392" t="s">
        <v>77</v>
      </c>
      <c r="BI392" t="s">
        <v>593</v>
      </c>
      <c r="BJ392" t="s">
        <v>79</v>
      </c>
      <c r="BM392">
        <v>0</v>
      </c>
      <c r="BN392">
        <v>3</v>
      </c>
      <c r="BO392">
        <v>3</v>
      </c>
      <c r="BP392" t="s">
        <v>80</v>
      </c>
      <c r="BR392">
        <v>0</v>
      </c>
      <c r="BS392">
        <v>5</v>
      </c>
      <c r="BU392">
        <v>6664734</v>
      </c>
    </row>
    <row r="393" spans="1:73" x14ac:dyDescent="0.3">
      <c r="A393" t="s">
        <v>2265</v>
      </c>
      <c r="B393">
        <v>1</v>
      </c>
      <c r="C393">
        <v>211377</v>
      </c>
      <c r="D393">
        <v>1</v>
      </c>
      <c r="E393">
        <v>272000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3</v>
      </c>
      <c r="BC393" s="1">
        <v>755377</v>
      </c>
      <c r="BD393" t="s">
        <v>74</v>
      </c>
      <c r="BE393" t="s">
        <v>2266</v>
      </c>
      <c r="BF393" t="s">
        <v>2267</v>
      </c>
      <c r="BH393" t="s">
        <v>136</v>
      </c>
      <c r="BI393" t="s">
        <v>439</v>
      </c>
      <c r="BJ393" t="s">
        <v>125</v>
      </c>
      <c r="BM393">
        <v>0</v>
      </c>
      <c r="BN393">
        <v>2</v>
      </c>
      <c r="BO393">
        <v>2</v>
      </c>
      <c r="BP393" t="s">
        <v>80</v>
      </c>
      <c r="BR393">
        <v>0</v>
      </c>
      <c r="BS393">
        <v>6</v>
      </c>
      <c r="BU393">
        <v>483377</v>
      </c>
    </row>
    <row r="394" spans="1:73" x14ac:dyDescent="0.3">
      <c r="A394" t="s">
        <v>2268</v>
      </c>
      <c r="B394">
        <v>0</v>
      </c>
      <c r="C394">
        <v>0</v>
      </c>
      <c r="D394">
        <v>1</v>
      </c>
      <c r="E394">
        <v>163636</v>
      </c>
      <c r="F394">
        <v>0</v>
      </c>
      <c r="G394">
        <v>0</v>
      </c>
      <c r="H394">
        <v>1</v>
      </c>
      <c r="I394">
        <v>28838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</v>
      </c>
      <c r="BC394" s="1">
        <v>192474</v>
      </c>
      <c r="BD394" t="s">
        <v>74</v>
      </c>
      <c r="BE394" t="s">
        <v>2269</v>
      </c>
      <c r="BF394" t="s">
        <v>2270</v>
      </c>
      <c r="BH394" t="s">
        <v>77</v>
      </c>
      <c r="BI394" t="s">
        <v>204</v>
      </c>
      <c r="BJ394" t="s">
        <v>79</v>
      </c>
      <c r="BM394">
        <v>0</v>
      </c>
      <c r="BN394">
        <v>2</v>
      </c>
      <c r="BO394">
        <v>2</v>
      </c>
      <c r="BP394" t="s">
        <v>80</v>
      </c>
      <c r="BR394">
        <v>0</v>
      </c>
      <c r="BS394">
        <v>6</v>
      </c>
      <c r="BU394">
        <v>192474</v>
      </c>
    </row>
    <row r="395" spans="1:73" x14ac:dyDescent="0.3">
      <c r="A395" t="s">
        <v>2271</v>
      </c>
      <c r="B395">
        <v>0</v>
      </c>
      <c r="C395">
        <v>0</v>
      </c>
      <c r="D395">
        <v>2</v>
      </c>
      <c r="E395">
        <v>530909</v>
      </c>
      <c r="F395">
        <v>0</v>
      </c>
      <c r="G395">
        <v>0</v>
      </c>
      <c r="H395">
        <v>1</v>
      </c>
      <c r="I395">
        <v>15000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6</v>
      </c>
      <c r="BC395" s="1">
        <v>1278216</v>
      </c>
      <c r="BD395" t="s">
        <v>74</v>
      </c>
      <c r="BE395" t="s">
        <v>2272</v>
      </c>
      <c r="BF395" t="s">
        <v>2273</v>
      </c>
      <c r="BH395" t="s">
        <v>175</v>
      </c>
      <c r="BI395" t="s">
        <v>646</v>
      </c>
      <c r="BJ395" t="s">
        <v>125</v>
      </c>
      <c r="BM395">
        <v>0</v>
      </c>
      <c r="BN395">
        <v>2</v>
      </c>
      <c r="BO395">
        <v>2</v>
      </c>
      <c r="BP395" t="s">
        <v>514</v>
      </c>
      <c r="BR395">
        <v>0</v>
      </c>
      <c r="BS395">
        <v>6</v>
      </c>
      <c r="BU395">
        <v>545909</v>
      </c>
    </row>
    <row r="396" spans="1:73" x14ac:dyDescent="0.3">
      <c r="A396" t="s">
        <v>2274</v>
      </c>
      <c r="B396">
        <v>0</v>
      </c>
      <c r="C396">
        <v>0</v>
      </c>
      <c r="D396">
        <v>4</v>
      </c>
      <c r="E396">
        <v>822727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</v>
      </c>
      <c r="BC396" s="1">
        <v>1395454</v>
      </c>
      <c r="BD396" t="s">
        <v>74</v>
      </c>
      <c r="BE396" t="s">
        <v>2275</v>
      </c>
      <c r="BF396" t="s">
        <v>2276</v>
      </c>
      <c r="BH396" t="s">
        <v>136</v>
      </c>
      <c r="BI396" t="s">
        <v>539</v>
      </c>
      <c r="BJ396" t="s">
        <v>125</v>
      </c>
      <c r="BM396">
        <v>0</v>
      </c>
      <c r="BN396">
        <v>1</v>
      </c>
      <c r="BO396">
        <v>1</v>
      </c>
      <c r="BP396" t="s">
        <v>514</v>
      </c>
      <c r="BR396">
        <v>0</v>
      </c>
      <c r="BS396">
        <v>6</v>
      </c>
      <c r="BU396">
        <v>822727</v>
      </c>
    </row>
    <row r="397" spans="1:73" x14ac:dyDescent="0.3">
      <c r="A397" t="s">
        <v>2277</v>
      </c>
      <c r="B397">
        <v>0</v>
      </c>
      <c r="C397">
        <v>194542</v>
      </c>
      <c r="D397">
        <v>1</v>
      </c>
      <c r="E397">
        <v>116365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</v>
      </c>
      <c r="BC397" s="1">
        <v>427272</v>
      </c>
      <c r="BD397" t="s">
        <v>74</v>
      </c>
      <c r="BE397" t="s">
        <v>2278</v>
      </c>
      <c r="BF397" t="s">
        <v>2279</v>
      </c>
      <c r="BH397" t="s">
        <v>77</v>
      </c>
      <c r="BI397" t="s">
        <v>78</v>
      </c>
      <c r="BJ397" t="s">
        <v>79</v>
      </c>
      <c r="BM397">
        <v>0</v>
      </c>
      <c r="BN397">
        <v>1</v>
      </c>
      <c r="BO397">
        <v>1</v>
      </c>
      <c r="BP397" t="s">
        <v>514</v>
      </c>
      <c r="BR397">
        <v>0</v>
      </c>
      <c r="BS397">
        <v>6</v>
      </c>
      <c r="BU397">
        <v>310907</v>
      </c>
    </row>
    <row r="398" spans="1:73" x14ac:dyDescent="0.3">
      <c r="A398" t="s">
        <v>2280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82993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</v>
      </c>
      <c r="BC398" s="1">
        <v>165986</v>
      </c>
      <c r="BD398" t="s">
        <v>74</v>
      </c>
      <c r="BE398" t="s">
        <v>2281</v>
      </c>
      <c r="BF398" t="s">
        <v>1380</v>
      </c>
      <c r="BH398" t="s">
        <v>77</v>
      </c>
      <c r="BI398" t="s">
        <v>593</v>
      </c>
      <c r="BJ398" t="s">
        <v>79</v>
      </c>
      <c r="BM398">
        <v>1</v>
      </c>
      <c r="BN398">
        <v>0</v>
      </c>
      <c r="BO398">
        <v>1</v>
      </c>
      <c r="BP398" t="s">
        <v>80</v>
      </c>
      <c r="BR398">
        <v>0</v>
      </c>
      <c r="BS398">
        <v>0</v>
      </c>
      <c r="BU398">
        <v>82993</v>
      </c>
    </row>
    <row r="399" spans="1:73" x14ac:dyDescent="0.3">
      <c r="A399" t="s">
        <v>2282</v>
      </c>
      <c r="B399">
        <v>0</v>
      </c>
      <c r="C399">
        <v>0</v>
      </c>
      <c r="D399">
        <v>1</v>
      </c>
      <c r="E399">
        <v>20680</v>
      </c>
      <c r="F399">
        <v>0</v>
      </c>
      <c r="G399">
        <v>0</v>
      </c>
      <c r="H399">
        <v>2</v>
      </c>
      <c r="I399">
        <v>41360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2</v>
      </c>
      <c r="BC399" s="1">
        <v>41360</v>
      </c>
      <c r="BD399" t="s">
        <v>74</v>
      </c>
      <c r="BE399" t="s">
        <v>2283</v>
      </c>
      <c r="BF399" t="s">
        <v>2284</v>
      </c>
      <c r="BH399" t="s">
        <v>77</v>
      </c>
      <c r="BI399" t="s">
        <v>228</v>
      </c>
      <c r="BJ399" t="s">
        <v>79</v>
      </c>
      <c r="BM399">
        <v>0</v>
      </c>
      <c r="BN399">
        <v>2</v>
      </c>
      <c r="BO399">
        <v>2</v>
      </c>
      <c r="BP399" t="s">
        <v>80</v>
      </c>
      <c r="BR399">
        <v>0</v>
      </c>
      <c r="BS399">
        <v>6</v>
      </c>
      <c r="BU399">
        <v>62040</v>
      </c>
    </row>
    <row r="400" spans="1:73" x14ac:dyDescent="0.3">
      <c r="A400" t="s">
        <v>2288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57208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</v>
      </c>
      <c r="BC400" s="1">
        <v>207208</v>
      </c>
      <c r="BD400" t="s">
        <v>74</v>
      </c>
      <c r="BE400" t="s">
        <v>2289</v>
      </c>
      <c r="BF400" t="s">
        <v>2290</v>
      </c>
      <c r="BH400" t="s">
        <v>77</v>
      </c>
      <c r="BI400" t="s">
        <v>204</v>
      </c>
      <c r="BJ400" t="s">
        <v>79</v>
      </c>
      <c r="BM400">
        <v>1</v>
      </c>
      <c r="BN400">
        <v>0</v>
      </c>
      <c r="BO400">
        <v>1</v>
      </c>
      <c r="BP400" t="s">
        <v>80</v>
      </c>
      <c r="BR400">
        <v>0</v>
      </c>
      <c r="BS400">
        <v>6</v>
      </c>
      <c r="BU400">
        <v>57208</v>
      </c>
    </row>
    <row r="401" spans="1:73" x14ac:dyDescent="0.3">
      <c r="A401" t="s">
        <v>2294</v>
      </c>
      <c r="B401">
        <v>0</v>
      </c>
      <c r="C401">
        <v>0</v>
      </c>
      <c r="D401">
        <v>1</v>
      </c>
      <c r="E401">
        <v>700000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</v>
      </c>
      <c r="BC401" s="1">
        <v>1400000</v>
      </c>
      <c r="BD401" t="s">
        <v>74</v>
      </c>
      <c r="BE401" t="s">
        <v>2295</v>
      </c>
      <c r="BF401" t="s">
        <v>2296</v>
      </c>
      <c r="BH401" t="s">
        <v>77</v>
      </c>
      <c r="BI401" t="s">
        <v>78</v>
      </c>
      <c r="BJ401" t="s">
        <v>79</v>
      </c>
      <c r="BM401">
        <v>0</v>
      </c>
      <c r="BN401">
        <v>1</v>
      </c>
      <c r="BO401">
        <v>1</v>
      </c>
      <c r="BP401" t="s">
        <v>80</v>
      </c>
      <c r="BR401">
        <v>0</v>
      </c>
      <c r="BS401">
        <v>6</v>
      </c>
      <c r="BU401">
        <v>700000</v>
      </c>
    </row>
    <row r="402" spans="1:73" x14ac:dyDescent="0.3">
      <c r="A402" t="s">
        <v>2306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6</v>
      </c>
      <c r="I402">
        <v>120000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6</v>
      </c>
      <c r="BC402" s="1">
        <v>120000</v>
      </c>
      <c r="BD402" t="s">
        <v>74</v>
      </c>
      <c r="BE402" t="s">
        <v>2307</v>
      </c>
      <c r="BF402" t="s">
        <v>1242</v>
      </c>
      <c r="BH402" t="s">
        <v>77</v>
      </c>
      <c r="BI402" t="s">
        <v>88</v>
      </c>
      <c r="BJ402" t="s">
        <v>79</v>
      </c>
      <c r="BM402">
        <v>0</v>
      </c>
      <c r="BN402">
        <v>1</v>
      </c>
      <c r="BO402">
        <v>1</v>
      </c>
      <c r="BP402" t="s">
        <v>80</v>
      </c>
      <c r="BR402">
        <v>0</v>
      </c>
      <c r="BS402">
        <v>6</v>
      </c>
      <c r="BU402">
        <v>120000</v>
      </c>
    </row>
    <row r="403" spans="1:73" x14ac:dyDescent="0.3">
      <c r="A403" t="s">
        <v>2308</v>
      </c>
      <c r="B403">
        <v>0</v>
      </c>
      <c r="C403">
        <v>0</v>
      </c>
      <c r="D403">
        <v>1</v>
      </c>
      <c r="E403">
        <v>1000000</v>
      </c>
      <c r="F403">
        <v>0</v>
      </c>
      <c r="G403">
        <v>0</v>
      </c>
      <c r="H403">
        <v>1</v>
      </c>
      <c r="I403">
        <v>20000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</v>
      </c>
      <c r="BC403" s="1">
        <v>1020000</v>
      </c>
      <c r="BD403" t="s">
        <v>74</v>
      </c>
      <c r="BE403" t="s">
        <v>2309</v>
      </c>
      <c r="BF403" t="s">
        <v>2310</v>
      </c>
      <c r="BH403" t="s">
        <v>77</v>
      </c>
      <c r="BI403" t="s">
        <v>204</v>
      </c>
      <c r="BJ403" t="s">
        <v>79</v>
      </c>
      <c r="BM403">
        <v>0</v>
      </c>
      <c r="BN403">
        <v>2</v>
      </c>
      <c r="BO403">
        <v>2</v>
      </c>
      <c r="BP403" t="s">
        <v>80</v>
      </c>
      <c r="BR403">
        <v>0</v>
      </c>
      <c r="BS403">
        <v>6</v>
      </c>
      <c r="BU403">
        <v>1020000</v>
      </c>
    </row>
    <row r="404" spans="1:73" x14ac:dyDescent="0.3">
      <c r="A404" t="s">
        <v>2314</v>
      </c>
      <c r="B404">
        <v>0</v>
      </c>
      <c r="C404">
        <v>0</v>
      </c>
      <c r="D404">
        <v>5</v>
      </c>
      <c r="E404">
        <v>967672</v>
      </c>
      <c r="F404">
        <v>0</v>
      </c>
      <c r="G404">
        <v>0</v>
      </c>
      <c r="H404">
        <v>8</v>
      </c>
      <c r="I404">
        <v>221058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10</v>
      </c>
      <c r="BC404" s="1">
        <v>1935344</v>
      </c>
      <c r="BD404" t="s">
        <v>74</v>
      </c>
      <c r="BE404" t="s">
        <v>2315</v>
      </c>
      <c r="BF404" t="s">
        <v>2316</v>
      </c>
      <c r="BH404" t="s">
        <v>77</v>
      </c>
      <c r="BI404" t="s">
        <v>84</v>
      </c>
      <c r="BJ404" t="s">
        <v>79</v>
      </c>
      <c r="BM404">
        <v>0</v>
      </c>
      <c r="BN404">
        <v>2</v>
      </c>
      <c r="BO404">
        <v>2</v>
      </c>
      <c r="BP404" t="s">
        <v>80</v>
      </c>
      <c r="BR404">
        <v>0</v>
      </c>
      <c r="BS404">
        <v>6</v>
      </c>
      <c r="BU404">
        <v>1188730</v>
      </c>
    </row>
    <row r="405" spans="1:73" x14ac:dyDescent="0.3">
      <c r="A405" t="s">
        <v>2317</v>
      </c>
      <c r="B405">
        <v>1</v>
      </c>
      <c r="C405">
        <v>459272</v>
      </c>
      <c r="D405">
        <v>1</v>
      </c>
      <c r="E405">
        <v>190909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3</v>
      </c>
      <c r="BC405" s="1">
        <v>841090</v>
      </c>
      <c r="BD405" t="s">
        <v>74</v>
      </c>
      <c r="BE405" t="s">
        <v>2318</v>
      </c>
      <c r="BF405" t="s">
        <v>2319</v>
      </c>
      <c r="BH405" t="s">
        <v>1464</v>
      </c>
      <c r="BI405" t="s">
        <v>2320</v>
      </c>
      <c r="BJ405" t="s">
        <v>125</v>
      </c>
      <c r="BM405">
        <v>0</v>
      </c>
      <c r="BN405">
        <v>2</v>
      </c>
      <c r="BO405">
        <v>2</v>
      </c>
      <c r="BP405" t="s">
        <v>80</v>
      </c>
      <c r="BR405">
        <v>0</v>
      </c>
      <c r="BS405">
        <v>6</v>
      </c>
      <c r="BU405">
        <v>650181</v>
      </c>
    </row>
    <row r="406" spans="1:73" x14ac:dyDescent="0.3">
      <c r="A406" t="s">
        <v>2321</v>
      </c>
      <c r="B406">
        <v>0</v>
      </c>
      <c r="C406">
        <v>0</v>
      </c>
      <c r="D406">
        <v>1</v>
      </c>
      <c r="E406">
        <v>209091</v>
      </c>
      <c r="F406">
        <v>0</v>
      </c>
      <c r="G406">
        <v>0</v>
      </c>
      <c r="H406">
        <v>2</v>
      </c>
      <c r="I406">
        <v>50000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</v>
      </c>
      <c r="BC406" s="1">
        <v>468182</v>
      </c>
      <c r="BD406" t="s">
        <v>74</v>
      </c>
      <c r="BE406" t="s">
        <v>2322</v>
      </c>
      <c r="BF406" t="s">
        <v>2323</v>
      </c>
      <c r="BH406" t="s">
        <v>77</v>
      </c>
      <c r="BI406" t="s">
        <v>593</v>
      </c>
      <c r="BJ406" t="s">
        <v>79</v>
      </c>
      <c r="BM406">
        <v>0</v>
      </c>
      <c r="BN406">
        <v>2</v>
      </c>
      <c r="BO406">
        <v>2</v>
      </c>
      <c r="BP406" t="s">
        <v>80</v>
      </c>
      <c r="BR406">
        <v>0</v>
      </c>
      <c r="BS406">
        <v>6</v>
      </c>
      <c r="BU406">
        <v>259091</v>
      </c>
    </row>
    <row r="407" spans="1:73" x14ac:dyDescent="0.3">
      <c r="A407" t="s">
        <v>2324</v>
      </c>
      <c r="B407">
        <v>0</v>
      </c>
      <c r="C407">
        <v>49636</v>
      </c>
      <c r="D407">
        <v>0</v>
      </c>
      <c r="E407">
        <v>0</v>
      </c>
      <c r="F407">
        <v>0</v>
      </c>
      <c r="G407">
        <v>0</v>
      </c>
      <c r="H407">
        <v>4</v>
      </c>
      <c r="I407">
        <v>110296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60000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45682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11526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10</v>
      </c>
      <c r="BC407" s="1">
        <v>689815</v>
      </c>
      <c r="BD407" t="s">
        <v>74</v>
      </c>
      <c r="BE407" t="s">
        <v>2325</v>
      </c>
      <c r="BF407" t="s">
        <v>2326</v>
      </c>
      <c r="BH407" t="s">
        <v>77</v>
      </c>
      <c r="BI407" t="s">
        <v>92</v>
      </c>
      <c r="BJ407" t="s">
        <v>79</v>
      </c>
      <c r="BM407">
        <v>2</v>
      </c>
      <c r="BN407">
        <v>2</v>
      </c>
      <c r="BO407">
        <v>4</v>
      </c>
      <c r="BP407" t="s">
        <v>80</v>
      </c>
      <c r="BR407">
        <v>0</v>
      </c>
      <c r="BS407">
        <v>6</v>
      </c>
      <c r="BU407">
        <v>277140</v>
      </c>
    </row>
    <row r="408" spans="1:73" x14ac:dyDescent="0.3">
      <c r="A408" t="s">
        <v>2327</v>
      </c>
      <c r="B408">
        <v>1</v>
      </c>
      <c r="C408">
        <v>81818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 s="1">
        <v>81818</v>
      </c>
      <c r="BD408" t="s">
        <v>74</v>
      </c>
      <c r="BE408" t="s">
        <v>2328</v>
      </c>
      <c r="BF408" t="s">
        <v>2329</v>
      </c>
      <c r="BH408" t="s">
        <v>97</v>
      </c>
      <c r="BI408" t="s">
        <v>1006</v>
      </c>
      <c r="BJ408" t="s">
        <v>79</v>
      </c>
      <c r="BM408">
        <v>0</v>
      </c>
      <c r="BN408">
        <v>1</v>
      </c>
      <c r="BO408">
        <v>1</v>
      </c>
      <c r="BP408" t="s">
        <v>80</v>
      </c>
      <c r="BR408">
        <v>0</v>
      </c>
      <c r="BS408">
        <v>6</v>
      </c>
      <c r="BU408">
        <v>81818</v>
      </c>
    </row>
    <row r="409" spans="1:73" x14ac:dyDescent="0.3">
      <c r="A409" t="s">
        <v>2330</v>
      </c>
      <c r="B409">
        <v>0</v>
      </c>
      <c r="C409">
        <v>0</v>
      </c>
      <c r="D409">
        <v>6</v>
      </c>
      <c r="E409">
        <v>670000</v>
      </c>
      <c r="F409">
        <v>0</v>
      </c>
      <c r="G409">
        <v>0</v>
      </c>
      <c r="H409">
        <v>1</v>
      </c>
      <c r="I409">
        <v>20000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7</v>
      </c>
      <c r="BC409" s="1">
        <v>690000</v>
      </c>
      <c r="BD409" t="s">
        <v>74</v>
      </c>
      <c r="BE409" t="s">
        <v>2331</v>
      </c>
      <c r="BF409" t="s">
        <v>2332</v>
      </c>
      <c r="BH409" t="s">
        <v>77</v>
      </c>
      <c r="BI409" t="s">
        <v>524</v>
      </c>
      <c r="BJ409" t="s">
        <v>79</v>
      </c>
      <c r="BM409">
        <v>0</v>
      </c>
      <c r="BN409">
        <v>2</v>
      </c>
      <c r="BO409">
        <v>2</v>
      </c>
      <c r="BP409" t="s">
        <v>514</v>
      </c>
      <c r="BR409">
        <v>0</v>
      </c>
      <c r="BS409">
        <v>6</v>
      </c>
      <c r="BU409">
        <v>690000</v>
      </c>
    </row>
    <row r="410" spans="1:73" x14ac:dyDescent="0.3">
      <c r="A410" t="s">
        <v>2333</v>
      </c>
      <c r="B410">
        <v>0</v>
      </c>
      <c r="C410">
        <v>0</v>
      </c>
      <c r="D410">
        <v>2</v>
      </c>
      <c r="E410">
        <v>975454</v>
      </c>
      <c r="F410">
        <v>0</v>
      </c>
      <c r="G410">
        <v>0</v>
      </c>
      <c r="H410">
        <v>2</v>
      </c>
      <c r="I410">
        <v>40000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84</v>
      </c>
      <c r="BC410" s="1">
        <v>1850933</v>
      </c>
      <c r="BD410" t="s">
        <v>74</v>
      </c>
      <c r="BE410" t="s">
        <v>2334</v>
      </c>
      <c r="BF410" t="s">
        <v>513</v>
      </c>
      <c r="BH410" t="s">
        <v>77</v>
      </c>
      <c r="BI410" t="s">
        <v>204</v>
      </c>
      <c r="BJ410" t="s">
        <v>79</v>
      </c>
      <c r="BM410">
        <v>0</v>
      </c>
      <c r="BN410">
        <v>2</v>
      </c>
      <c r="BO410">
        <v>2</v>
      </c>
      <c r="BP410" t="s">
        <v>514</v>
      </c>
      <c r="BR410">
        <v>0</v>
      </c>
      <c r="BS410">
        <v>6</v>
      </c>
      <c r="BU410">
        <v>1015454</v>
      </c>
    </row>
    <row r="411" spans="1:73" x14ac:dyDescent="0.3">
      <c r="A411" t="s">
        <v>2335</v>
      </c>
      <c r="B411">
        <v>0</v>
      </c>
      <c r="C411">
        <v>0</v>
      </c>
      <c r="D411">
        <v>7</v>
      </c>
      <c r="E411">
        <v>4815000</v>
      </c>
      <c r="F411">
        <v>0</v>
      </c>
      <c r="G411">
        <v>0</v>
      </c>
      <c r="H411">
        <v>10</v>
      </c>
      <c r="I411">
        <v>150000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</v>
      </c>
      <c r="Z411">
        <v>536186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11526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22</v>
      </c>
      <c r="BC411" s="1">
        <v>10668216</v>
      </c>
      <c r="BD411" t="s">
        <v>74</v>
      </c>
      <c r="BE411" t="s">
        <v>2336</v>
      </c>
      <c r="BF411" t="s">
        <v>2337</v>
      </c>
      <c r="BH411" t="s">
        <v>77</v>
      </c>
      <c r="BI411" t="s">
        <v>92</v>
      </c>
      <c r="BJ411" t="s">
        <v>79</v>
      </c>
      <c r="BM411">
        <v>2</v>
      </c>
      <c r="BN411">
        <v>2</v>
      </c>
      <c r="BO411">
        <v>4</v>
      </c>
      <c r="BP411" t="s">
        <v>80</v>
      </c>
      <c r="BR411">
        <v>0</v>
      </c>
      <c r="BS411">
        <v>5</v>
      </c>
      <c r="BU411">
        <v>5512712</v>
      </c>
    </row>
    <row r="412" spans="1:73" x14ac:dyDescent="0.3">
      <c r="A412" t="s">
        <v>2341</v>
      </c>
      <c r="B412">
        <v>0</v>
      </c>
      <c r="C412">
        <v>0</v>
      </c>
      <c r="D412">
        <v>1</v>
      </c>
      <c r="E412">
        <v>500000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 s="1">
        <v>1000000</v>
      </c>
      <c r="BD412" t="s">
        <v>74</v>
      </c>
      <c r="BE412" t="s">
        <v>2342</v>
      </c>
      <c r="BF412" t="s">
        <v>2343</v>
      </c>
      <c r="BH412" t="s">
        <v>77</v>
      </c>
      <c r="BI412" t="s">
        <v>92</v>
      </c>
      <c r="BJ412" t="s">
        <v>79</v>
      </c>
      <c r="BM412">
        <v>0</v>
      </c>
      <c r="BN412">
        <v>1</v>
      </c>
      <c r="BO412">
        <v>1</v>
      </c>
      <c r="BP412" t="s">
        <v>80</v>
      </c>
      <c r="BR412">
        <v>0</v>
      </c>
      <c r="BS412">
        <v>6</v>
      </c>
      <c r="BU412">
        <v>500000</v>
      </c>
    </row>
    <row r="413" spans="1:73" x14ac:dyDescent="0.3">
      <c r="A413" t="s">
        <v>2344</v>
      </c>
      <c r="B413">
        <v>0</v>
      </c>
      <c r="C413">
        <v>0</v>
      </c>
      <c r="D413">
        <v>1</v>
      </c>
      <c r="E413">
        <v>540000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3</v>
      </c>
      <c r="BC413" s="1">
        <v>1580000</v>
      </c>
      <c r="BD413" t="s">
        <v>74</v>
      </c>
      <c r="BE413" t="s">
        <v>2345</v>
      </c>
      <c r="BF413" t="s">
        <v>2346</v>
      </c>
      <c r="BH413" t="s">
        <v>136</v>
      </c>
      <c r="BI413" t="s">
        <v>137</v>
      </c>
      <c r="BJ413" t="s">
        <v>125</v>
      </c>
      <c r="BM413">
        <v>0</v>
      </c>
      <c r="BN413">
        <v>1</v>
      </c>
      <c r="BO413">
        <v>1</v>
      </c>
      <c r="BP413" t="s">
        <v>514</v>
      </c>
      <c r="BR413">
        <v>0</v>
      </c>
      <c r="BS413">
        <v>6</v>
      </c>
      <c r="BU413">
        <v>540000</v>
      </c>
    </row>
    <row r="414" spans="1:73" x14ac:dyDescent="0.3">
      <c r="A414" t="s">
        <v>2347</v>
      </c>
      <c r="B414">
        <v>1</v>
      </c>
      <c r="C414">
        <v>146821</v>
      </c>
      <c r="D414">
        <v>1</v>
      </c>
      <c r="E414">
        <v>170000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3</v>
      </c>
      <c r="BC414" s="1">
        <v>486821</v>
      </c>
      <c r="BD414" t="s">
        <v>74</v>
      </c>
      <c r="BE414" t="s">
        <v>2348</v>
      </c>
      <c r="BF414" t="s">
        <v>2349</v>
      </c>
      <c r="BH414" t="s">
        <v>77</v>
      </c>
      <c r="BI414" t="s">
        <v>228</v>
      </c>
      <c r="BJ414" t="s">
        <v>79</v>
      </c>
      <c r="BM414">
        <v>0</v>
      </c>
      <c r="BN414">
        <v>2</v>
      </c>
      <c r="BO414">
        <v>2</v>
      </c>
      <c r="BP414" t="s">
        <v>80</v>
      </c>
      <c r="BR414">
        <v>0</v>
      </c>
      <c r="BS414">
        <v>6</v>
      </c>
      <c r="BU414">
        <v>316821</v>
      </c>
    </row>
    <row r="415" spans="1:73" x14ac:dyDescent="0.3">
      <c r="A415" t="s">
        <v>2353</v>
      </c>
      <c r="B415">
        <v>0</v>
      </c>
      <c r="C415">
        <v>0</v>
      </c>
      <c r="D415">
        <v>3</v>
      </c>
      <c r="E415">
        <v>399890</v>
      </c>
      <c r="F415">
        <v>0</v>
      </c>
      <c r="G415">
        <v>0</v>
      </c>
      <c r="H415">
        <v>6</v>
      </c>
      <c r="I415">
        <v>139780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8</v>
      </c>
      <c r="BC415" s="1">
        <v>839780</v>
      </c>
      <c r="BD415" t="s">
        <v>74</v>
      </c>
      <c r="BE415" t="s">
        <v>2354</v>
      </c>
      <c r="BF415" t="s">
        <v>2355</v>
      </c>
      <c r="BH415" t="s">
        <v>77</v>
      </c>
      <c r="BI415" t="s">
        <v>78</v>
      </c>
      <c r="BJ415" t="s">
        <v>79</v>
      </c>
      <c r="BM415">
        <v>0</v>
      </c>
      <c r="BN415">
        <v>2</v>
      </c>
      <c r="BO415">
        <v>2</v>
      </c>
      <c r="BP415" t="s">
        <v>80</v>
      </c>
      <c r="BR415">
        <v>0</v>
      </c>
      <c r="BS415">
        <v>6</v>
      </c>
      <c r="BU415">
        <v>539670</v>
      </c>
    </row>
    <row r="416" spans="1:73" x14ac:dyDescent="0.3">
      <c r="A416" t="s">
        <v>2356</v>
      </c>
      <c r="B416">
        <v>0</v>
      </c>
      <c r="C416">
        <v>0</v>
      </c>
      <c r="D416">
        <v>3</v>
      </c>
      <c r="E416">
        <v>475000</v>
      </c>
      <c r="F416">
        <v>0</v>
      </c>
      <c r="G416">
        <v>0</v>
      </c>
      <c r="H416">
        <v>11</v>
      </c>
      <c r="I416">
        <v>303261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14</v>
      </c>
      <c r="BC416" s="1">
        <v>778261</v>
      </c>
      <c r="BD416" t="s">
        <v>74</v>
      </c>
      <c r="BE416" t="s">
        <v>2357</v>
      </c>
      <c r="BF416" t="s">
        <v>2358</v>
      </c>
      <c r="BH416" t="s">
        <v>77</v>
      </c>
      <c r="BI416" t="s">
        <v>524</v>
      </c>
      <c r="BJ416" t="s">
        <v>79</v>
      </c>
      <c r="BM416">
        <v>0</v>
      </c>
      <c r="BN416">
        <v>2</v>
      </c>
      <c r="BO416">
        <v>2</v>
      </c>
      <c r="BP416" t="s">
        <v>514</v>
      </c>
      <c r="BR416">
        <v>0</v>
      </c>
      <c r="BS416">
        <v>6</v>
      </c>
      <c r="BU416">
        <v>778261</v>
      </c>
    </row>
    <row r="417" spans="1:73" x14ac:dyDescent="0.3">
      <c r="A417" t="s">
        <v>2359</v>
      </c>
      <c r="B417">
        <v>0</v>
      </c>
      <c r="C417">
        <v>0</v>
      </c>
      <c r="D417">
        <v>1</v>
      </c>
      <c r="E417">
        <v>20000</v>
      </c>
      <c r="F417">
        <v>0</v>
      </c>
      <c r="G417">
        <v>0</v>
      </c>
      <c r="H417">
        <v>2</v>
      </c>
      <c r="I417">
        <v>40000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</v>
      </c>
      <c r="BC417" s="1">
        <v>40000</v>
      </c>
      <c r="BD417" t="s">
        <v>74</v>
      </c>
      <c r="BE417" t="s">
        <v>2360</v>
      </c>
      <c r="BF417" t="s">
        <v>2361</v>
      </c>
      <c r="BH417" t="s">
        <v>77</v>
      </c>
      <c r="BI417" t="s">
        <v>78</v>
      </c>
      <c r="BJ417" t="s">
        <v>79</v>
      </c>
      <c r="BM417">
        <v>0</v>
      </c>
      <c r="BN417">
        <v>2</v>
      </c>
      <c r="BO417">
        <v>2</v>
      </c>
      <c r="BP417" t="s">
        <v>80</v>
      </c>
      <c r="BR417">
        <v>0</v>
      </c>
      <c r="BS417">
        <v>6</v>
      </c>
      <c r="BU417">
        <v>60000</v>
      </c>
    </row>
    <row r="418" spans="1:73" x14ac:dyDescent="0.3">
      <c r="A418" t="s">
        <v>2365</v>
      </c>
      <c r="B418">
        <v>0</v>
      </c>
      <c r="C418">
        <v>0</v>
      </c>
      <c r="D418">
        <v>2</v>
      </c>
      <c r="E418">
        <v>260000</v>
      </c>
      <c r="F418">
        <v>0</v>
      </c>
      <c r="G418">
        <v>0</v>
      </c>
      <c r="H418">
        <v>3</v>
      </c>
      <c r="I418">
        <v>60000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6</v>
      </c>
      <c r="BC418" s="1">
        <v>567272</v>
      </c>
      <c r="BD418" t="s">
        <v>74</v>
      </c>
      <c r="BE418" t="s">
        <v>2366</v>
      </c>
      <c r="BF418" t="s">
        <v>2367</v>
      </c>
      <c r="BH418" t="s">
        <v>77</v>
      </c>
      <c r="BI418" t="s">
        <v>204</v>
      </c>
      <c r="BJ418" t="s">
        <v>79</v>
      </c>
      <c r="BM418">
        <v>0</v>
      </c>
      <c r="BN418">
        <v>2</v>
      </c>
      <c r="BO418">
        <v>2</v>
      </c>
      <c r="BP418" t="s">
        <v>80</v>
      </c>
      <c r="BR418">
        <v>0</v>
      </c>
      <c r="BS418">
        <v>6</v>
      </c>
      <c r="BU418">
        <v>320000</v>
      </c>
    </row>
    <row r="419" spans="1:73" x14ac:dyDescent="0.3">
      <c r="A419" t="s">
        <v>2375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82993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</v>
      </c>
      <c r="BC419" s="1">
        <v>165986</v>
      </c>
      <c r="BD419" t="s">
        <v>74</v>
      </c>
      <c r="BE419" t="s">
        <v>2376</v>
      </c>
      <c r="BF419" t="s">
        <v>2377</v>
      </c>
      <c r="BH419" t="s">
        <v>77</v>
      </c>
      <c r="BI419" t="s">
        <v>92</v>
      </c>
      <c r="BJ419" t="s">
        <v>79</v>
      </c>
      <c r="BM419">
        <v>1</v>
      </c>
      <c r="BN419">
        <v>0</v>
      </c>
      <c r="BO419">
        <v>1</v>
      </c>
      <c r="BP419" t="s">
        <v>80</v>
      </c>
      <c r="BR419">
        <v>0</v>
      </c>
      <c r="BS419">
        <v>6</v>
      </c>
      <c r="BU419">
        <v>82993</v>
      </c>
    </row>
    <row r="420" spans="1:73" x14ac:dyDescent="0.3">
      <c r="A420" t="s">
        <v>2378</v>
      </c>
      <c r="B420">
        <v>0</v>
      </c>
      <c r="C420">
        <v>1054546</v>
      </c>
      <c r="D420">
        <v>7</v>
      </c>
      <c r="E420">
        <v>2077636</v>
      </c>
      <c r="F420">
        <v>0</v>
      </c>
      <c r="G420">
        <v>0</v>
      </c>
      <c r="H420">
        <v>6</v>
      </c>
      <c r="I420">
        <v>135454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152120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19792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20</v>
      </c>
      <c r="BC420" s="1">
        <v>5510315</v>
      </c>
      <c r="BD420" t="s">
        <v>74</v>
      </c>
      <c r="BE420" t="s">
        <v>2379</v>
      </c>
      <c r="BF420" t="s">
        <v>2380</v>
      </c>
      <c r="BH420" t="s">
        <v>77</v>
      </c>
      <c r="BI420" t="s">
        <v>92</v>
      </c>
      <c r="BJ420" t="s">
        <v>79</v>
      </c>
      <c r="BM420">
        <v>2</v>
      </c>
      <c r="BN420">
        <v>2</v>
      </c>
      <c r="BO420">
        <v>4</v>
      </c>
      <c r="BP420" t="s">
        <v>80</v>
      </c>
      <c r="BR420">
        <v>0</v>
      </c>
      <c r="BS420">
        <v>6</v>
      </c>
      <c r="BU420">
        <v>3439548</v>
      </c>
    </row>
    <row r="421" spans="1:73" x14ac:dyDescent="0.3">
      <c r="A421" t="s">
        <v>2386</v>
      </c>
      <c r="B421">
        <v>0</v>
      </c>
      <c r="C421">
        <v>0</v>
      </c>
      <c r="D421">
        <v>4</v>
      </c>
      <c r="E421">
        <v>1682254</v>
      </c>
      <c r="F421">
        <v>0</v>
      </c>
      <c r="G421">
        <v>0</v>
      </c>
      <c r="H421">
        <v>6</v>
      </c>
      <c r="I421">
        <v>164508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96439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10</v>
      </c>
      <c r="BC421" s="1">
        <v>3557386</v>
      </c>
      <c r="BD421" t="s">
        <v>74</v>
      </c>
      <c r="BE421" t="s">
        <v>2387</v>
      </c>
      <c r="BF421" t="s">
        <v>2388</v>
      </c>
      <c r="BH421" t="s">
        <v>77</v>
      </c>
      <c r="BI421" t="s">
        <v>129</v>
      </c>
      <c r="BJ421" t="s">
        <v>79</v>
      </c>
      <c r="BM421">
        <v>1</v>
      </c>
      <c r="BN421">
        <v>2</v>
      </c>
      <c r="BO421">
        <v>3</v>
      </c>
      <c r="BP421" t="s">
        <v>80</v>
      </c>
      <c r="BR421">
        <v>0</v>
      </c>
      <c r="BS421">
        <v>6</v>
      </c>
      <c r="BU421">
        <v>1943201</v>
      </c>
    </row>
    <row r="422" spans="1:73" x14ac:dyDescent="0.3">
      <c r="A422" t="s">
        <v>2389</v>
      </c>
      <c r="B422">
        <v>0</v>
      </c>
      <c r="C422">
        <v>0</v>
      </c>
      <c r="D422">
        <v>6</v>
      </c>
      <c r="E422">
        <v>1667259</v>
      </c>
      <c r="F422">
        <v>0</v>
      </c>
      <c r="G422">
        <v>0</v>
      </c>
      <c r="H422">
        <v>10</v>
      </c>
      <c r="I422">
        <v>354646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20</v>
      </c>
      <c r="BC422" s="1">
        <v>4416896</v>
      </c>
      <c r="BD422" t="s">
        <v>74</v>
      </c>
      <c r="BE422" t="s">
        <v>2390</v>
      </c>
      <c r="BF422" t="s">
        <v>2391</v>
      </c>
      <c r="BH422" t="s">
        <v>77</v>
      </c>
      <c r="BI422" t="s">
        <v>204</v>
      </c>
      <c r="BJ422" t="s">
        <v>79</v>
      </c>
      <c r="BM422">
        <v>0</v>
      </c>
      <c r="BN422">
        <v>2</v>
      </c>
      <c r="BO422">
        <v>2</v>
      </c>
      <c r="BP422" t="s">
        <v>514</v>
      </c>
      <c r="BR422">
        <v>0</v>
      </c>
      <c r="BS422">
        <v>6</v>
      </c>
      <c r="BU422">
        <v>2021905</v>
      </c>
    </row>
    <row r="423" spans="1:73" x14ac:dyDescent="0.3">
      <c r="A423" t="s">
        <v>2392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6</v>
      </c>
      <c r="BC423" s="1">
        <v>25002</v>
      </c>
      <c r="BD423" t="s">
        <v>74</v>
      </c>
      <c r="BE423" t="s">
        <v>2393</v>
      </c>
      <c r="BF423" t="s">
        <v>2394</v>
      </c>
      <c r="BH423" t="s">
        <v>97</v>
      </c>
      <c r="BI423" t="s">
        <v>103</v>
      </c>
      <c r="BJ423" t="s">
        <v>79</v>
      </c>
      <c r="BM423">
        <v>0</v>
      </c>
      <c r="BN423">
        <v>0</v>
      </c>
      <c r="BO423">
        <v>0</v>
      </c>
      <c r="BP423" t="s">
        <v>514</v>
      </c>
      <c r="BR423">
        <v>0</v>
      </c>
      <c r="BS423">
        <v>0</v>
      </c>
      <c r="BU423">
        <v>0</v>
      </c>
    </row>
    <row r="424" spans="1:73" x14ac:dyDescent="0.3">
      <c r="A424" t="s">
        <v>2404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83332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</v>
      </c>
      <c r="BC424" s="1">
        <v>83332</v>
      </c>
      <c r="BD424" t="s">
        <v>74</v>
      </c>
      <c r="BE424" t="s">
        <v>2405</v>
      </c>
      <c r="BF424" t="s">
        <v>2406</v>
      </c>
      <c r="BH424" t="s">
        <v>77</v>
      </c>
      <c r="BI424" t="s">
        <v>281</v>
      </c>
      <c r="BJ424" t="s">
        <v>79</v>
      </c>
      <c r="BM424">
        <v>1</v>
      </c>
      <c r="BN424">
        <v>0</v>
      </c>
      <c r="BO424">
        <v>1</v>
      </c>
      <c r="BP424" t="s">
        <v>80</v>
      </c>
      <c r="BR424">
        <v>0</v>
      </c>
      <c r="BS424">
        <v>6</v>
      </c>
      <c r="BU424">
        <v>83332</v>
      </c>
    </row>
    <row r="425" spans="1:73" x14ac:dyDescent="0.3">
      <c r="A425" t="s">
        <v>2407</v>
      </c>
      <c r="B425">
        <v>2</v>
      </c>
      <c r="C425">
        <v>1071963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 s="1">
        <v>1071963</v>
      </c>
      <c r="BD425" t="s">
        <v>74</v>
      </c>
      <c r="BE425" t="s">
        <v>2408</v>
      </c>
      <c r="BF425" t="s">
        <v>2409</v>
      </c>
      <c r="BH425" t="s">
        <v>77</v>
      </c>
      <c r="BI425" t="s">
        <v>593</v>
      </c>
      <c r="BJ425" t="s">
        <v>79</v>
      </c>
      <c r="BM425">
        <v>0</v>
      </c>
      <c r="BN425">
        <v>1</v>
      </c>
      <c r="BO425">
        <v>1</v>
      </c>
      <c r="BP425" t="s">
        <v>80</v>
      </c>
      <c r="BR425">
        <v>0</v>
      </c>
      <c r="BS425">
        <v>6</v>
      </c>
      <c r="BU425">
        <v>1071963</v>
      </c>
    </row>
    <row r="426" spans="1:73" x14ac:dyDescent="0.3">
      <c r="A426" t="s">
        <v>2410</v>
      </c>
      <c r="B426">
        <v>0</v>
      </c>
      <c r="C426">
        <v>0</v>
      </c>
      <c r="D426">
        <v>1</v>
      </c>
      <c r="E426">
        <v>260000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82000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20000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</v>
      </c>
      <c r="BC426" s="1">
        <v>362000</v>
      </c>
      <c r="BD426" t="s">
        <v>74</v>
      </c>
      <c r="BE426" t="s">
        <v>2411</v>
      </c>
      <c r="BF426" t="s">
        <v>2412</v>
      </c>
      <c r="BH426" t="s">
        <v>77</v>
      </c>
      <c r="BI426" t="s">
        <v>204</v>
      </c>
      <c r="BJ426" t="s">
        <v>79</v>
      </c>
      <c r="BM426">
        <v>1</v>
      </c>
      <c r="BN426">
        <v>2</v>
      </c>
      <c r="BO426">
        <v>3</v>
      </c>
      <c r="BP426" t="s">
        <v>80</v>
      </c>
      <c r="BR426">
        <v>0</v>
      </c>
      <c r="BS426">
        <v>6</v>
      </c>
      <c r="BU426">
        <v>362000</v>
      </c>
    </row>
    <row r="427" spans="1:73" x14ac:dyDescent="0.3">
      <c r="A427" t="s">
        <v>2413</v>
      </c>
      <c r="B427">
        <v>0</v>
      </c>
      <c r="C427">
        <v>0</v>
      </c>
      <c r="D427">
        <v>1</v>
      </c>
      <c r="E427">
        <v>250000</v>
      </c>
      <c r="F427">
        <v>0</v>
      </c>
      <c r="G427">
        <v>0</v>
      </c>
      <c r="H427">
        <v>1</v>
      </c>
      <c r="I427">
        <v>23319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47916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3</v>
      </c>
      <c r="BC427" s="1">
        <v>321235</v>
      </c>
      <c r="BD427" t="s">
        <v>74</v>
      </c>
      <c r="BE427" t="s">
        <v>2414</v>
      </c>
      <c r="BF427" t="s">
        <v>2415</v>
      </c>
      <c r="BH427" t="s">
        <v>77</v>
      </c>
      <c r="BI427" t="s">
        <v>593</v>
      </c>
      <c r="BJ427" t="s">
        <v>79</v>
      </c>
      <c r="BM427">
        <v>1</v>
      </c>
      <c r="BN427">
        <v>2</v>
      </c>
      <c r="BO427">
        <v>3</v>
      </c>
      <c r="BP427" t="s">
        <v>514</v>
      </c>
      <c r="BR427">
        <v>0</v>
      </c>
      <c r="BS427">
        <v>6</v>
      </c>
      <c r="BU427">
        <v>321235</v>
      </c>
    </row>
    <row r="428" spans="1:73" x14ac:dyDescent="0.3">
      <c r="A428" t="s">
        <v>2416</v>
      </c>
      <c r="B428">
        <v>0</v>
      </c>
      <c r="C428">
        <v>0</v>
      </c>
      <c r="D428">
        <v>1</v>
      </c>
      <c r="E428">
        <v>411428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5</v>
      </c>
      <c r="BC428" s="1">
        <v>1269089</v>
      </c>
      <c r="BD428" t="s">
        <v>74</v>
      </c>
      <c r="BE428" t="s">
        <v>2417</v>
      </c>
      <c r="BF428" t="s">
        <v>2418</v>
      </c>
      <c r="BH428" t="s">
        <v>77</v>
      </c>
      <c r="BI428" t="s">
        <v>281</v>
      </c>
      <c r="BJ428" t="s">
        <v>79</v>
      </c>
      <c r="BM428">
        <v>0</v>
      </c>
      <c r="BN428">
        <v>1</v>
      </c>
      <c r="BO428">
        <v>1</v>
      </c>
      <c r="BP428" t="s">
        <v>80</v>
      </c>
      <c r="BR428">
        <v>0</v>
      </c>
      <c r="BS428">
        <v>6</v>
      </c>
      <c r="BU428">
        <v>411428</v>
      </c>
    </row>
    <row r="429" spans="1:73" x14ac:dyDescent="0.3">
      <c r="A429" t="s">
        <v>2421</v>
      </c>
      <c r="B429">
        <v>1</v>
      </c>
      <c r="C429">
        <v>365612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82993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3</v>
      </c>
      <c r="BC429" s="1">
        <v>531598</v>
      </c>
      <c r="BD429" t="s">
        <v>74</v>
      </c>
      <c r="BE429" t="s">
        <v>2422</v>
      </c>
      <c r="BF429" t="s">
        <v>2423</v>
      </c>
      <c r="BH429" t="s">
        <v>77</v>
      </c>
      <c r="BI429" t="s">
        <v>228</v>
      </c>
      <c r="BJ429" t="s">
        <v>79</v>
      </c>
      <c r="BM429">
        <v>1</v>
      </c>
      <c r="BN429">
        <v>1</v>
      </c>
      <c r="BO429">
        <v>2</v>
      </c>
      <c r="BP429" t="s">
        <v>80</v>
      </c>
      <c r="BR429">
        <v>0</v>
      </c>
      <c r="BS429">
        <v>6</v>
      </c>
      <c r="BU429">
        <v>448605</v>
      </c>
    </row>
    <row r="430" spans="1:73" x14ac:dyDescent="0.3">
      <c r="A430" t="s">
        <v>2427</v>
      </c>
      <c r="B430">
        <v>0</v>
      </c>
      <c r="C430">
        <v>0</v>
      </c>
      <c r="D430">
        <v>9</v>
      </c>
      <c r="E430">
        <v>1975926</v>
      </c>
      <c r="F430">
        <v>0</v>
      </c>
      <c r="G430">
        <v>0</v>
      </c>
      <c r="H430">
        <v>16</v>
      </c>
      <c r="I430">
        <v>351852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118182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27778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21</v>
      </c>
      <c r="BC430" s="1">
        <v>4125590</v>
      </c>
      <c r="BD430" t="s">
        <v>74</v>
      </c>
      <c r="BE430" t="s">
        <v>2428</v>
      </c>
      <c r="BF430" t="s">
        <v>2429</v>
      </c>
      <c r="BH430" t="s">
        <v>77</v>
      </c>
      <c r="BI430" t="s">
        <v>593</v>
      </c>
      <c r="BJ430" t="s">
        <v>79</v>
      </c>
      <c r="BM430">
        <v>1</v>
      </c>
      <c r="BN430">
        <v>3</v>
      </c>
      <c r="BO430">
        <v>4</v>
      </c>
      <c r="BP430" t="s">
        <v>80</v>
      </c>
      <c r="BR430">
        <v>0</v>
      </c>
      <c r="BS430">
        <v>6</v>
      </c>
      <c r="BU430">
        <v>2473738</v>
      </c>
    </row>
    <row r="431" spans="1:73" x14ac:dyDescent="0.3">
      <c r="A431" t="s">
        <v>2432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73535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3</v>
      </c>
      <c r="BC431" s="1">
        <v>225655</v>
      </c>
      <c r="BD431" t="s">
        <v>74</v>
      </c>
      <c r="BE431" t="s">
        <v>2433</v>
      </c>
      <c r="BF431" t="s">
        <v>2434</v>
      </c>
      <c r="BH431" t="s">
        <v>77</v>
      </c>
      <c r="BI431" t="s">
        <v>281</v>
      </c>
      <c r="BJ431" t="s">
        <v>79</v>
      </c>
      <c r="BM431">
        <v>1</v>
      </c>
      <c r="BN431">
        <v>0</v>
      </c>
      <c r="BO431">
        <v>1</v>
      </c>
      <c r="BP431" t="s">
        <v>80</v>
      </c>
      <c r="BR431">
        <v>0</v>
      </c>
      <c r="BS431">
        <v>0</v>
      </c>
      <c r="BU431">
        <v>73535</v>
      </c>
    </row>
    <row r="432" spans="1:73" x14ac:dyDescent="0.3">
      <c r="A432" t="s">
        <v>2435</v>
      </c>
      <c r="B432">
        <v>1</v>
      </c>
      <c r="C432">
        <v>271542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19792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</v>
      </c>
      <c r="BC432" s="1">
        <v>291334</v>
      </c>
      <c r="BD432" t="s">
        <v>74</v>
      </c>
      <c r="BE432" t="s">
        <v>2436</v>
      </c>
      <c r="BF432" t="s">
        <v>2437</v>
      </c>
      <c r="BH432" t="s">
        <v>77</v>
      </c>
      <c r="BI432" t="s">
        <v>204</v>
      </c>
      <c r="BJ432" t="s">
        <v>79</v>
      </c>
      <c r="BM432">
        <v>1</v>
      </c>
      <c r="BN432">
        <v>1</v>
      </c>
      <c r="BO432">
        <v>2</v>
      </c>
      <c r="BP432" t="s">
        <v>80</v>
      </c>
      <c r="BR432">
        <v>0</v>
      </c>
      <c r="BS432">
        <v>6</v>
      </c>
      <c r="BU432">
        <v>291334</v>
      </c>
    </row>
    <row r="433" spans="1:73" x14ac:dyDescent="0.3">
      <c r="A433" t="s">
        <v>2446</v>
      </c>
      <c r="B433">
        <v>1</v>
      </c>
      <c r="C433">
        <v>180031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 s="1">
        <v>180031</v>
      </c>
      <c r="BD433" t="s">
        <v>74</v>
      </c>
      <c r="BE433" t="s">
        <v>2447</v>
      </c>
      <c r="BF433" t="s">
        <v>2448</v>
      </c>
      <c r="BM433">
        <v>0</v>
      </c>
      <c r="BN433">
        <v>1</v>
      </c>
      <c r="BO433">
        <v>1</v>
      </c>
      <c r="BP433" t="s">
        <v>80</v>
      </c>
      <c r="BR433">
        <v>0</v>
      </c>
      <c r="BS433">
        <v>6</v>
      </c>
      <c r="BU433">
        <v>180031</v>
      </c>
    </row>
    <row r="434" spans="1:73" x14ac:dyDescent="0.3">
      <c r="A434" t="s">
        <v>2449</v>
      </c>
      <c r="B434">
        <v>1</v>
      </c>
      <c r="C434">
        <v>97491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 s="1">
        <v>97491</v>
      </c>
      <c r="BD434" t="s">
        <v>74</v>
      </c>
      <c r="BE434" t="s">
        <v>2450</v>
      </c>
      <c r="BF434" t="s">
        <v>2451</v>
      </c>
      <c r="BH434" t="s">
        <v>77</v>
      </c>
      <c r="BI434" t="s">
        <v>204</v>
      </c>
      <c r="BJ434" t="s">
        <v>79</v>
      </c>
      <c r="BM434">
        <v>0</v>
      </c>
      <c r="BN434">
        <v>1</v>
      </c>
      <c r="BO434">
        <v>1</v>
      </c>
      <c r="BP434" t="s">
        <v>80</v>
      </c>
      <c r="BR434">
        <v>0</v>
      </c>
      <c r="BS434">
        <v>6</v>
      </c>
      <c r="BU434">
        <v>97491</v>
      </c>
    </row>
    <row r="435" spans="1:73" x14ac:dyDescent="0.3">
      <c r="A435" t="s">
        <v>2452</v>
      </c>
      <c r="B435">
        <v>1</v>
      </c>
      <c r="C435">
        <v>268165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96439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</v>
      </c>
      <c r="BC435" s="1">
        <v>364604</v>
      </c>
      <c r="BD435" t="s">
        <v>74</v>
      </c>
      <c r="BE435" t="s">
        <v>2453</v>
      </c>
      <c r="BF435" t="s">
        <v>2454</v>
      </c>
      <c r="BH435" t="s">
        <v>77</v>
      </c>
      <c r="BI435" t="s">
        <v>204</v>
      </c>
      <c r="BJ435" t="s">
        <v>79</v>
      </c>
      <c r="BM435">
        <v>1</v>
      </c>
      <c r="BN435">
        <v>1</v>
      </c>
      <c r="BO435">
        <v>2</v>
      </c>
      <c r="BP435" t="s">
        <v>80</v>
      </c>
      <c r="BR435">
        <v>0</v>
      </c>
      <c r="BS435">
        <v>6</v>
      </c>
      <c r="BU435">
        <v>364604</v>
      </c>
    </row>
    <row r="436" spans="1:73" x14ac:dyDescent="0.3">
      <c r="A436" t="s">
        <v>2463</v>
      </c>
      <c r="B436">
        <v>5</v>
      </c>
      <c r="C436">
        <v>1994706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5</v>
      </c>
      <c r="BC436" s="1">
        <v>1994706</v>
      </c>
      <c r="BD436" t="s">
        <v>74</v>
      </c>
      <c r="BE436" t="s">
        <v>2464</v>
      </c>
      <c r="BF436" t="s">
        <v>2465</v>
      </c>
      <c r="BH436" t="s">
        <v>77</v>
      </c>
      <c r="BI436" t="s">
        <v>204</v>
      </c>
      <c r="BJ436" t="s">
        <v>79</v>
      </c>
      <c r="BM436">
        <v>0</v>
      </c>
      <c r="BN436">
        <v>1</v>
      </c>
      <c r="BO436">
        <v>1</v>
      </c>
      <c r="BP436" t="s">
        <v>80</v>
      </c>
      <c r="BR436">
        <v>0</v>
      </c>
      <c r="BS436">
        <v>6</v>
      </c>
      <c r="BU436">
        <v>1994706</v>
      </c>
    </row>
    <row r="437" spans="1:73" x14ac:dyDescent="0.3">
      <c r="A437" t="s">
        <v>2466</v>
      </c>
      <c r="B437">
        <v>0</v>
      </c>
      <c r="C437">
        <v>0</v>
      </c>
      <c r="D437">
        <v>1</v>
      </c>
      <c r="E437">
        <v>136364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14662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</v>
      </c>
      <c r="BC437" s="1">
        <v>151026</v>
      </c>
      <c r="BD437" t="s">
        <v>74</v>
      </c>
      <c r="BE437" t="s">
        <v>2467</v>
      </c>
      <c r="BF437" t="s">
        <v>2468</v>
      </c>
      <c r="BH437" t="s">
        <v>77</v>
      </c>
      <c r="BI437" t="s">
        <v>574</v>
      </c>
      <c r="BJ437" t="s">
        <v>79</v>
      </c>
      <c r="BM437">
        <v>0</v>
      </c>
      <c r="BN437">
        <v>2</v>
      </c>
      <c r="BO437">
        <v>2</v>
      </c>
      <c r="BP437" t="s">
        <v>80</v>
      </c>
      <c r="BR437">
        <v>0</v>
      </c>
      <c r="BS437">
        <v>6</v>
      </c>
      <c r="BU437">
        <v>151026</v>
      </c>
    </row>
    <row r="438" spans="1:73" x14ac:dyDescent="0.3">
      <c r="A438" t="s">
        <v>2469</v>
      </c>
      <c r="B438">
        <v>0</v>
      </c>
      <c r="C438">
        <v>0</v>
      </c>
      <c r="D438">
        <v>1</v>
      </c>
      <c r="E438">
        <v>114000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36000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</v>
      </c>
      <c r="BC438" s="1">
        <v>150000</v>
      </c>
      <c r="BD438" t="s">
        <v>74</v>
      </c>
      <c r="BE438" t="s">
        <v>2470</v>
      </c>
      <c r="BF438" t="s">
        <v>2471</v>
      </c>
      <c r="BH438" t="s">
        <v>77</v>
      </c>
      <c r="BI438" t="s">
        <v>574</v>
      </c>
      <c r="BJ438" t="s">
        <v>79</v>
      </c>
      <c r="BM438">
        <v>0</v>
      </c>
      <c r="BN438">
        <v>2</v>
      </c>
      <c r="BO438">
        <v>2</v>
      </c>
      <c r="BP438" t="s">
        <v>80</v>
      </c>
      <c r="BR438">
        <v>0</v>
      </c>
      <c r="BS438">
        <v>6</v>
      </c>
      <c r="BU438">
        <v>150000</v>
      </c>
    </row>
    <row r="439" spans="1:73" x14ac:dyDescent="0.3">
      <c r="A439" t="s">
        <v>2472</v>
      </c>
      <c r="B439">
        <v>0</v>
      </c>
      <c r="C439">
        <v>37137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12</v>
      </c>
      <c r="Z439">
        <v>256818</v>
      </c>
      <c r="AA439">
        <v>0</v>
      </c>
      <c r="AB439">
        <v>1</v>
      </c>
      <c r="AC439">
        <v>225000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20</v>
      </c>
      <c r="BC439" s="1">
        <v>1269648</v>
      </c>
      <c r="BD439" t="s">
        <v>74</v>
      </c>
      <c r="BE439" t="s">
        <v>2473</v>
      </c>
      <c r="BF439" t="s">
        <v>2474</v>
      </c>
      <c r="BH439" t="s">
        <v>77</v>
      </c>
      <c r="BI439" t="s">
        <v>720</v>
      </c>
      <c r="BJ439" t="s">
        <v>79</v>
      </c>
      <c r="BM439">
        <v>2</v>
      </c>
      <c r="BN439">
        <v>0</v>
      </c>
      <c r="BO439">
        <v>2</v>
      </c>
      <c r="BP439" t="s">
        <v>514</v>
      </c>
      <c r="BR439">
        <v>0</v>
      </c>
      <c r="BS439">
        <v>6</v>
      </c>
      <c r="BU439">
        <v>518955</v>
      </c>
    </row>
    <row r="440" spans="1:73" x14ac:dyDescent="0.3">
      <c r="A440" t="s">
        <v>2475</v>
      </c>
      <c r="B440">
        <v>0</v>
      </c>
      <c r="C440">
        <v>0</v>
      </c>
      <c r="D440">
        <v>1</v>
      </c>
      <c r="E440">
        <v>190000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 s="1">
        <v>190000</v>
      </c>
      <c r="BD440" t="s">
        <v>74</v>
      </c>
      <c r="BE440" t="s">
        <v>2476</v>
      </c>
      <c r="BF440" t="s">
        <v>2477</v>
      </c>
      <c r="BH440" t="s">
        <v>77</v>
      </c>
      <c r="BI440" t="s">
        <v>88</v>
      </c>
      <c r="BJ440" t="s">
        <v>79</v>
      </c>
      <c r="BM440">
        <v>0</v>
      </c>
      <c r="BN440">
        <v>1</v>
      </c>
      <c r="BO440">
        <v>1</v>
      </c>
      <c r="BP440" t="s">
        <v>514</v>
      </c>
      <c r="BR440">
        <v>0</v>
      </c>
      <c r="BS440">
        <v>6</v>
      </c>
      <c r="BU440">
        <v>190000</v>
      </c>
    </row>
    <row r="441" spans="1:73" x14ac:dyDescent="0.3">
      <c r="A441" t="s">
        <v>2478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20000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 s="1">
        <v>20000</v>
      </c>
      <c r="BD441" t="s">
        <v>74</v>
      </c>
      <c r="BE441" t="s">
        <v>2479</v>
      </c>
      <c r="BF441" t="s">
        <v>2480</v>
      </c>
      <c r="BH441" t="s">
        <v>77</v>
      </c>
      <c r="BI441" t="s">
        <v>739</v>
      </c>
      <c r="BJ441" t="s">
        <v>79</v>
      </c>
      <c r="BM441">
        <v>0</v>
      </c>
      <c r="BN441">
        <v>1</v>
      </c>
      <c r="BO441">
        <v>1</v>
      </c>
      <c r="BP441" t="s">
        <v>80</v>
      </c>
      <c r="BR441">
        <v>0</v>
      </c>
      <c r="BS441">
        <v>6</v>
      </c>
      <c r="BU441">
        <v>20000</v>
      </c>
    </row>
    <row r="442" spans="1:73" x14ac:dyDescent="0.3">
      <c r="A442" t="s">
        <v>2481</v>
      </c>
      <c r="B442">
        <v>0</v>
      </c>
      <c r="C442">
        <v>527273</v>
      </c>
      <c r="D442">
        <v>1</v>
      </c>
      <c r="E442">
        <v>170909</v>
      </c>
      <c r="F442">
        <v>0</v>
      </c>
      <c r="G442">
        <v>0</v>
      </c>
      <c r="H442">
        <v>7</v>
      </c>
      <c r="I442">
        <v>150000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165000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</v>
      </c>
      <c r="BC442" s="1">
        <v>1013182</v>
      </c>
      <c r="BD442" t="s">
        <v>74</v>
      </c>
      <c r="BE442" t="s">
        <v>2482</v>
      </c>
      <c r="BF442" t="s">
        <v>513</v>
      </c>
      <c r="BH442" t="s">
        <v>77</v>
      </c>
      <c r="BI442" t="s">
        <v>204</v>
      </c>
      <c r="BJ442" t="s">
        <v>79</v>
      </c>
      <c r="BM442">
        <v>1</v>
      </c>
      <c r="BN442">
        <v>2</v>
      </c>
      <c r="BO442">
        <v>3</v>
      </c>
      <c r="BP442" t="s">
        <v>80</v>
      </c>
      <c r="BR442">
        <v>0</v>
      </c>
      <c r="BS442">
        <v>6</v>
      </c>
      <c r="BU442">
        <v>1013182</v>
      </c>
    </row>
    <row r="443" spans="1:73" x14ac:dyDescent="0.3">
      <c r="A443" t="s">
        <v>2483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82993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2</v>
      </c>
      <c r="BC443" s="1">
        <v>165986</v>
      </c>
      <c r="BD443" t="s">
        <v>74</v>
      </c>
      <c r="BE443" t="s">
        <v>2484</v>
      </c>
      <c r="BF443" t="s">
        <v>2485</v>
      </c>
      <c r="BH443" t="s">
        <v>77</v>
      </c>
      <c r="BI443" t="s">
        <v>593</v>
      </c>
      <c r="BJ443" t="s">
        <v>79</v>
      </c>
      <c r="BM443">
        <v>1</v>
      </c>
      <c r="BN443">
        <v>0</v>
      </c>
      <c r="BO443">
        <v>1</v>
      </c>
      <c r="BP443" t="s">
        <v>80</v>
      </c>
      <c r="BR443">
        <v>0</v>
      </c>
      <c r="BS443">
        <v>0</v>
      </c>
      <c r="BU443">
        <v>82993</v>
      </c>
    </row>
    <row r="444" spans="1:73" x14ac:dyDescent="0.3">
      <c r="A444" t="s">
        <v>2486</v>
      </c>
      <c r="B444">
        <v>0</v>
      </c>
      <c r="C444">
        <v>1054546</v>
      </c>
      <c r="D444">
        <v>4</v>
      </c>
      <c r="E444">
        <v>750909</v>
      </c>
      <c r="F444">
        <v>0</v>
      </c>
      <c r="G444">
        <v>0</v>
      </c>
      <c r="H444">
        <v>4</v>
      </c>
      <c r="I444">
        <v>80000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8</v>
      </c>
      <c r="BC444" s="1">
        <v>2556364</v>
      </c>
      <c r="BD444" t="s">
        <v>74</v>
      </c>
      <c r="BE444" t="s">
        <v>2487</v>
      </c>
      <c r="BF444" t="s">
        <v>1273</v>
      </c>
      <c r="BH444" t="s">
        <v>77</v>
      </c>
      <c r="BI444" t="s">
        <v>593</v>
      </c>
      <c r="BJ444" t="s">
        <v>79</v>
      </c>
      <c r="BM444">
        <v>0</v>
      </c>
      <c r="BN444">
        <v>2</v>
      </c>
      <c r="BO444">
        <v>2</v>
      </c>
      <c r="BP444" t="s">
        <v>514</v>
      </c>
      <c r="BR444">
        <v>0</v>
      </c>
      <c r="BS444">
        <v>6</v>
      </c>
      <c r="BU444">
        <v>1885455</v>
      </c>
    </row>
    <row r="445" spans="1:73" x14ac:dyDescent="0.3">
      <c r="A445" t="s">
        <v>2493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23</v>
      </c>
      <c r="BC445" s="1">
        <v>95841</v>
      </c>
      <c r="BD445" t="s">
        <v>74</v>
      </c>
      <c r="BE445" t="s">
        <v>2494</v>
      </c>
      <c r="BF445" t="s">
        <v>2495</v>
      </c>
      <c r="BM445">
        <v>0</v>
      </c>
      <c r="BN445">
        <v>0</v>
      </c>
      <c r="BO445">
        <v>0</v>
      </c>
      <c r="BP445" t="s">
        <v>514</v>
      </c>
      <c r="BR445">
        <v>0</v>
      </c>
      <c r="BS445">
        <v>0</v>
      </c>
      <c r="BU445">
        <v>0</v>
      </c>
    </row>
    <row r="446" spans="1:73" x14ac:dyDescent="0.3">
      <c r="A446" t="s">
        <v>2502</v>
      </c>
      <c r="B446">
        <v>0</v>
      </c>
      <c r="C446">
        <v>0</v>
      </c>
      <c r="D446">
        <v>9</v>
      </c>
      <c r="E446">
        <v>1812705</v>
      </c>
      <c r="F446">
        <v>0</v>
      </c>
      <c r="G446">
        <v>0</v>
      </c>
      <c r="H446">
        <v>14</v>
      </c>
      <c r="I446">
        <v>285410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18</v>
      </c>
      <c r="BC446" s="1">
        <v>3625410</v>
      </c>
      <c r="BD446" t="s">
        <v>74</v>
      </c>
      <c r="BE446" t="s">
        <v>2503</v>
      </c>
      <c r="BF446" t="s">
        <v>2504</v>
      </c>
      <c r="BH446" t="s">
        <v>77</v>
      </c>
      <c r="BI446" t="s">
        <v>78</v>
      </c>
      <c r="BJ446" t="s">
        <v>79</v>
      </c>
      <c r="BM446">
        <v>0</v>
      </c>
      <c r="BN446">
        <v>2</v>
      </c>
      <c r="BO446">
        <v>2</v>
      </c>
      <c r="BP446" t="s">
        <v>80</v>
      </c>
      <c r="BR446">
        <v>0</v>
      </c>
      <c r="BS446">
        <v>6</v>
      </c>
      <c r="BU446">
        <v>2098115</v>
      </c>
    </row>
    <row r="447" spans="1:73" x14ac:dyDescent="0.3">
      <c r="A447" t="s">
        <v>2516</v>
      </c>
      <c r="B447">
        <v>0</v>
      </c>
      <c r="C447">
        <v>0</v>
      </c>
      <c r="D447">
        <v>1</v>
      </c>
      <c r="E447">
        <v>288000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</v>
      </c>
      <c r="BC447" s="1">
        <v>766909</v>
      </c>
      <c r="BD447" t="s">
        <v>74</v>
      </c>
      <c r="BE447" t="s">
        <v>2517</v>
      </c>
      <c r="BF447" t="s">
        <v>2518</v>
      </c>
      <c r="BH447" t="s">
        <v>175</v>
      </c>
      <c r="BI447" t="s">
        <v>857</v>
      </c>
      <c r="BJ447" t="s">
        <v>125</v>
      </c>
      <c r="BM447">
        <v>0</v>
      </c>
      <c r="BN447">
        <v>1</v>
      </c>
      <c r="BO447">
        <v>1</v>
      </c>
      <c r="BP447" t="s">
        <v>514</v>
      </c>
      <c r="BR447">
        <v>0</v>
      </c>
      <c r="BS447">
        <v>6</v>
      </c>
      <c r="BU447">
        <v>288000</v>
      </c>
    </row>
    <row r="448" spans="1:73" x14ac:dyDescent="0.3">
      <c r="A448" t="s">
        <v>2519</v>
      </c>
      <c r="B448">
        <v>0</v>
      </c>
      <c r="C448">
        <v>0</v>
      </c>
      <c r="D448">
        <v>1</v>
      </c>
      <c r="E448">
        <v>142500</v>
      </c>
      <c r="F448">
        <v>0</v>
      </c>
      <c r="G448">
        <v>0</v>
      </c>
      <c r="H448">
        <v>1</v>
      </c>
      <c r="I448">
        <v>20000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45000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</v>
      </c>
      <c r="BC448" s="1">
        <v>395000</v>
      </c>
      <c r="BD448" t="s">
        <v>74</v>
      </c>
      <c r="BE448" t="s">
        <v>2520</v>
      </c>
      <c r="BF448" t="s">
        <v>2521</v>
      </c>
      <c r="BH448" t="s">
        <v>77</v>
      </c>
      <c r="BI448" t="s">
        <v>78</v>
      </c>
      <c r="BJ448" t="s">
        <v>79</v>
      </c>
      <c r="BM448">
        <v>0</v>
      </c>
      <c r="BN448">
        <v>3</v>
      </c>
      <c r="BO448">
        <v>3</v>
      </c>
      <c r="BP448" t="s">
        <v>80</v>
      </c>
      <c r="BR448">
        <v>0</v>
      </c>
      <c r="BS448">
        <v>6</v>
      </c>
      <c r="BU448">
        <v>207500</v>
      </c>
    </row>
    <row r="449" spans="1:73" x14ac:dyDescent="0.3">
      <c r="A449" t="s">
        <v>2522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5</v>
      </c>
      <c r="I449">
        <v>84648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</v>
      </c>
      <c r="BC449" s="1">
        <v>84648</v>
      </c>
      <c r="BD449" t="s">
        <v>74</v>
      </c>
      <c r="BE449" t="s">
        <v>2523</v>
      </c>
      <c r="BF449" t="s">
        <v>1273</v>
      </c>
      <c r="BH449" t="s">
        <v>77</v>
      </c>
      <c r="BI449" t="s">
        <v>204</v>
      </c>
      <c r="BJ449" t="s">
        <v>79</v>
      </c>
      <c r="BM449">
        <v>0</v>
      </c>
      <c r="BN449">
        <v>1</v>
      </c>
      <c r="BO449">
        <v>1</v>
      </c>
      <c r="BP449" t="s">
        <v>514</v>
      </c>
      <c r="BR449">
        <v>0</v>
      </c>
      <c r="BS449">
        <v>6</v>
      </c>
      <c r="BU449">
        <v>84648</v>
      </c>
    </row>
    <row r="450" spans="1:73" x14ac:dyDescent="0.3">
      <c r="A450" t="s">
        <v>2524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27778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 s="1">
        <v>27778</v>
      </c>
      <c r="BD450" t="s">
        <v>74</v>
      </c>
      <c r="BE450" t="s">
        <v>2525</v>
      </c>
      <c r="BF450" t="s">
        <v>2471</v>
      </c>
      <c r="BH450" t="s">
        <v>77</v>
      </c>
      <c r="BI450" t="s">
        <v>574</v>
      </c>
      <c r="BJ450" t="s">
        <v>79</v>
      </c>
      <c r="BM450">
        <v>1</v>
      </c>
      <c r="BN450">
        <v>0</v>
      </c>
      <c r="BO450">
        <v>1</v>
      </c>
      <c r="BP450" t="s">
        <v>80</v>
      </c>
      <c r="BR450">
        <v>0</v>
      </c>
      <c r="BS450">
        <v>6</v>
      </c>
      <c r="BU450">
        <v>27778</v>
      </c>
    </row>
    <row r="451" spans="1:73" x14ac:dyDescent="0.3">
      <c r="A451" t="s">
        <v>2535</v>
      </c>
      <c r="B451">
        <v>3</v>
      </c>
      <c r="C451">
        <v>1177792</v>
      </c>
      <c r="D451">
        <v>1</v>
      </c>
      <c r="E451">
        <v>20000</v>
      </c>
      <c r="F451">
        <v>0</v>
      </c>
      <c r="G451">
        <v>0</v>
      </c>
      <c r="H451">
        <v>2</v>
      </c>
      <c r="I451">
        <v>40000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87046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8788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14</v>
      </c>
      <c r="BC451" s="1">
        <v>2909460</v>
      </c>
      <c r="BD451" t="s">
        <v>74</v>
      </c>
      <c r="BE451" t="s">
        <v>2536</v>
      </c>
      <c r="BF451" t="s">
        <v>710</v>
      </c>
      <c r="BH451" t="s">
        <v>175</v>
      </c>
      <c r="BI451" t="s">
        <v>176</v>
      </c>
      <c r="BJ451" t="s">
        <v>125</v>
      </c>
      <c r="BM451">
        <v>2</v>
      </c>
      <c r="BN451">
        <v>3</v>
      </c>
      <c r="BO451">
        <v>5</v>
      </c>
      <c r="BP451" t="s">
        <v>80</v>
      </c>
      <c r="BR451">
        <v>0</v>
      </c>
      <c r="BS451">
        <v>6</v>
      </c>
      <c r="BU451">
        <v>1333626</v>
      </c>
    </row>
    <row r="452" spans="1:73" x14ac:dyDescent="0.3">
      <c r="A452" t="s">
        <v>2545</v>
      </c>
      <c r="B452">
        <v>1</v>
      </c>
      <c r="C452">
        <v>162548</v>
      </c>
      <c r="D452">
        <v>1</v>
      </c>
      <c r="E452">
        <v>390000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</v>
      </c>
      <c r="BC452" s="1">
        <v>942548</v>
      </c>
      <c r="BD452" t="s">
        <v>74</v>
      </c>
      <c r="BE452" t="s">
        <v>2546</v>
      </c>
      <c r="BF452" t="s">
        <v>2547</v>
      </c>
      <c r="BH452" t="s">
        <v>175</v>
      </c>
      <c r="BI452" t="s">
        <v>857</v>
      </c>
      <c r="BJ452" t="s">
        <v>125</v>
      </c>
      <c r="BM452">
        <v>0</v>
      </c>
      <c r="BN452">
        <v>2</v>
      </c>
      <c r="BO452">
        <v>2</v>
      </c>
      <c r="BP452" t="s">
        <v>80</v>
      </c>
      <c r="BR452">
        <v>0</v>
      </c>
      <c r="BS452">
        <v>6</v>
      </c>
      <c r="BU452">
        <v>552548</v>
      </c>
    </row>
    <row r="453" spans="1:73" x14ac:dyDescent="0.3">
      <c r="A453" t="s">
        <v>2548</v>
      </c>
      <c r="B453">
        <v>0</v>
      </c>
      <c r="C453">
        <v>0</v>
      </c>
      <c r="D453">
        <v>4</v>
      </c>
      <c r="E453">
        <v>2457000</v>
      </c>
      <c r="F453">
        <v>0</v>
      </c>
      <c r="G453">
        <v>0</v>
      </c>
      <c r="H453">
        <v>13</v>
      </c>
      <c r="I453">
        <v>270936</v>
      </c>
      <c r="J453">
        <v>0</v>
      </c>
      <c r="K453">
        <v>0</v>
      </c>
      <c r="L453">
        <v>0</v>
      </c>
      <c r="M453">
        <v>0</v>
      </c>
      <c r="N453">
        <v>7</v>
      </c>
      <c r="O453">
        <v>2310000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31</v>
      </c>
      <c r="BC453" s="1">
        <v>7347936</v>
      </c>
      <c r="BD453" t="s">
        <v>74</v>
      </c>
      <c r="BE453" t="s">
        <v>2549</v>
      </c>
      <c r="BF453" t="s">
        <v>2550</v>
      </c>
      <c r="BH453" t="s">
        <v>77</v>
      </c>
      <c r="BI453" t="s">
        <v>78</v>
      </c>
      <c r="BJ453" t="s">
        <v>79</v>
      </c>
      <c r="BM453">
        <v>0</v>
      </c>
      <c r="BN453">
        <v>3</v>
      </c>
      <c r="BO453">
        <v>3</v>
      </c>
      <c r="BP453" t="s">
        <v>514</v>
      </c>
      <c r="BR453">
        <v>0</v>
      </c>
      <c r="BS453">
        <v>5</v>
      </c>
      <c r="BU453">
        <v>5037936</v>
      </c>
    </row>
    <row r="454" spans="1:73" x14ac:dyDescent="0.3">
      <c r="A454" t="s">
        <v>2554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78585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</v>
      </c>
      <c r="BC454" s="1">
        <v>157170</v>
      </c>
      <c r="BD454" t="s">
        <v>74</v>
      </c>
      <c r="BE454" t="s">
        <v>2555</v>
      </c>
      <c r="BF454" t="s">
        <v>2556</v>
      </c>
      <c r="BH454" t="s">
        <v>77</v>
      </c>
      <c r="BI454" t="s">
        <v>204</v>
      </c>
      <c r="BJ454" t="s">
        <v>79</v>
      </c>
      <c r="BM454">
        <v>1</v>
      </c>
      <c r="BN454">
        <v>0</v>
      </c>
      <c r="BO454">
        <v>1</v>
      </c>
      <c r="BP454" t="s">
        <v>80</v>
      </c>
      <c r="BR454">
        <v>0</v>
      </c>
      <c r="BS454">
        <v>6</v>
      </c>
      <c r="BU454">
        <v>78585</v>
      </c>
    </row>
    <row r="455" spans="1:73" x14ac:dyDescent="0.3">
      <c r="A455" t="s">
        <v>2568</v>
      </c>
      <c r="B455">
        <v>1</v>
      </c>
      <c r="C455">
        <v>156336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 s="1">
        <v>156336</v>
      </c>
      <c r="BD455" t="s">
        <v>74</v>
      </c>
      <c r="BE455" t="s">
        <v>2569</v>
      </c>
      <c r="BF455" t="s">
        <v>2570</v>
      </c>
      <c r="BM455">
        <v>0</v>
      </c>
      <c r="BN455">
        <v>1</v>
      </c>
      <c r="BO455">
        <v>1</v>
      </c>
      <c r="BP455" t="s">
        <v>80</v>
      </c>
      <c r="BR455">
        <v>0</v>
      </c>
      <c r="BS455">
        <v>6</v>
      </c>
      <c r="BU455">
        <v>156336</v>
      </c>
    </row>
    <row r="456" spans="1:73" x14ac:dyDescent="0.3">
      <c r="A456" t="s">
        <v>2571</v>
      </c>
      <c r="B456">
        <v>0</v>
      </c>
      <c r="C456">
        <v>0</v>
      </c>
      <c r="D456">
        <v>3</v>
      </c>
      <c r="E456">
        <v>940000</v>
      </c>
      <c r="F456">
        <v>0</v>
      </c>
      <c r="G456">
        <v>0</v>
      </c>
      <c r="H456">
        <v>4</v>
      </c>
      <c r="I456">
        <v>80000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6</v>
      </c>
      <c r="BC456" s="1">
        <v>1880000</v>
      </c>
      <c r="BD456" t="s">
        <v>74</v>
      </c>
      <c r="BE456" t="s">
        <v>2572</v>
      </c>
      <c r="BF456" t="s">
        <v>2573</v>
      </c>
      <c r="BH456" t="s">
        <v>77</v>
      </c>
      <c r="BI456" t="s">
        <v>281</v>
      </c>
      <c r="BJ456" t="s">
        <v>79</v>
      </c>
      <c r="BM456">
        <v>0</v>
      </c>
      <c r="BN456">
        <v>2</v>
      </c>
      <c r="BO456">
        <v>2</v>
      </c>
      <c r="BP456" t="s">
        <v>80</v>
      </c>
      <c r="BR456">
        <v>0</v>
      </c>
      <c r="BS456">
        <v>6</v>
      </c>
      <c r="BU456">
        <v>1020000</v>
      </c>
    </row>
    <row r="457" spans="1:73" x14ac:dyDescent="0.3">
      <c r="A457" t="s">
        <v>2577</v>
      </c>
      <c r="B457">
        <v>0</v>
      </c>
      <c r="C457">
        <v>0</v>
      </c>
      <c r="D457">
        <v>3</v>
      </c>
      <c r="E457">
        <v>1754286</v>
      </c>
      <c r="F457">
        <v>0</v>
      </c>
      <c r="G457">
        <v>0</v>
      </c>
      <c r="H457">
        <v>4</v>
      </c>
      <c r="I457">
        <v>80000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</v>
      </c>
      <c r="BC457" s="1">
        <v>3508572</v>
      </c>
      <c r="BD457" t="s">
        <v>74</v>
      </c>
      <c r="BE457" t="s">
        <v>2578</v>
      </c>
      <c r="BF457" t="s">
        <v>2579</v>
      </c>
      <c r="BH457" t="s">
        <v>77</v>
      </c>
      <c r="BI457" t="s">
        <v>204</v>
      </c>
      <c r="BJ457" t="s">
        <v>79</v>
      </c>
      <c r="BM457">
        <v>0</v>
      </c>
      <c r="BN457">
        <v>2</v>
      </c>
      <c r="BO457">
        <v>2</v>
      </c>
      <c r="BP457" t="s">
        <v>80</v>
      </c>
      <c r="BR457">
        <v>0</v>
      </c>
      <c r="BS457">
        <v>6</v>
      </c>
      <c r="BU457">
        <v>1834286</v>
      </c>
    </row>
    <row r="458" spans="1:73" x14ac:dyDescent="0.3">
      <c r="A458" t="s">
        <v>2580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43523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4394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</v>
      </c>
      <c r="BC458" s="1">
        <v>47917</v>
      </c>
      <c r="BD458" t="s">
        <v>74</v>
      </c>
      <c r="BE458" t="s">
        <v>2581</v>
      </c>
      <c r="BF458" t="s">
        <v>2582</v>
      </c>
      <c r="BH458" t="s">
        <v>77</v>
      </c>
      <c r="BI458" t="s">
        <v>78</v>
      </c>
      <c r="BJ458" t="s">
        <v>79</v>
      </c>
      <c r="BM458">
        <v>2</v>
      </c>
      <c r="BN458">
        <v>0</v>
      </c>
      <c r="BO458">
        <v>2</v>
      </c>
      <c r="BP458" t="s">
        <v>80</v>
      </c>
      <c r="BR458">
        <v>0</v>
      </c>
      <c r="BS458">
        <v>0</v>
      </c>
      <c r="BU458">
        <v>47917</v>
      </c>
    </row>
    <row r="459" spans="1:73" x14ac:dyDescent="0.3">
      <c r="A459" t="s">
        <v>2583</v>
      </c>
      <c r="B459">
        <v>1</v>
      </c>
      <c r="C459">
        <v>515278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 s="1">
        <v>515278</v>
      </c>
      <c r="BD459" t="s">
        <v>74</v>
      </c>
      <c r="BE459" t="s">
        <v>2584</v>
      </c>
      <c r="BF459" t="s">
        <v>2585</v>
      </c>
      <c r="BH459" t="s">
        <v>77</v>
      </c>
      <c r="BI459" t="s">
        <v>204</v>
      </c>
      <c r="BJ459" t="s">
        <v>79</v>
      </c>
      <c r="BM459">
        <v>0</v>
      </c>
      <c r="BN459">
        <v>1</v>
      </c>
      <c r="BO459">
        <v>1</v>
      </c>
      <c r="BP459" t="s">
        <v>80</v>
      </c>
      <c r="BR459">
        <v>0</v>
      </c>
      <c r="BS459">
        <v>6</v>
      </c>
      <c r="BU459">
        <v>515278</v>
      </c>
    </row>
    <row r="460" spans="1:73" x14ac:dyDescent="0.3">
      <c r="A460" t="s">
        <v>2586</v>
      </c>
      <c r="B460">
        <v>0</v>
      </c>
      <c r="C460">
        <v>0</v>
      </c>
      <c r="D460">
        <v>1</v>
      </c>
      <c r="E460">
        <v>145454</v>
      </c>
      <c r="F460">
        <v>0</v>
      </c>
      <c r="G460">
        <v>0</v>
      </c>
      <c r="H460">
        <v>2</v>
      </c>
      <c r="I460">
        <v>40000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</v>
      </c>
      <c r="BC460" s="1">
        <v>330908</v>
      </c>
      <c r="BD460" t="s">
        <v>74</v>
      </c>
      <c r="BE460" t="s">
        <v>2587</v>
      </c>
      <c r="BF460" t="s">
        <v>2588</v>
      </c>
      <c r="BH460" t="s">
        <v>77</v>
      </c>
      <c r="BI460" t="s">
        <v>593</v>
      </c>
      <c r="BJ460" t="s">
        <v>79</v>
      </c>
      <c r="BM460">
        <v>0</v>
      </c>
      <c r="BN460">
        <v>2</v>
      </c>
      <c r="BO460">
        <v>2</v>
      </c>
      <c r="BP460" t="s">
        <v>80</v>
      </c>
      <c r="BR460">
        <v>0</v>
      </c>
      <c r="BS460">
        <v>6</v>
      </c>
      <c r="BU460">
        <v>185454</v>
      </c>
    </row>
    <row r="461" spans="1:73" x14ac:dyDescent="0.3">
      <c r="A461" t="s">
        <v>2589</v>
      </c>
      <c r="B461">
        <v>1</v>
      </c>
      <c r="C461">
        <v>1446982</v>
      </c>
      <c r="D461">
        <v>0</v>
      </c>
      <c r="E461">
        <v>0</v>
      </c>
      <c r="F461">
        <v>0</v>
      </c>
      <c r="G461">
        <v>0</v>
      </c>
      <c r="H461">
        <v>8</v>
      </c>
      <c r="I461">
        <v>160000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73535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11</v>
      </c>
      <c r="BC461" s="1">
        <v>1754052</v>
      </c>
      <c r="BD461" t="s">
        <v>74</v>
      </c>
      <c r="BE461" t="s">
        <v>2590</v>
      </c>
      <c r="BF461" t="s">
        <v>2591</v>
      </c>
      <c r="BH461" t="s">
        <v>77</v>
      </c>
      <c r="BI461" t="s">
        <v>204</v>
      </c>
      <c r="BJ461" t="s">
        <v>79</v>
      </c>
      <c r="BM461">
        <v>1</v>
      </c>
      <c r="BN461">
        <v>2</v>
      </c>
      <c r="BO461">
        <v>3</v>
      </c>
      <c r="BP461" t="s">
        <v>80</v>
      </c>
      <c r="BR461">
        <v>0</v>
      </c>
      <c r="BS461">
        <v>6</v>
      </c>
      <c r="BU461">
        <v>1680517</v>
      </c>
    </row>
    <row r="462" spans="1:73" x14ac:dyDescent="0.3">
      <c r="A462" t="s">
        <v>2594</v>
      </c>
      <c r="B462">
        <v>0</v>
      </c>
      <c r="C462">
        <v>0</v>
      </c>
      <c r="D462">
        <v>8</v>
      </c>
      <c r="E462">
        <v>2855297</v>
      </c>
      <c r="F462">
        <v>0</v>
      </c>
      <c r="G462">
        <v>0</v>
      </c>
      <c r="H462">
        <v>12</v>
      </c>
      <c r="I462">
        <v>400594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18</v>
      </c>
      <c r="BC462" s="1">
        <v>5750594</v>
      </c>
      <c r="BD462" t="s">
        <v>74</v>
      </c>
      <c r="BE462" t="s">
        <v>2595</v>
      </c>
      <c r="BF462" t="s">
        <v>2596</v>
      </c>
      <c r="BH462" t="s">
        <v>77</v>
      </c>
      <c r="BI462" t="s">
        <v>88</v>
      </c>
      <c r="BJ462" t="s">
        <v>79</v>
      </c>
      <c r="BM462">
        <v>0</v>
      </c>
      <c r="BN462">
        <v>2</v>
      </c>
      <c r="BO462">
        <v>2</v>
      </c>
      <c r="BP462" t="s">
        <v>80</v>
      </c>
      <c r="BR462">
        <v>0</v>
      </c>
      <c r="BS462">
        <v>6</v>
      </c>
      <c r="BU462">
        <v>3255891</v>
      </c>
    </row>
    <row r="463" spans="1:73" x14ac:dyDescent="0.3">
      <c r="A463" t="s">
        <v>2597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27778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3</v>
      </c>
      <c r="BC463" s="1">
        <v>151995</v>
      </c>
      <c r="BD463" t="s">
        <v>74</v>
      </c>
      <c r="BE463" t="s">
        <v>2598</v>
      </c>
      <c r="BF463" t="s">
        <v>2599</v>
      </c>
      <c r="BH463" t="s">
        <v>77</v>
      </c>
      <c r="BI463" t="s">
        <v>739</v>
      </c>
      <c r="BJ463" t="s">
        <v>79</v>
      </c>
      <c r="BM463">
        <v>1</v>
      </c>
      <c r="BN463">
        <v>0</v>
      </c>
      <c r="BO463">
        <v>1</v>
      </c>
      <c r="BP463" t="s">
        <v>80</v>
      </c>
      <c r="BR463">
        <v>0</v>
      </c>
      <c r="BS463">
        <v>0</v>
      </c>
      <c r="BU463">
        <v>27778</v>
      </c>
    </row>
    <row r="464" spans="1:73" x14ac:dyDescent="0.3">
      <c r="A464" t="s">
        <v>2600</v>
      </c>
      <c r="B464">
        <v>2</v>
      </c>
      <c r="C464">
        <v>709976</v>
      </c>
      <c r="D464">
        <v>1</v>
      </c>
      <c r="E464">
        <v>320000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179432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19792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7</v>
      </c>
      <c r="BC464" s="1">
        <v>1549200</v>
      </c>
      <c r="BD464" t="s">
        <v>74</v>
      </c>
      <c r="BE464" t="s">
        <v>2601</v>
      </c>
      <c r="BF464" t="s">
        <v>2602</v>
      </c>
      <c r="BH464" t="s">
        <v>77</v>
      </c>
      <c r="BI464" t="s">
        <v>720</v>
      </c>
      <c r="BJ464" t="s">
        <v>79</v>
      </c>
      <c r="BM464">
        <v>2</v>
      </c>
      <c r="BN464">
        <v>2</v>
      </c>
      <c r="BO464">
        <v>4</v>
      </c>
      <c r="BP464" t="s">
        <v>80</v>
      </c>
      <c r="BR464">
        <v>0</v>
      </c>
      <c r="BS464">
        <v>6</v>
      </c>
      <c r="BU464">
        <v>1229200</v>
      </c>
    </row>
    <row r="465" spans="1:73" x14ac:dyDescent="0.3">
      <c r="A465" t="s">
        <v>2611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73535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</v>
      </c>
      <c r="BC465" s="1">
        <v>147070</v>
      </c>
      <c r="BD465" t="s">
        <v>74</v>
      </c>
      <c r="BE465" t="s">
        <v>2612</v>
      </c>
      <c r="BF465" t="s">
        <v>2613</v>
      </c>
      <c r="BH465" t="s">
        <v>77</v>
      </c>
      <c r="BI465" t="s">
        <v>92</v>
      </c>
      <c r="BJ465" t="s">
        <v>79</v>
      </c>
      <c r="BM465">
        <v>1</v>
      </c>
      <c r="BN465">
        <v>0</v>
      </c>
      <c r="BO465">
        <v>1</v>
      </c>
      <c r="BP465" t="s">
        <v>80</v>
      </c>
      <c r="BR465">
        <v>0</v>
      </c>
      <c r="BS465">
        <v>0</v>
      </c>
      <c r="BU465">
        <v>73535</v>
      </c>
    </row>
    <row r="466" spans="1:73" x14ac:dyDescent="0.3">
      <c r="A466" t="s">
        <v>2617</v>
      </c>
      <c r="B466">
        <v>0</v>
      </c>
      <c r="C466">
        <v>0</v>
      </c>
      <c r="D466">
        <v>3</v>
      </c>
      <c r="E466">
        <v>1056000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147070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24243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11</v>
      </c>
      <c r="BC466" s="1">
        <v>2381091</v>
      </c>
      <c r="BD466" t="s">
        <v>74</v>
      </c>
      <c r="BE466" t="s">
        <v>2618</v>
      </c>
      <c r="BF466" t="s">
        <v>813</v>
      </c>
      <c r="BH466" t="s">
        <v>77</v>
      </c>
      <c r="BI466" t="s">
        <v>92</v>
      </c>
      <c r="BJ466" t="s">
        <v>79</v>
      </c>
      <c r="BM466">
        <v>2</v>
      </c>
      <c r="BN466">
        <v>1</v>
      </c>
      <c r="BO466">
        <v>3</v>
      </c>
      <c r="BP466" t="s">
        <v>80</v>
      </c>
      <c r="BR466">
        <v>0</v>
      </c>
      <c r="BS466">
        <v>6</v>
      </c>
      <c r="BU466">
        <v>1227313</v>
      </c>
    </row>
    <row r="467" spans="1:73" x14ac:dyDescent="0.3">
      <c r="A467" t="s">
        <v>2619</v>
      </c>
      <c r="B467">
        <v>0</v>
      </c>
      <c r="C467">
        <v>0</v>
      </c>
      <c r="D467">
        <v>1</v>
      </c>
      <c r="E467">
        <v>163636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 s="1">
        <v>163636</v>
      </c>
      <c r="BD467" t="s">
        <v>74</v>
      </c>
      <c r="BE467" t="s">
        <v>2620</v>
      </c>
      <c r="BF467" t="s">
        <v>1213</v>
      </c>
      <c r="BH467" t="s">
        <v>77</v>
      </c>
      <c r="BI467" t="s">
        <v>92</v>
      </c>
      <c r="BJ467" t="s">
        <v>79</v>
      </c>
      <c r="BM467">
        <v>0</v>
      </c>
      <c r="BN467">
        <v>1</v>
      </c>
      <c r="BO467">
        <v>1</v>
      </c>
      <c r="BP467" t="s">
        <v>80</v>
      </c>
      <c r="BR467">
        <v>0</v>
      </c>
      <c r="BS467">
        <v>6</v>
      </c>
      <c r="BU467">
        <v>163636</v>
      </c>
    </row>
    <row r="468" spans="1:73" x14ac:dyDescent="0.3">
      <c r="A468" t="s">
        <v>2629</v>
      </c>
      <c r="B468">
        <v>0</v>
      </c>
      <c r="C468">
        <v>0</v>
      </c>
      <c r="D468">
        <v>20</v>
      </c>
      <c r="E468">
        <v>3752284</v>
      </c>
      <c r="F468">
        <v>0</v>
      </c>
      <c r="G468">
        <v>0</v>
      </c>
      <c r="H468">
        <v>34</v>
      </c>
      <c r="I468">
        <v>800696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41</v>
      </c>
      <c r="BC468" s="1">
        <v>9504568</v>
      </c>
      <c r="BD468" t="s">
        <v>74</v>
      </c>
      <c r="BE468" t="s">
        <v>2630</v>
      </c>
      <c r="BF468" t="s">
        <v>2631</v>
      </c>
      <c r="BH468" t="s">
        <v>77</v>
      </c>
      <c r="BI468" t="s">
        <v>84</v>
      </c>
      <c r="BJ468" t="s">
        <v>79</v>
      </c>
      <c r="BM468">
        <v>0</v>
      </c>
      <c r="BN468">
        <v>2</v>
      </c>
      <c r="BO468">
        <v>2</v>
      </c>
      <c r="BP468" t="s">
        <v>80</v>
      </c>
      <c r="BR468">
        <v>0</v>
      </c>
      <c r="BS468">
        <v>6</v>
      </c>
      <c r="BU468">
        <v>4552980</v>
      </c>
    </row>
    <row r="469" spans="1:73" x14ac:dyDescent="0.3">
      <c r="A469" t="s">
        <v>2637</v>
      </c>
      <c r="B469">
        <v>0</v>
      </c>
      <c r="C469">
        <v>0</v>
      </c>
      <c r="D469">
        <v>2</v>
      </c>
      <c r="E469">
        <v>2018181</v>
      </c>
      <c r="F469">
        <v>0</v>
      </c>
      <c r="G469">
        <v>0</v>
      </c>
      <c r="H469">
        <v>8</v>
      </c>
      <c r="I469">
        <v>285312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10</v>
      </c>
      <c r="BC469" s="1">
        <v>2303493</v>
      </c>
      <c r="BD469" t="s">
        <v>74</v>
      </c>
      <c r="BE469" t="s">
        <v>2638</v>
      </c>
      <c r="BF469" t="s">
        <v>787</v>
      </c>
      <c r="BH469" t="s">
        <v>77</v>
      </c>
      <c r="BI469" t="s">
        <v>129</v>
      </c>
      <c r="BJ469" t="s">
        <v>79</v>
      </c>
      <c r="BM469">
        <v>0</v>
      </c>
      <c r="BN469">
        <v>2</v>
      </c>
      <c r="BO469">
        <v>2</v>
      </c>
      <c r="BP469" t="s">
        <v>80</v>
      </c>
      <c r="BR469">
        <v>0</v>
      </c>
      <c r="BS469">
        <v>6</v>
      </c>
      <c r="BU469">
        <v>2303493</v>
      </c>
    </row>
    <row r="470" spans="1:73" x14ac:dyDescent="0.3">
      <c r="A470" t="s">
        <v>2639</v>
      </c>
      <c r="B470">
        <v>5</v>
      </c>
      <c r="C470">
        <v>1663624</v>
      </c>
      <c r="D470">
        <v>15</v>
      </c>
      <c r="E470">
        <v>6933870</v>
      </c>
      <c r="F470">
        <v>0</v>
      </c>
      <c r="G470">
        <v>0</v>
      </c>
      <c r="H470">
        <v>19</v>
      </c>
      <c r="I470">
        <v>1068784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78585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45</v>
      </c>
      <c r="BC470" s="1">
        <v>22526649</v>
      </c>
      <c r="BD470" t="s">
        <v>74</v>
      </c>
      <c r="BE470" t="s">
        <v>2640</v>
      </c>
      <c r="BF470" t="s">
        <v>2641</v>
      </c>
      <c r="BH470" t="s">
        <v>136</v>
      </c>
      <c r="BI470" t="s">
        <v>191</v>
      </c>
      <c r="BJ470" t="s">
        <v>125</v>
      </c>
      <c r="BM470">
        <v>1</v>
      </c>
      <c r="BN470">
        <v>3</v>
      </c>
      <c r="BO470">
        <v>4</v>
      </c>
      <c r="BP470" t="s">
        <v>80</v>
      </c>
      <c r="BR470">
        <v>0</v>
      </c>
      <c r="BS470">
        <v>5</v>
      </c>
      <c r="BU470">
        <v>9744863</v>
      </c>
    </row>
    <row r="471" spans="1:73" x14ac:dyDescent="0.3">
      <c r="A471" t="s">
        <v>2644</v>
      </c>
      <c r="B471">
        <v>0</v>
      </c>
      <c r="C471">
        <v>107273</v>
      </c>
      <c r="D471">
        <v>2</v>
      </c>
      <c r="E471">
        <v>513636</v>
      </c>
      <c r="F471">
        <v>0</v>
      </c>
      <c r="G471">
        <v>0</v>
      </c>
      <c r="H471">
        <v>1</v>
      </c>
      <c r="I471">
        <v>20639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</v>
      </c>
      <c r="BC471" s="1">
        <v>641548</v>
      </c>
      <c r="BD471" t="s">
        <v>74</v>
      </c>
      <c r="BE471" t="s">
        <v>2645</v>
      </c>
      <c r="BF471" t="s">
        <v>2188</v>
      </c>
      <c r="BH471" t="s">
        <v>77</v>
      </c>
      <c r="BI471" t="s">
        <v>739</v>
      </c>
      <c r="BJ471" t="s">
        <v>79</v>
      </c>
      <c r="BM471">
        <v>0</v>
      </c>
      <c r="BN471">
        <v>2</v>
      </c>
      <c r="BO471">
        <v>2</v>
      </c>
      <c r="BP471" t="s">
        <v>80</v>
      </c>
      <c r="BR471">
        <v>0</v>
      </c>
      <c r="BS471">
        <v>6</v>
      </c>
      <c r="BU471">
        <v>641548</v>
      </c>
    </row>
    <row r="472" spans="1:73" x14ac:dyDescent="0.3">
      <c r="A472" t="s">
        <v>2646</v>
      </c>
      <c r="B472">
        <v>0</v>
      </c>
      <c r="C472">
        <v>0</v>
      </c>
      <c r="D472">
        <v>6</v>
      </c>
      <c r="E472">
        <v>1356000</v>
      </c>
      <c r="F472">
        <v>0</v>
      </c>
      <c r="G472">
        <v>0</v>
      </c>
      <c r="H472">
        <v>3</v>
      </c>
      <c r="I472">
        <v>60000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10</v>
      </c>
      <c r="BC472" s="1">
        <v>1882000</v>
      </c>
      <c r="BD472" t="s">
        <v>74</v>
      </c>
      <c r="BE472" t="s">
        <v>2647</v>
      </c>
      <c r="BF472" t="s">
        <v>254</v>
      </c>
      <c r="BH472" t="s">
        <v>77</v>
      </c>
      <c r="BI472" t="s">
        <v>78</v>
      </c>
      <c r="BJ472" t="s">
        <v>79</v>
      </c>
      <c r="BM472">
        <v>0</v>
      </c>
      <c r="BN472">
        <v>2</v>
      </c>
      <c r="BO472">
        <v>2</v>
      </c>
      <c r="BP472" t="s">
        <v>514</v>
      </c>
      <c r="BR472">
        <v>0</v>
      </c>
      <c r="BS472">
        <v>6</v>
      </c>
      <c r="BU472">
        <v>1416000</v>
      </c>
    </row>
    <row r="473" spans="1:73" x14ac:dyDescent="0.3">
      <c r="A473" t="s">
        <v>2650</v>
      </c>
      <c r="B473">
        <v>0</v>
      </c>
      <c r="C473">
        <v>0</v>
      </c>
      <c r="D473">
        <v>3</v>
      </c>
      <c r="E473">
        <v>940909</v>
      </c>
      <c r="F473">
        <v>0</v>
      </c>
      <c r="G473">
        <v>0</v>
      </c>
      <c r="H473">
        <v>1</v>
      </c>
      <c r="I473">
        <v>20000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8334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225000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14</v>
      </c>
      <c r="BC473" s="1">
        <v>1915835</v>
      </c>
      <c r="BD473" t="s">
        <v>74</v>
      </c>
      <c r="BE473" t="s">
        <v>2651</v>
      </c>
      <c r="BF473" t="s">
        <v>2652</v>
      </c>
      <c r="BH473" t="s">
        <v>77</v>
      </c>
      <c r="BI473" t="s">
        <v>84</v>
      </c>
      <c r="BJ473" t="s">
        <v>79</v>
      </c>
      <c r="BM473">
        <v>2</v>
      </c>
      <c r="BN473">
        <v>2</v>
      </c>
      <c r="BO473">
        <v>4</v>
      </c>
      <c r="BP473" t="s">
        <v>514</v>
      </c>
      <c r="BR473">
        <v>0</v>
      </c>
      <c r="BS473">
        <v>6</v>
      </c>
      <c r="BU473">
        <v>1194243</v>
      </c>
    </row>
    <row r="474" spans="1:73" x14ac:dyDescent="0.3">
      <c r="A474" t="s">
        <v>2653</v>
      </c>
      <c r="B474">
        <v>0</v>
      </c>
      <c r="C474">
        <v>0</v>
      </c>
      <c r="D474">
        <v>3</v>
      </c>
      <c r="E474">
        <v>70994</v>
      </c>
      <c r="F474">
        <v>0</v>
      </c>
      <c r="G474">
        <v>0</v>
      </c>
      <c r="H474">
        <v>9</v>
      </c>
      <c r="I474">
        <v>211988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82993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11</v>
      </c>
      <c r="BC474" s="1">
        <v>377974</v>
      </c>
      <c r="BD474" t="s">
        <v>74</v>
      </c>
      <c r="BE474" t="s">
        <v>2654</v>
      </c>
      <c r="BF474" t="s">
        <v>2655</v>
      </c>
      <c r="BH474" t="s">
        <v>77</v>
      </c>
      <c r="BI474" t="s">
        <v>88</v>
      </c>
      <c r="BJ474" t="s">
        <v>79</v>
      </c>
      <c r="BM474">
        <v>1</v>
      </c>
      <c r="BN474">
        <v>2</v>
      </c>
      <c r="BO474">
        <v>3</v>
      </c>
      <c r="BP474" t="s">
        <v>80</v>
      </c>
      <c r="BR474">
        <v>0</v>
      </c>
      <c r="BS474">
        <v>6</v>
      </c>
      <c r="BU474">
        <v>365975</v>
      </c>
    </row>
    <row r="475" spans="1:73" x14ac:dyDescent="0.3">
      <c r="A475" t="s">
        <v>2656</v>
      </c>
      <c r="B475">
        <v>0</v>
      </c>
      <c r="C475">
        <v>0</v>
      </c>
      <c r="D475">
        <v>2</v>
      </c>
      <c r="E475">
        <v>706000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</v>
      </c>
      <c r="BC475" s="1">
        <v>706000</v>
      </c>
      <c r="BD475" t="s">
        <v>74</v>
      </c>
      <c r="BE475" t="s">
        <v>2657</v>
      </c>
      <c r="BF475" t="s">
        <v>280</v>
      </c>
      <c r="BH475" t="s">
        <v>77</v>
      </c>
      <c r="BI475" t="s">
        <v>88</v>
      </c>
      <c r="BJ475" t="s">
        <v>79</v>
      </c>
      <c r="BM475">
        <v>0</v>
      </c>
      <c r="BN475">
        <v>1</v>
      </c>
      <c r="BO475">
        <v>1</v>
      </c>
      <c r="BP475" t="s">
        <v>514</v>
      </c>
      <c r="BR475">
        <v>0</v>
      </c>
      <c r="BS475">
        <v>6</v>
      </c>
      <c r="BU475">
        <v>706000</v>
      </c>
    </row>
    <row r="476" spans="1:73" x14ac:dyDescent="0.3">
      <c r="A476" t="s">
        <v>2658</v>
      </c>
      <c r="B476">
        <v>0</v>
      </c>
      <c r="C476">
        <v>83914</v>
      </c>
      <c r="D476">
        <v>1</v>
      </c>
      <c r="E476">
        <v>91859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24335</v>
      </c>
      <c r="R476">
        <v>0</v>
      </c>
      <c r="S476">
        <v>165000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5</v>
      </c>
      <c r="BC476" s="1">
        <v>481302</v>
      </c>
      <c r="BD476" t="s">
        <v>74</v>
      </c>
      <c r="BE476" t="s">
        <v>2659</v>
      </c>
      <c r="BF476" t="s">
        <v>2660</v>
      </c>
      <c r="BH476" t="s">
        <v>175</v>
      </c>
      <c r="BI476" t="s">
        <v>857</v>
      </c>
      <c r="BJ476" t="s">
        <v>125</v>
      </c>
      <c r="BM476">
        <v>1</v>
      </c>
      <c r="BN476">
        <v>2</v>
      </c>
      <c r="BO476">
        <v>3</v>
      </c>
      <c r="BP476" t="s">
        <v>514</v>
      </c>
      <c r="BR476">
        <v>0</v>
      </c>
      <c r="BS476">
        <v>6</v>
      </c>
      <c r="BU476">
        <v>365108</v>
      </c>
    </row>
    <row r="477" spans="1:73" x14ac:dyDescent="0.3">
      <c r="A477" t="s">
        <v>2661</v>
      </c>
      <c r="B477">
        <v>0</v>
      </c>
      <c r="C477">
        <v>0</v>
      </c>
      <c r="D477">
        <v>1</v>
      </c>
      <c r="E477">
        <v>150000</v>
      </c>
      <c r="F477">
        <v>0</v>
      </c>
      <c r="G477">
        <v>0</v>
      </c>
      <c r="H477">
        <v>2</v>
      </c>
      <c r="I477">
        <v>178805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36111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6</v>
      </c>
      <c r="BC477" s="1">
        <v>451027</v>
      </c>
      <c r="BD477" t="s">
        <v>74</v>
      </c>
      <c r="BE477" t="s">
        <v>2662</v>
      </c>
      <c r="BF477" t="s">
        <v>2663</v>
      </c>
      <c r="BH477" t="s">
        <v>164</v>
      </c>
      <c r="BI477" t="s">
        <v>2664</v>
      </c>
      <c r="BJ477" t="s">
        <v>79</v>
      </c>
      <c r="BM477">
        <v>1</v>
      </c>
      <c r="BN477">
        <v>2</v>
      </c>
      <c r="BO477">
        <v>3</v>
      </c>
      <c r="BP477" t="s">
        <v>514</v>
      </c>
      <c r="BR477">
        <v>0</v>
      </c>
      <c r="BS477">
        <v>6</v>
      </c>
      <c r="BU477">
        <v>364916</v>
      </c>
    </row>
    <row r="478" spans="1:73" x14ac:dyDescent="0.3">
      <c r="A478" t="s">
        <v>2665</v>
      </c>
      <c r="B478">
        <v>0</v>
      </c>
      <c r="C478">
        <v>0</v>
      </c>
      <c r="D478">
        <v>1</v>
      </c>
      <c r="E478">
        <v>153000</v>
      </c>
      <c r="F478">
        <v>0</v>
      </c>
      <c r="G478">
        <v>0</v>
      </c>
      <c r="H478">
        <v>1</v>
      </c>
      <c r="I478">
        <v>20000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11364</v>
      </c>
      <c r="AA478">
        <v>0</v>
      </c>
      <c r="AB478">
        <v>1</v>
      </c>
      <c r="AC478">
        <v>225000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46</v>
      </c>
      <c r="BC478" s="1">
        <v>1016573</v>
      </c>
      <c r="BD478" t="s">
        <v>74</v>
      </c>
      <c r="BE478" t="s">
        <v>2666</v>
      </c>
      <c r="BF478" t="s">
        <v>2667</v>
      </c>
      <c r="BH478" t="s">
        <v>77</v>
      </c>
      <c r="BI478" t="s">
        <v>593</v>
      </c>
      <c r="BJ478" t="s">
        <v>79</v>
      </c>
      <c r="BM478">
        <v>2</v>
      </c>
      <c r="BN478">
        <v>2</v>
      </c>
      <c r="BO478">
        <v>4</v>
      </c>
      <c r="BP478" t="s">
        <v>514</v>
      </c>
      <c r="BR478">
        <v>0</v>
      </c>
      <c r="BS478">
        <v>6</v>
      </c>
      <c r="BU478">
        <v>409364</v>
      </c>
    </row>
    <row r="479" spans="1:73" x14ac:dyDescent="0.3">
      <c r="A479" t="s">
        <v>2668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43865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 s="1">
        <v>43865</v>
      </c>
      <c r="BD479" t="s">
        <v>74</v>
      </c>
      <c r="BE479" t="s">
        <v>2669</v>
      </c>
      <c r="BF479" t="s">
        <v>1273</v>
      </c>
      <c r="BH479" t="s">
        <v>77</v>
      </c>
      <c r="BI479" t="s">
        <v>204</v>
      </c>
      <c r="BJ479" t="s">
        <v>79</v>
      </c>
      <c r="BM479">
        <v>0</v>
      </c>
      <c r="BN479">
        <v>1</v>
      </c>
      <c r="BO479">
        <v>1</v>
      </c>
      <c r="BP479" t="s">
        <v>514</v>
      </c>
      <c r="BR479">
        <v>0</v>
      </c>
      <c r="BS479">
        <v>6</v>
      </c>
      <c r="BU479">
        <v>43865</v>
      </c>
    </row>
    <row r="480" spans="1:73" x14ac:dyDescent="0.3">
      <c r="A480" t="s">
        <v>2670</v>
      </c>
      <c r="B480">
        <v>0</v>
      </c>
      <c r="C480">
        <v>0</v>
      </c>
      <c r="D480">
        <v>2</v>
      </c>
      <c r="E480">
        <v>1236364</v>
      </c>
      <c r="F480">
        <v>0</v>
      </c>
      <c r="G480">
        <v>0</v>
      </c>
      <c r="H480">
        <v>17</v>
      </c>
      <c r="I480">
        <v>350000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21</v>
      </c>
      <c r="BC480" s="1">
        <v>2822728</v>
      </c>
      <c r="BD480" t="s">
        <v>74</v>
      </c>
      <c r="BE480" t="s">
        <v>2671</v>
      </c>
      <c r="BF480" t="s">
        <v>2672</v>
      </c>
      <c r="BH480" t="s">
        <v>77</v>
      </c>
      <c r="BI480" t="s">
        <v>204</v>
      </c>
      <c r="BJ480" t="s">
        <v>79</v>
      </c>
      <c r="BM480">
        <v>0</v>
      </c>
      <c r="BN480">
        <v>2</v>
      </c>
      <c r="BO480">
        <v>2</v>
      </c>
      <c r="BP480" t="s">
        <v>514</v>
      </c>
      <c r="BR480">
        <v>0</v>
      </c>
      <c r="BS480">
        <v>6</v>
      </c>
      <c r="BU480">
        <v>1586364</v>
      </c>
    </row>
    <row r="481" spans="1:73" x14ac:dyDescent="0.3">
      <c r="A481" t="s">
        <v>2673</v>
      </c>
      <c r="B481">
        <v>0</v>
      </c>
      <c r="C481">
        <v>0</v>
      </c>
      <c r="D481">
        <v>1</v>
      </c>
      <c r="E481">
        <v>168000</v>
      </c>
      <c r="F481">
        <v>0</v>
      </c>
      <c r="G481">
        <v>0</v>
      </c>
      <c r="H481">
        <v>2</v>
      </c>
      <c r="I481">
        <v>45000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8</v>
      </c>
      <c r="BC481" s="1">
        <v>1083546</v>
      </c>
      <c r="BD481" t="s">
        <v>74</v>
      </c>
      <c r="BE481" t="s">
        <v>2674</v>
      </c>
      <c r="BF481" t="s">
        <v>2675</v>
      </c>
      <c r="BH481" t="s">
        <v>77</v>
      </c>
      <c r="BI481" t="s">
        <v>204</v>
      </c>
      <c r="BJ481" t="s">
        <v>79</v>
      </c>
      <c r="BM481">
        <v>0</v>
      </c>
      <c r="BN481">
        <v>2</v>
      </c>
      <c r="BO481">
        <v>2</v>
      </c>
      <c r="BP481" t="s">
        <v>80</v>
      </c>
      <c r="BR481">
        <v>0</v>
      </c>
      <c r="BS481">
        <v>6</v>
      </c>
      <c r="BU481">
        <v>213000</v>
      </c>
    </row>
    <row r="482" spans="1:73" x14ac:dyDescent="0.3">
      <c r="A482" t="s">
        <v>2676</v>
      </c>
      <c r="B482">
        <v>0</v>
      </c>
      <c r="C482">
        <v>0</v>
      </c>
      <c r="D482">
        <v>5</v>
      </c>
      <c r="E482">
        <v>447272</v>
      </c>
      <c r="F482">
        <v>0</v>
      </c>
      <c r="G482">
        <v>0</v>
      </c>
      <c r="H482">
        <v>2</v>
      </c>
      <c r="I482">
        <v>40000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11</v>
      </c>
      <c r="BC482" s="1">
        <v>1094544</v>
      </c>
      <c r="BD482" t="s">
        <v>74</v>
      </c>
      <c r="BE482" t="s">
        <v>2677</v>
      </c>
      <c r="BF482" t="s">
        <v>2678</v>
      </c>
      <c r="BH482" t="s">
        <v>175</v>
      </c>
      <c r="BI482" t="s">
        <v>2679</v>
      </c>
      <c r="BJ482" t="s">
        <v>125</v>
      </c>
      <c r="BM482">
        <v>0</v>
      </c>
      <c r="BN482">
        <v>2</v>
      </c>
      <c r="BO482">
        <v>2</v>
      </c>
      <c r="BP482" t="s">
        <v>514</v>
      </c>
      <c r="BR482">
        <v>0</v>
      </c>
      <c r="BS482">
        <v>6</v>
      </c>
      <c r="BU482">
        <v>487272</v>
      </c>
    </row>
    <row r="483" spans="1:73" x14ac:dyDescent="0.3">
      <c r="A483" t="s">
        <v>2680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73535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</v>
      </c>
      <c r="BC483" s="1">
        <v>152120</v>
      </c>
      <c r="BD483" t="s">
        <v>74</v>
      </c>
      <c r="BE483" t="s">
        <v>2681</v>
      </c>
      <c r="BF483" t="s">
        <v>2682</v>
      </c>
      <c r="BH483" t="s">
        <v>77</v>
      </c>
      <c r="BI483" t="s">
        <v>88</v>
      </c>
      <c r="BJ483" t="s">
        <v>79</v>
      </c>
      <c r="BM483">
        <v>1</v>
      </c>
      <c r="BN483">
        <v>0</v>
      </c>
      <c r="BO483">
        <v>1</v>
      </c>
      <c r="BP483" t="s">
        <v>80</v>
      </c>
      <c r="BR483">
        <v>0</v>
      </c>
      <c r="BS483">
        <v>0</v>
      </c>
      <c r="BU483">
        <v>73535</v>
      </c>
    </row>
    <row r="484" spans="1:73" x14ac:dyDescent="0.3">
      <c r="A484" t="s">
        <v>2686</v>
      </c>
      <c r="B484">
        <v>0</v>
      </c>
      <c r="C484">
        <v>0</v>
      </c>
      <c r="D484">
        <v>1</v>
      </c>
      <c r="E484">
        <v>170000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</v>
      </c>
      <c r="BC484" s="1">
        <v>340000</v>
      </c>
      <c r="BD484" t="s">
        <v>74</v>
      </c>
      <c r="BE484" t="s">
        <v>2687</v>
      </c>
      <c r="BF484" t="s">
        <v>2688</v>
      </c>
      <c r="BH484" t="s">
        <v>77</v>
      </c>
      <c r="BI484" t="s">
        <v>204</v>
      </c>
      <c r="BJ484" t="s">
        <v>79</v>
      </c>
      <c r="BM484">
        <v>0</v>
      </c>
      <c r="BN484">
        <v>1</v>
      </c>
      <c r="BO484">
        <v>1</v>
      </c>
      <c r="BP484" t="s">
        <v>80</v>
      </c>
      <c r="BR484">
        <v>0</v>
      </c>
      <c r="BS484">
        <v>6</v>
      </c>
      <c r="BU484">
        <v>170000</v>
      </c>
    </row>
    <row r="485" spans="1:73" x14ac:dyDescent="0.3">
      <c r="A485" t="s">
        <v>2689</v>
      </c>
      <c r="B485">
        <v>0</v>
      </c>
      <c r="C485">
        <v>0</v>
      </c>
      <c r="D485">
        <v>2</v>
      </c>
      <c r="E485">
        <v>430000</v>
      </c>
      <c r="F485">
        <v>0</v>
      </c>
      <c r="G485">
        <v>0</v>
      </c>
      <c r="H485">
        <v>1</v>
      </c>
      <c r="I485">
        <v>20727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5</v>
      </c>
      <c r="BC485" s="1">
        <v>702340</v>
      </c>
      <c r="BD485" t="s">
        <v>74</v>
      </c>
      <c r="BE485" t="s">
        <v>2690</v>
      </c>
      <c r="BF485" t="s">
        <v>2691</v>
      </c>
      <c r="BH485" t="s">
        <v>77</v>
      </c>
      <c r="BI485" t="s">
        <v>228</v>
      </c>
      <c r="BJ485" t="s">
        <v>79</v>
      </c>
      <c r="BM485">
        <v>0</v>
      </c>
      <c r="BN485">
        <v>2</v>
      </c>
      <c r="BO485">
        <v>2</v>
      </c>
      <c r="BP485" t="s">
        <v>514</v>
      </c>
      <c r="BR485">
        <v>0</v>
      </c>
      <c r="BS485">
        <v>6</v>
      </c>
      <c r="BU485">
        <v>450727</v>
      </c>
    </row>
    <row r="486" spans="1:73" x14ac:dyDescent="0.3">
      <c r="A486" t="s">
        <v>2695</v>
      </c>
      <c r="B486">
        <v>0</v>
      </c>
      <c r="C486">
        <v>0</v>
      </c>
      <c r="D486">
        <v>1</v>
      </c>
      <c r="E486">
        <v>235000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65000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73535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19792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7</v>
      </c>
      <c r="BC486" s="1">
        <v>663132</v>
      </c>
      <c r="BD486" t="s">
        <v>74</v>
      </c>
      <c r="BE486" t="s">
        <v>2696</v>
      </c>
      <c r="BF486" t="s">
        <v>2697</v>
      </c>
      <c r="BH486" t="s">
        <v>77</v>
      </c>
      <c r="BI486" t="s">
        <v>78</v>
      </c>
      <c r="BJ486" t="s">
        <v>79</v>
      </c>
      <c r="BM486">
        <v>2</v>
      </c>
      <c r="BN486">
        <v>2</v>
      </c>
      <c r="BO486">
        <v>4</v>
      </c>
      <c r="BP486" t="s">
        <v>80</v>
      </c>
      <c r="BR486">
        <v>0</v>
      </c>
      <c r="BS486">
        <v>6</v>
      </c>
      <c r="BU486">
        <v>393327</v>
      </c>
    </row>
    <row r="487" spans="1:73" x14ac:dyDescent="0.3">
      <c r="A487" t="s">
        <v>2704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73535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3</v>
      </c>
      <c r="BC487" s="1">
        <v>330845</v>
      </c>
      <c r="BD487" t="s">
        <v>74</v>
      </c>
      <c r="BE487" t="s">
        <v>2705</v>
      </c>
      <c r="BF487" t="s">
        <v>2706</v>
      </c>
      <c r="BH487" t="s">
        <v>77</v>
      </c>
      <c r="BI487" t="s">
        <v>204</v>
      </c>
      <c r="BJ487" t="s">
        <v>79</v>
      </c>
      <c r="BM487">
        <v>1</v>
      </c>
      <c r="BN487">
        <v>0</v>
      </c>
      <c r="BO487">
        <v>1</v>
      </c>
      <c r="BP487" t="s">
        <v>80</v>
      </c>
      <c r="BR487">
        <v>0</v>
      </c>
      <c r="BS487">
        <v>6</v>
      </c>
      <c r="BU487">
        <v>73535</v>
      </c>
    </row>
    <row r="488" spans="1:73" x14ac:dyDescent="0.3">
      <c r="A488" t="s">
        <v>2713</v>
      </c>
      <c r="B488">
        <v>0</v>
      </c>
      <c r="C488">
        <v>0</v>
      </c>
      <c r="D488">
        <v>1</v>
      </c>
      <c r="E488">
        <v>230000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57000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</v>
      </c>
      <c r="BC488" s="1">
        <v>574000</v>
      </c>
      <c r="BD488" t="s">
        <v>74</v>
      </c>
      <c r="BE488" t="s">
        <v>2714</v>
      </c>
      <c r="BF488" t="s">
        <v>2715</v>
      </c>
      <c r="BH488" t="s">
        <v>77</v>
      </c>
      <c r="BI488" t="s">
        <v>281</v>
      </c>
      <c r="BJ488" t="s">
        <v>79</v>
      </c>
      <c r="BM488">
        <v>0</v>
      </c>
      <c r="BN488">
        <v>2</v>
      </c>
      <c r="BO488">
        <v>2</v>
      </c>
      <c r="BP488" t="s">
        <v>80</v>
      </c>
      <c r="BR488">
        <v>0</v>
      </c>
      <c r="BS488">
        <v>6</v>
      </c>
      <c r="BU488">
        <v>287000</v>
      </c>
    </row>
    <row r="489" spans="1:73" x14ac:dyDescent="0.3">
      <c r="A489" t="s">
        <v>2716</v>
      </c>
      <c r="B489">
        <v>8</v>
      </c>
      <c r="C489">
        <v>2249938</v>
      </c>
      <c r="D489">
        <v>3</v>
      </c>
      <c r="E489">
        <v>406182</v>
      </c>
      <c r="F489">
        <v>0</v>
      </c>
      <c r="G489">
        <v>0</v>
      </c>
      <c r="H489">
        <v>4</v>
      </c>
      <c r="I489">
        <v>132364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14</v>
      </c>
      <c r="BC489" s="1">
        <v>3062302</v>
      </c>
      <c r="BD489" t="s">
        <v>74</v>
      </c>
      <c r="BE489" t="s">
        <v>2717</v>
      </c>
      <c r="BF489" t="s">
        <v>2718</v>
      </c>
      <c r="BH489" t="s">
        <v>77</v>
      </c>
      <c r="BI489" t="s">
        <v>92</v>
      </c>
      <c r="BJ489" t="s">
        <v>79</v>
      </c>
      <c r="BM489">
        <v>0</v>
      </c>
      <c r="BN489">
        <v>3</v>
      </c>
      <c r="BO489">
        <v>3</v>
      </c>
      <c r="BP489" t="s">
        <v>80</v>
      </c>
      <c r="BR489">
        <v>0</v>
      </c>
      <c r="BS489">
        <v>6</v>
      </c>
      <c r="BU489">
        <v>2788484</v>
      </c>
    </row>
    <row r="490" spans="1:73" x14ac:dyDescent="0.3">
      <c r="A490" t="s">
        <v>2722</v>
      </c>
      <c r="B490">
        <v>0</v>
      </c>
      <c r="C490">
        <v>0</v>
      </c>
      <c r="D490">
        <v>2</v>
      </c>
      <c r="E490">
        <v>364000</v>
      </c>
      <c r="F490">
        <v>0</v>
      </c>
      <c r="G490">
        <v>0</v>
      </c>
      <c r="H490">
        <v>2</v>
      </c>
      <c r="I490">
        <v>50000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73535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8</v>
      </c>
      <c r="BC490" s="1">
        <v>925070</v>
      </c>
      <c r="BD490" t="s">
        <v>74</v>
      </c>
      <c r="BE490" t="s">
        <v>2723</v>
      </c>
      <c r="BF490" t="s">
        <v>2724</v>
      </c>
      <c r="BH490" t="s">
        <v>77</v>
      </c>
      <c r="BI490" t="s">
        <v>593</v>
      </c>
      <c r="BJ490" t="s">
        <v>79</v>
      </c>
      <c r="BM490">
        <v>1</v>
      </c>
      <c r="BN490">
        <v>2</v>
      </c>
      <c r="BO490">
        <v>3</v>
      </c>
      <c r="BP490" t="s">
        <v>80</v>
      </c>
      <c r="BR490">
        <v>0</v>
      </c>
      <c r="BS490">
        <v>6</v>
      </c>
      <c r="BU490">
        <v>487535</v>
      </c>
    </row>
    <row r="491" spans="1:73" x14ac:dyDescent="0.3">
      <c r="A491" t="s">
        <v>2728</v>
      </c>
      <c r="B491">
        <v>2</v>
      </c>
      <c r="C491">
        <v>1828881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</v>
      </c>
      <c r="BC491" s="1">
        <v>1828881</v>
      </c>
      <c r="BD491" t="s">
        <v>74</v>
      </c>
      <c r="BE491" t="s">
        <v>2729</v>
      </c>
      <c r="BF491" t="s">
        <v>2730</v>
      </c>
      <c r="BH491" t="s">
        <v>114</v>
      </c>
      <c r="BI491" t="s">
        <v>2731</v>
      </c>
      <c r="BJ491" t="s">
        <v>79</v>
      </c>
      <c r="BM491">
        <v>0</v>
      </c>
      <c r="BN491">
        <v>1</v>
      </c>
      <c r="BO491">
        <v>1</v>
      </c>
      <c r="BP491" t="s">
        <v>80</v>
      </c>
      <c r="BR491">
        <v>0</v>
      </c>
      <c r="BS491">
        <v>6</v>
      </c>
      <c r="BU491">
        <v>1828881</v>
      </c>
    </row>
    <row r="492" spans="1:73" x14ac:dyDescent="0.3">
      <c r="A492" t="s">
        <v>2736</v>
      </c>
      <c r="B492">
        <v>1</v>
      </c>
      <c r="C492">
        <v>1048564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45676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19792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3</v>
      </c>
      <c r="BC492" s="1">
        <v>1114032</v>
      </c>
      <c r="BD492" t="s">
        <v>74</v>
      </c>
      <c r="BE492" t="s">
        <v>2737</v>
      </c>
      <c r="BF492" t="s">
        <v>2738</v>
      </c>
      <c r="BH492" t="s">
        <v>77</v>
      </c>
      <c r="BI492" t="s">
        <v>84</v>
      </c>
      <c r="BJ492" t="s">
        <v>79</v>
      </c>
      <c r="BM492">
        <v>1</v>
      </c>
      <c r="BN492">
        <v>2</v>
      </c>
      <c r="BO492">
        <v>3</v>
      </c>
      <c r="BP492" t="s">
        <v>80</v>
      </c>
      <c r="BR492">
        <v>0</v>
      </c>
      <c r="BS492">
        <v>6</v>
      </c>
      <c r="BU492">
        <v>1114032</v>
      </c>
    </row>
    <row r="493" spans="1:73" x14ac:dyDescent="0.3">
      <c r="A493" t="s">
        <v>2739</v>
      </c>
      <c r="B493">
        <v>8</v>
      </c>
      <c r="C493">
        <v>3235604</v>
      </c>
      <c r="D493">
        <v>2</v>
      </c>
      <c r="E493">
        <v>2035000</v>
      </c>
      <c r="F493">
        <v>0</v>
      </c>
      <c r="G493">
        <v>0</v>
      </c>
      <c r="H493">
        <v>8</v>
      </c>
      <c r="I493">
        <v>160000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73535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20</v>
      </c>
      <c r="BC493" s="1">
        <v>7504139</v>
      </c>
      <c r="BD493" t="s">
        <v>74</v>
      </c>
      <c r="BE493" t="s">
        <v>2740</v>
      </c>
      <c r="BF493" t="s">
        <v>245</v>
      </c>
      <c r="BH493" t="s">
        <v>77</v>
      </c>
      <c r="BI493" t="s">
        <v>129</v>
      </c>
      <c r="BJ493" t="s">
        <v>79</v>
      </c>
      <c r="BM493">
        <v>1</v>
      </c>
      <c r="BN493">
        <v>3</v>
      </c>
      <c r="BO493">
        <v>4</v>
      </c>
      <c r="BP493" t="s">
        <v>80</v>
      </c>
      <c r="BR493">
        <v>0</v>
      </c>
      <c r="BS493">
        <v>5</v>
      </c>
      <c r="BU493">
        <v>5504139</v>
      </c>
    </row>
    <row r="494" spans="1:73" x14ac:dyDescent="0.3">
      <c r="A494" t="s">
        <v>2741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73535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</v>
      </c>
      <c r="BC494" s="1">
        <v>166862</v>
      </c>
      <c r="BD494" t="s">
        <v>74</v>
      </c>
      <c r="BE494" t="s">
        <v>2742</v>
      </c>
      <c r="BF494" t="s">
        <v>2743</v>
      </c>
      <c r="BH494" t="s">
        <v>77</v>
      </c>
      <c r="BI494" t="s">
        <v>92</v>
      </c>
      <c r="BJ494" t="s">
        <v>79</v>
      </c>
      <c r="BM494">
        <v>1</v>
      </c>
      <c r="BN494">
        <v>0</v>
      </c>
      <c r="BO494">
        <v>1</v>
      </c>
      <c r="BP494" t="s">
        <v>80</v>
      </c>
      <c r="BR494">
        <v>0</v>
      </c>
      <c r="BS494">
        <v>6</v>
      </c>
      <c r="BU494">
        <v>73535</v>
      </c>
    </row>
    <row r="495" spans="1:73" x14ac:dyDescent="0.3">
      <c r="A495" t="s">
        <v>2744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78585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</v>
      </c>
      <c r="BC495" s="1">
        <v>157170</v>
      </c>
      <c r="BD495" t="s">
        <v>74</v>
      </c>
      <c r="BE495" t="s">
        <v>2745</v>
      </c>
      <c r="BF495" t="s">
        <v>2746</v>
      </c>
      <c r="BH495" t="s">
        <v>77</v>
      </c>
      <c r="BI495" t="s">
        <v>84</v>
      </c>
      <c r="BJ495" t="s">
        <v>79</v>
      </c>
      <c r="BM495">
        <v>1</v>
      </c>
      <c r="BN495">
        <v>0</v>
      </c>
      <c r="BO495">
        <v>1</v>
      </c>
      <c r="BP495" t="s">
        <v>80</v>
      </c>
      <c r="BR495">
        <v>0</v>
      </c>
      <c r="BS495">
        <v>6</v>
      </c>
      <c r="BU495">
        <v>78585</v>
      </c>
    </row>
    <row r="496" spans="1:73" x14ac:dyDescent="0.3">
      <c r="A496" t="s">
        <v>2747</v>
      </c>
      <c r="B496">
        <v>4</v>
      </c>
      <c r="C496">
        <v>1658129</v>
      </c>
      <c r="D496">
        <v>18</v>
      </c>
      <c r="E496">
        <v>2584366</v>
      </c>
      <c r="F496">
        <v>0</v>
      </c>
      <c r="G496">
        <v>0</v>
      </c>
      <c r="H496">
        <v>39</v>
      </c>
      <c r="I496">
        <v>1203511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492000</v>
      </c>
      <c r="P496">
        <v>5</v>
      </c>
      <c r="Q496">
        <v>663818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416289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73</v>
      </c>
      <c r="BC496" s="1">
        <v>7746770</v>
      </c>
      <c r="BD496" t="s">
        <v>74</v>
      </c>
      <c r="BE496" t="s">
        <v>2748</v>
      </c>
      <c r="BF496" t="s">
        <v>1310</v>
      </c>
      <c r="BH496" t="s">
        <v>77</v>
      </c>
      <c r="BI496" t="s">
        <v>593</v>
      </c>
      <c r="BJ496" t="s">
        <v>79</v>
      </c>
      <c r="BM496">
        <v>1</v>
      </c>
      <c r="BN496">
        <v>5</v>
      </c>
      <c r="BO496">
        <v>6</v>
      </c>
      <c r="BP496" t="s">
        <v>514</v>
      </c>
      <c r="BR496">
        <v>0</v>
      </c>
      <c r="BS496">
        <v>5</v>
      </c>
      <c r="BU496">
        <v>7018113</v>
      </c>
    </row>
    <row r="497" spans="1:73" x14ac:dyDescent="0.3">
      <c r="A497" t="s">
        <v>2749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185000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 s="1">
        <v>185000</v>
      </c>
      <c r="BD497" t="s">
        <v>74</v>
      </c>
      <c r="BE497" t="s">
        <v>2750</v>
      </c>
      <c r="BF497" t="s">
        <v>2751</v>
      </c>
      <c r="BH497" t="s">
        <v>77</v>
      </c>
      <c r="BI497" t="s">
        <v>739</v>
      </c>
      <c r="BJ497" t="s">
        <v>79</v>
      </c>
      <c r="BM497">
        <v>0</v>
      </c>
      <c r="BN497">
        <v>1</v>
      </c>
      <c r="BO497">
        <v>1</v>
      </c>
      <c r="BP497" t="s">
        <v>514</v>
      </c>
      <c r="BR497">
        <v>0</v>
      </c>
      <c r="BS497">
        <v>6</v>
      </c>
      <c r="BU497">
        <v>185000</v>
      </c>
    </row>
    <row r="498" spans="1:73" x14ac:dyDescent="0.3">
      <c r="A498" t="s">
        <v>2752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25000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 s="1">
        <v>25000</v>
      </c>
      <c r="BD498" t="s">
        <v>74</v>
      </c>
      <c r="BE498" t="s">
        <v>2753</v>
      </c>
      <c r="BF498" t="s">
        <v>2754</v>
      </c>
      <c r="BH498" t="s">
        <v>77</v>
      </c>
      <c r="BI498" t="s">
        <v>574</v>
      </c>
      <c r="BJ498" t="s">
        <v>79</v>
      </c>
      <c r="BM498">
        <v>0</v>
      </c>
      <c r="BN498">
        <v>1</v>
      </c>
      <c r="BO498">
        <v>1</v>
      </c>
      <c r="BP498" t="s">
        <v>80</v>
      </c>
      <c r="BR498">
        <v>0</v>
      </c>
      <c r="BS498">
        <v>6</v>
      </c>
      <c r="BU498">
        <v>25000</v>
      </c>
    </row>
    <row r="499" spans="1:73" x14ac:dyDescent="0.3">
      <c r="A499" t="s">
        <v>2755</v>
      </c>
      <c r="B499">
        <v>0</v>
      </c>
      <c r="C499">
        <v>0</v>
      </c>
      <c r="D499">
        <v>4</v>
      </c>
      <c r="E499">
        <v>111936</v>
      </c>
      <c r="F499">
        <v>0</v>
      </c>
      <c r="G499">
        <v>0</v>
      </c>
      <c r="H499">
        <v>6</v>
      </c>
      <c r="I499">
        <v>120000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8</v>
      </c>
      <c r="BC499" s="1">
        <v>223872</v>
      </c>
      <c r="BD499" t="s">
        <v>74</v>
      </c>
      <c r="BE499" t="s">
        <v>2756</v>
      </c>
      <c r="BF499" t="s">
        <v>2757</v>
      </c>
      <c r="BH499" t="s">
        <v>77</v>
      </c>
      <c r="BI499" t="s">
        <v>228</v>
      </c>
      <c r="BJ499" t="s">
        <v>79</v>
      </c>
      <c r="BM499">
        <v>0</v>
      </c>
      <c r="BN499">
        <v>2</v>
      </c>
      <c r="BO499">
        <v>2</v>
      </c>
      <c r="BP499" t="s">
        <v>80</v>
      </c>
      <c r="BR499">
        <v>0</v>
      </c>
      <c r="BS499">
        <v>6</v>
      </c>
      <c r="BU499">
        <v>231936</v>
      </c>
    </row>
    <row r="500" spans="1:73" x14ac:dyDescent="0.3">
      <c r="A500" t="s">
        <v>2758</v>
      </c>
      <c r="B500">
        <v>2</v>
      </c>
      <c r="C500">
        <v>296928</v>
      </c>
      <c r="D500">
        <v>5</v>
      </c>
      <c r="E500">
        <v>414392</v>
      </c>
      <c r="F500">
        <v>0</v>
      </c>
      <c r="G500">
        <v>0</v>
      </c>
      <c r="H500">
        <v>3</v>
      </c>
      <c r="I500">
        <v>78392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9</v>
      </c>
      <c r="BC500" s="1">
        <v>1047320</v>
      </c>
      <c r="BD500" t="s">
        <v>74</v>
      </c>
      <c r="BE500" t="s">
        <v>2759</v>
      </c>
      <c r="BF500" t="s">
        <v>2760</v>
      </c>
      <c r="BH500" t="s">
        <v>136</v>
      </c>
      <c r="BI500" t="s">
        <v>439</v>
      </c>
      <c r="BJ500" t="s">
        <v>125</v>
      </c>
      <c r="BM500">
        <v>0</v>
      </c>
      <c r="BN500">
        <v>3</v>
      </c>
      <c r="BO500">
        <v>3</v>
      </c>
      <c r="BP500" t="s">
        <v>80</v>
      </c>
      <c r="BR500">
        <v>0</v>
      </c>
      <c r="BS500">
        <v>6</v>
      </c>
      <c r="BU500">
        <v>789712</v>
      </c>
    </row>
    <row r="501" spans="1:73" x14ac:dyDescent="0.3">
      <c r="A501" t="s">
        <v>2767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20000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 s="1">
        <v>20000</v>
      </c>
      <c r="BD501" t="s">
        <v>74</v>
      </c>
      <c r="BE501" t="s">
        <v>2768</v>
      </c>
      <c r="BF501" t="s">
        <v>2769</v>
      </c>
      <c r="BH501" t="s">
        <v>77</v>
      </c>
      <c r="BI501" t="s">
        <v>720</v>
      </c>
      <c r="BJ501" t="s">
        <v>79</v>
      </c>
      <c r="BM501">
        <v>0</v>
      </c>
      <c r="BN501">
        <v>1</v>
      </c>
      <c r="BO501">
        <v>1</v>
      </c>
      <c r="BP501" t="s">
        <v>514</v>
      </c>
      <c r="BR501">
        <v>0</v>
      </c>
      <c r="BS501">
        <v>6</v>
      </c>
      <c r="BU501">
        <v>20000</v>
      </c>
    </row>
    <row r="502" spans="1:73" x14ac:dyDescent="0.3">
      <c r="A502" t="s">
        <v>2777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12</v>
      </c>
      <c r="I502">
        <v>250000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235755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18</v>
      </c>
      <c r="BC502" s="1">
        <v>721510</v>
      </c>
      <c r="BD502" t="s">
        <v>74</v>
      </c>
      <c r="BE502" t="s">
        <v>2778</v>
      </c>
      <c r="BF502" t="s">
        <v>2779</v>
      </c>
      <c r="BH502" t="s">
        <v>77</v>
      </c>
      <c r="BI502" t="s">
        <v>129</v>
      </c>
      <c r="BJ502" t="s">
        <v>79</v>
      </c>
      <c r="BM502">
        <v>1</v>
      </c>
      <c r="BN502">
        <v>1</v>
      </c>
      <c r="BO502">
        <v>2</v>
      </c>
      <c r="BP502" t="s">
        <v>80</v>
      </c>
      <c r="BR502">
        <v>0</v>
      </c>
      <c r="BS502">
        <v>6</v>
      </c>
      <c r="BU502">
        <v>485755</v>
      </c>
    </row>
    <row r="503" spans="1:73" x14ac:dyDescent="0.3">
      <c r="A503" t="s">
        <v>2783</v>
      </c>
      <c r="B503">
        <v>0</v>
      </c>
      <c r="C503">
        <v>0</v>
      </c>
      <c r="D503">
        <v>2</v>
      </c>
      <c r="E503">
        <v>48737</v>
      </c>
      <c r="F503">
        <v>0</v>
      </c>
      <c r="G503">
        <v>0</v>
      </c>
      <c r="H503">
        <v>5</v>
      </c>
      <c r="I503">
        <v>122474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</v>
      </c>
      <c r="BC503" s="1">
        <v>122474</v>
      </c>
      <c r="BD503" t="s">
        <v>74</v>
      </c>
      <c r="BE503" t="s">
        <v>2784</v>
      </c>
      <c r="BF503" t="s">
        <v>2785</v>
      </c>
      <c r="BH503" t="s">
        <v>77</v>
      </c>
      <c r="BI503" t="s">
        <v>204</v>
      </c>
      <c r="BJ503" t="s">
        <v>79</v>
      </c>
      <c r="BM503">
        <v>0</v>
      </c>
      <c r="BN503">
        <v>2</v>
      </c>
      <c r="BO503">
        <v>2</v>
      </c>
      <c r="BP503" t="s">
        <v>80</v>
      </c>
      <c r="BR503">
        <v>0</v>
      </c>
      <c r="BS503">
        <v>6</v>
      </c>
      <c r="BU503">
        <v>171211</v>
      </c>
    </row>
    <row r="504" spans="1:73" x14ac:dyDescent="0.3">
      <c r="A504" t="s">
        <v>2789</v>
      </c>
      <c r="B504">
        <v>1</v>
      </c>
      <c r="C504">
        <v>230944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 s="1">
        <v>230944</v>
      </c>
      <c r="BD504" t="s">
        <v>74</v>
      </c>
      <c r="BE504" t="s">
        <v>2790</v>
      </c>
      <c r="BF504" t="s">
        <v>2791</v>
      </c>
      <c r="BH504" t="s">
        <v>77</v>
      </c>
      <c r="BI504" t="s">
        <v>92</v>
      </c>
      <c r="BJ504" t="s">
        <v>79</v>
      </c>
      <c r="BM504">
        <v>0</v>
      </c>
      <c r="BN504">
        <v>1</v>
      </c>
      <c r="BO504">
        <v>1</v>
      </c>
      <c r="BP504" t="s">
        <v>80</v>
      </c>
      <c r="BR504">
        <v>0</v>
      </c>
      <c r="BS504">
        <v>6</v>
      </c>
      <c r="BU504">
        <v>230944</v>
      </c>
    </row>
    <row r="505" spans="1:73" x14ac:dyDescent="0.3">
      <c r="A505" t="s">
        <v>2792</v>
      </c>
      <c r="B505">
        <v>0</v>
      </c>
      <c r="C505">
        <v>0</v>
      </c>
      <c r="D505">
        <v>1</v>
      </c>
      <c r="E505">
        <v>340000</v>
      </c>
      <c r="F505">
        <v>0</v>
      </c>
      <c r="G505">
        <v>0</v>
      </c>
      <c r="H505">
        <v>2</v>
      </c>
      <c r="I505">
        <v>40000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42000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4</v>
      </c>
      <c r="BC505" s="1">
        <v>422000</v>
      </c>
      <c r="BD505" t="s">
        <v>74</v>
      </c>
      <c r="BE505" t="s">
        <v>2793</v>
      </c>
      <c r="BF505" t="s">
        <v>2794</v>
      </c>
      <c r="BH505" t="s">
        <v>77</v>
      </c>
      <c r="BI505" t="s">
        <v>92</v>
      </c>
      <c r="BM505">
        <v>0</v>
      </c>
      <c r="BN505">
        <v>3</v>
      </c>
      <c r="BO505">
        <v>3</v>
      </c>
      <c r="BP505" t="s">
        <v>80</v>
      </c>
      <c r="BR505">
        <v>0</v>
      </c>
      <c r="BS505">
        <v>6</v>
      </c>
      <c r="BU505">
        <v>422000</v>
      </c>
    </row>
    <row r="506" spans="1:73" x14ac:dyDescent="0.3">
      <c r="A506" t="s">
        <v>2795</v>
      </c>
      <c r="B506">
        <v>1</v>
      </c>
      <c r="C506">
        <v>263845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 s="1">
        <v>263845</v>
      </c>
      <c r="BD506" t="s">
        <v>74</v>
      </c>
      <c r="BE506" t="s">
        <v>2796</v>
      </c>
      <c r="BF506" t="s">
        <v>2797</v>
      </c>
      <c r="BH506" t="s">
        <v>77</v>
      </c>
      <c r="BI506" t="s">
        <v>204</v>
      </c>
      <c r="BJ506" t="s">
        <v>79</v>
      </c>
      <c r="BM506">
        <v>0</v>
      </c>
      <c r="BN506">
        <v>1</v>
      </c>
      <c r="BO506">
        <v>1</v>
      </c>
      <c r="BP506" t="s">
        <v>80</v>
      </c>
      <c r="BR506">
        <v>0</v>
      </c>
      <c r="BS506">
        <v>6</v>
      </c>
      <c r="BU506">
        <v>263845</v>
      </c>
    </row>
    <row r="507" spans="1:73" x14ac:dyDescent="0.3">
      <c r="A507" t="s">
        <v>2798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73535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19792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</v>
      </c>
      <c r="BC507" s="1">
        <v>186654</v>
      </c>
      <c r="BD507" t="s">
        <v>74</v>
      </c>
      <c r="BE507" t="s">
        <v>2799</v>
      </c>
      <c r="BF507" t="s">
        <v>1495</v>
      </c>
      <c r="BH507" t="s">
        <v>77</v>
      </c>
      <c r="BI507" t="s">
        <v>281</v>
      </c>
      <c r="BM507">
        <v>2</v>
      </c>
      <c r="BN507">
        <v>0</v>
      </c>
      <c r="BO507">
        <v>2</v>
      </c>
      <c r="BP507" t="s">
        <v>80</v>
      </c>
      <c r="BR507">
        <v>0</v>
      </c>
      <c r="BS507">
        <v>6</v>
      </c>
      <c r="BU507">
        <v>93327</v>
      </c>
    </row>
    <row r="508" spans="1:73" x14ac:dyDescent="0.3">
      <c r="A508" t="s">
        <v>2800</v>
      </c>
      <c r="B508">
        <v>0</v>
      </c>
      <c r="C508">
        <v>0</v>
      </c>
      <c r="D508">
        <v>5</v>
      </c>
      <c r="E508">
        <v>2128843</v>
      </c>
      <c r="F508">
        <v>0</v>
      </c>
      <c r="G508">
        <v>0</v>
      </c>
      <c r="H508">
        <v>8</v>
      </c>
      <c r="I508">
        <v>257686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10</v>
      </c>
      <c r="BC508" s="1">
        <v>4257686</v>
      </c>
      <c r="BD508" t="s">
        <v>74</v>
      </c>
      <c r="BE508" t="s">
        <v>2801</v>
      </c>
      <c r="BF508" t="s">
        <v>2802</v>
      </c>
      <c r="BH508" t="s">
        <v>77</v>
      </c>
      <c r="BI508" t="s">
        <v>129</v>
      </c>
      <c r="BJ508" t="s">
        <v>79</v>
      </c>
      <c r="BM508">
        <v>0</v>
      </c>
      <c r="BN508">
        <v>2</v>
      </c>
      <c r="BO508">
        <v>2</v>
      </c>
      <c r="BP508" t="s">
        <v>80</v>
      </c>
      <c r="BR508">
        <v>0</v>
      </c>
      <c r="BS508">
        <v>6</v>
      </c>
      <c r="BU508">
        <v>2386529</v>
      </c>
    </row>
    <row r="509" spans="1:73" x14ac:dyDescent="0.3">
      <c r="A509" t="s">
        <v>2803</v>
      </c>
      <c r="B509">
        <v>0</v>
      </c>
      <c r="C509">
        <v>0</v>
      </c>
      <c r="D509">
        <v>2</v>
      </c>
      <c r="E509">
        <v>68163</v>
      </c>
      <c r="F509">
        <v>1</v>
      </c>
      <c r="G509">
        <v>14606725</v>
      </c>
      <c r="H509">
        <v>2</v>
      </c>
      <c r="I509">
        <v>68163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73535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8</v>
      </c>
      <c r="BC509" s="1">
        <v>29661638</v>
      </c>
      <c r="BD509" t="s">
        <v>74</v>
      </c>
      <c r="BE509" t="s">
        <v>2804</v>
      </c>
      <c r="BF509" t="s">
        <v>787</v>
      </c>
      <c r="BH509" t="s">
        <v>77</v>
      </c>
      <c r="BI509" t="s">
        <v>129</v>
      </c>
      <c r="BJ509" t="s">
        <v>79</v>
      </c>
      <c r="BM509">
        <v>1</v>
      </c>
      <c r="BN509">
        <v>3</v>
      </c>
      <c r="BO509">
        <v>4</v>
      </c>
      <c r="BP509" t="s">
        <v>80</v>
      </c>
      <c r="BR509">
        <v>0</v>
      </c>
      <c r="BS509">
        <v>4</v>
      </c>
      <c r="BU509">
        <v>14816586</v>
      </c>
    </row>
    <row r="510" spans="1:73" x14ac:dyDescent="0.3">
      <c r="A510" t="s">
        <v>2811</v>
      </c>
      <c r="B510">
        <v>1</v>
      </c>
      <c r="C510">
        <v>387743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47916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</v>
      </c>
      <c r="BC510" s="1">
        <v>483576</v>
      </c>
      <c r="BD510" t="s">
        <v>74</v>
      </c>
      <c r="BE510" t="s">
        <v>2812</v>
      </c>
      <c r="BF510" t="s">
        <v>2813</v>
      </c>
      <c r="BH510" t="s">
        <v>77</v>
      </c>
      <c r="BI510" t="s">
        <v>593</v>
      </c>
      <c r="BJ510" t="s">
        <v>79</v>
      </c>
      <c r="BM510">
        <v>1</v>
      </c>
      <c r="BN510">
        <v>1</v>
      </c>
      <c r="BO510">
        <v>2</v>
      </c>
      <c r="BP510" t="s">
        <v>80</v>
      </c>
      <c r="BR510">
        <v>0</v>
      </c>
      <c r="BS510">
        <v>6</v>
      </c>
      <c r="BU510">
        <v>435659</v>
      </c>
    </row>
    <row r="511" spans="1:73" x14ac:dyDescent="0.3">
      <c r="A511" t="s">
        <v>2814</v>
      </c>
      <c r="B511">
        <v>0</v>
      </c>
      <c r="C511">
        <v>0</v>
      </c>
      <c r="D511">
        <v>3</v>
      </c>
      <c r="E511">
        <v>830000</v>
      </c>
      <c r="F511">
        <v>0</v>
      </c>
      <c r="G511">
        <v>0</v>
      </c>
      <c r="H511">
        <v>2</v>
      </c>
      <c r="I511">
        <v>40000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</v>
      </c>
      <c r="BC511" s="1">
        <v>2285455</v>
      </c>
      <c r="BD511" t="s">
        <v>74</v>
      </c>
      <c r="BE511" t="s">
        <v>2815</v>
      </c>
      <c r="BF511" t="s">
        <v>2660</v>
      </c>
      <c r="BH511" t="s">
        <v>175</v>
      </c>
      <c r="BI511" t="s">
        <v>857</v>
      </c>
      <c r="BJ511" t="s">
        <v>125</v>
      </c>
      <c r="BM511">
        <v>0</v>
      </c>
      <c r="BN511">
        <v>2</v>
      </c>
      <c r="BO511">
        <v>2</v>
      </c>
      <c r="BP511" t="s">
        <v>514</v>
      </c>
      <c r="BR511">
        <v>0</v>
      </c>
      <c r="BS511">
        <v>6</v>
      </c>
      <c r="BU511">
        <v>870000</v>
      </c>
    </row>
    <row r="512" spans="1:73" x14ac:dyDescent="0.3">
      <c r="A512" t="s">
        <v>2819</v>
      </c>
      <c r="B512">
        <v>0</v>
      </c>
      <c r="C512">
        <v>0</v>
      </c>
      <c r="D512">
        <v>3</v>
      </c>
      <c r="E512">
        <v>329454</v>
      </c>
      <c r="F512">
        <v>0</v>
      </c>
      <c r="G512">
        <v>0</v>
      </c>
      <c r="H512">
        <v>11</v>
      </c>
      <c r="I512">
        <v>819598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14</v>
      </c>
      <c r="BC512" s="1">
        <v>1257598</v>
      </c>
      <c r="BD512" t="s">
        <v>74</v>
      </c>
      <c r="BE512" t="s">
        <v>2820</v>
      </c>
      <c r="BF512" t="s">
        <v>2821</v>
      </c>
      <c r="BH512" t="s">
        <v>77</v>
      </c>
      <c r="BI512" t="s">
        <v>204</v>
      </c>
      <c r="BJ512" t="s">
        <v>79</v>
      </c>
      <c r="BM512">
        <v>0</v>
      </c>
      <c r="BN512">
        <v>2</v>
      </c>
      <c r="BO512">
        <v>2</v>
      </c>
      <c r="BP512" t="s">
        <v>514</v>
      </c>
      <c r="BR512">
        <v>0</v>
      </c>
      <c r="BS512">
        <v>6</v>
      </c>
      <c r="BU512">
        <v>1149052</v>
      </c>
    </row>
    <row r="513" spans="1:73" x14ac:dyDescent="0.3">
      <c r="A513" t="s">
        <v>2833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82955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19792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</v>
      </c>
      <c r="BC513" s="1">
        <v>102747</v>
      </c>
      <c r="BD513" t="s">
        <v>74</v>
      </c>
      <c r="BE513" t="s">
        <v>2834</v>
      </c>
      <c r="BF513" t="s">
        <v>2835</v>
      </c>
      <c r="BH513" t="s">
        <v>77</v>
      </c>
      <c r="BI513" t="s">
        <v>129</v>
      </c>
      <c r="BJ513" t="s">
        <v>79</v>
      </c>
      <c r="BM513">
        <v>2</v>
      </c>
      <c r="BN513">
        <v>0</v>
      </c>
      <c r="BO513">
        <v>2</v>
      </c>
      <c r="BP513" t="s">
        <v>80</v>
      </c>
      <c r="BR513">
        <v>0</v>
      </c>
      <c r="BS513">
        <v>0</v>
      </c>
      <c r="BU513">
        <v>102747</v>
      </c>
    </row>
    <row r="514" spans="1:73" x14ac:dyDescent="0.3">
      <c r="A514" t="s">
        <v>2836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73535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2</v>
      </c>
      <c r="BC514" s="1">
        <v>147070</v>
      </c>
      <c r="BD514" t="s">
        <v>74</v>
      </c>
      <c r="BE514" t="s">
        <v>2837</v>
      </c>
      <c r="BF514" t="s">
        <v>2838</v>
      </c>
      <c r="BH514" t="s">
        <v>77</v>
      </c>
      <c r="BI514" t="s">
        <v>228</v>
      </c>
      <c r="BJ514" t="s">
        <v>79</v>
      </c>
      <c r="BM514">
        <v>1</v>
      </c>
      <c r="BN514">
        <v>0</v>
      </c>
      <c r="BO514">
        <v>1</v>
      </c>
      <c r="BP514" t="s">
        <v>80</v>
      </c>
      <c r="BR514">
        <v>0</v>
      </c>
      <c r="BS514">
        <v>6</v>
      </c>
      <c r="BU514">
        <v>73535</v>
      </c>
    </row>
    <row r="515" spans="1:73" x14ac:dyDescent="0.3">
      <c r="A515" t="s">
        <v>2842</v>
      </c>
      <c r="B515">
        <v>2</v>
      </c>
      <c r="C515">
        <v>572719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</v>
      </c>
      <c r="BC515" s="1">
        <v>572719</v>
      </c>
      <c r="BD515" t="s">
        <v>74</v>
      </c>
      <c r="BE515" t="s">
        <v>2843</v>
      </c>
      <c r="BF515" t="s">
        <v>2844</v>
      </c>
      <c r="BH515" t="s">
        <v>77</v>
      </c>
      <c r="BI515" t="s">
        <v>574</v>
      </c>
      <c r="BJ515" t="s">
        <v>79</v>
      </c>
      <c r="BM515">
        <v>0</v>
      </c>
      <c r="BN515">
        <v>1</v>
      </c>
      <c r="BO515">
        <v>1</v>
      </c>
      <c r="BP515" t="s">
        <v>80</v>
      </c>
      <c r="BR515">
        <v>0</v>
      </c>
      <c r="BS515">
        <v>6</v>
      </c>
      <c r="BU515">
        <v>572719</v>
      </c>
    </row>
    <row r="516" spans="1:73" x14ac:dyDescent="0.3">
      <c r="A516" t="s">
        <v>2855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96439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</v>
      </c>
      <c r="BC516" s="1">
        <v>192878</v>
      </c>
      <c r="BD516" t="s">
        <v>74</v>
      </c>
      <c r="BE516" t="s">
        <v>2856</v>
      </c>
      <c r="BF516" t="s">
        <v>2857</v>
      </c>
      <c r="BH516" t="s">
        <v>77</v>
      </c>
      <c r="BI516" t="s">
        <v>88</v>
      </c>
      <c r="BJ516" t="s">
        <v>79</v>
      </c>
      <c r="BM516">
        <v>1</v>
      </c>
      <c r="BN516">
        <v>0</v>
      </c>
      <c r="BO516">
        <v>1</v>
      </c>
      <c r="BP516" t="s">
        <v>80</v>
      </c>
      <c r="BR516">
        <v>0</v>
      </c>
      <c r="BS516">
        <v>6</v>
      </c>
      <c r="BU516">
        <v>96439</v>
      </c>
    </row>
    <row r="517" spans="1:73" x14ac:dyDescent="0.3">
      <c r="A517" t="s">
        <v>2858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73535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</v>
      </c>
      <c r="BC517" s="1">
        <v>147070</v>
      </c>
      <c r="BD517" t="s">
        <v>74</v>
      </c>
      <c r="BE517" t="s">
        <v>2859</v>
      </c>
      <c r="BF517" t="s">
        <v>2860</v>
      </c>
      <c r="BH517" t="s">
        <v>77</v>
      </c>
      <c r="BI517" t="s">
        <v>78</v>
      </c>
      <c r="BJ517" t="s">
        <v>79</v>
      </c>
      <c r="BM517">
        <v>1</v>
      </c>
      <c r="BN517">
        <v>0</v>
      </c>
      <c r="BO517">
        <v>1</v>
      </c>
      <c r="BP517" t="s">
        <v>80</v>
      </c>
      <c r="BR517">
        <v>0</v>
      </c>
      <c r="BS517">
        <v>6</v>
      </c>
      <c r="BU517">
        <v>73535</v>
      </c>
    </row>
    <row r="518" spans="1:73" x14ac:dyDescent="0.3">
      <c r="A518" t="s">
        <v>2861</v>
      </c>
      <c r="B518">
        <v>1</v>
      </c>
      <c r="C518">
        <v>528393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 s="1">
        <v>528393</v>
      </c>
      <c r="BD518" t="s">
        <v>74</v>
      </c>
      <c r="BE518" t="s">
        <v>2862</v>
      </c>
      <c r="BF518" t="s">
        <v>2863</v>
      </c>
      <c r="BH518" t="s">
        <v>77</v>
      </c>
      <c r="BI518" t="s">
        <v>92</v>
      </c>
      <c r="BJ518" t="s">
        <v>79</v>
      </c>
      <c r="BM518">
        <v>0</v>
      </c>
      <c r="BN518">
        <v>1</v>
      </c>
      <c r="BO518">
        <v>1</v>
      </c>
      <c r="BP518" t="s">
        <v>80</v>
      </c>
      <c r="BR518">
        <v>0</v>
      </c>
      <c r="BS518">
        <v>6</v>
      </c>
      <c r="BU518">
        <v>528393</v>
      </c>
    </row>
    <row r="519" spans="1:73" x14ac:dyDescent="0.3">
      <c r="A519" t="s">
        <v>2864</v>
      </c>
      <c r="B519">
        <v>0</v>
      </c>
      <c r="C519">
        <v>0</v>
      </c>
      <c r="D519">
        <v>2</v>
      </c>
      <c r="E519">
        <v>3600000</v>
      </c>
      <c r="F519">
        <v>0</v>
      </c>
      <c r="G519">
        <v>0</v>
      </c>
      <c r="H519">
        <v>2</v>
      </c>
      <c r="I519">
        <v>2207300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366187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11</v>
      </c>
      <c r="BC519" s="1">
        <v>10218259</v>
      </c>
      <c r="BD519" t="s">
        <v>74</v>
      </c>
      <c r="BE519" t="s">
        <v>2865</v>
      </c>
      <c r="BF519" t="s">
        <v>2866</v>
      </c>
      <c r="BH519" t="s">
        <v>77</v>
      </c>
      <c r="BI519" t="s">
        <v>129</v>
      </c>
      <c r="BJ519" t="s">
        <v>79</v>
      </c>
      <c r="BM519">
        <v>1</v>
      </c>
      <c r="BN519">
        <v>2</v>
      </c>
      <c r="BO519">
        <v>3</v>
      </c>
      <c r="BP519" t="s">
        <v>80</v>
      </c>
      <c r="BR519">
        <v>0</v>
      </c>
      <c r="BS519">
        <v>5</v>
      </c>
      <c r="BU519">
        <v>6173487</v>
      </c>
    </row>
    <row r="520" spans="1:73" x14ac:dyDescent="0.3">
      <c r="A520" t="s">
        <v>2876</v>
      </c>
      <c r="B520">
        <v>0</v>
      </c>
      <c r="C520">
        <v>0</v>
      </c>
      <c r="D520">
        <v>1</v>
      </c>
      <c r="E520">
        <v>20000</v>
      </c>
      <c r="F520">
        <v>0</v>
      </c>
      <c r="G520">
        <v>0</v>
      </c>
      <c r="H520">
        <v>2</v>
      </c>
      <c r="I520">
        <v>40000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</v>
      </c>
      <c r="BC520" s="1">
        <v>40000</v>
      </c>
      <c r="BD520" t="s">
        <v>74</v>
      </c>
      <c r="BE520" t="s">
        <v>2877</v>
      </c>
      <c r="BF520" t="s">
        <v>2878</v>
      </c>
      <c r="BH520" t="s">
        <v>77</v>
      </c>
      <c r="BI520" t="s">
        <v>593</v>
      </c>
      <c r="BJ520" t="s">
        <v>79</v>
      </c>
      <c r="BM520">
        <v>0</v>
      </c>
      <c r="BN520">
        <v>2</v>
      </c>
      <c r="BO520">
        <v>2</v>
      </c>
      <c r="BP520" t="s">
        <v>80</v>
      </c>
      <c r="BR520">
        <v>0</v>
      </c>
      <c r="BS520">
        <v>6</v>
      </c>
      <c r="BU520">
        <v>60000</v>
      </c>
    </row>
    <row r="521" spans="1:73" x14ac:dyDescent="0.3">
      <c r="A521" t="s">
        <v>2884</v>
      </c>
      <c r="B521">
        <v>2</v>
      </c>
      <c r="C521">
        <v>103636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</v>
      </c>
      <c r="BC521" s="1">
        <v>103636</v>
      </c>
      <c r="BD521" t="s">
        <v>74</v>
      </c>
      <c r="BE521" t="s">
        <v>2885</v>
      </c>
      <c r="BF521" t="s">
        <v>2886</v>
      </c>
      <c r="BH521" t="s">
        <v>77</v>
      </c>
      <c r="BI521" t="s">
        <v>204</v>
      </c>
      <c r="BJ521" t="s">
        <v>79</v>
      </c>
      <c r="BM521">
        <v>0</v>
      </c>
      <c r="BN521">
        <v>1</v>
      </c>
      <c r="BO521">
        <v>1</v>
      </c>
      <c r="BP521" t="s">
        <v>80</v>
      </c>
      <c r="BR521">
        <v>0</v>
      </c>
      <c r="BS521">
        <v>6</v>
      </c>
      <c r="BU521">
        <v>103636</v>
      </c>
    </row>
    <row r="522" spans="1:73" x14ac:dyDescent="0.3">
      <c r="A522" t="s">
        <v>2887</v>
      </c>
      <c r="B522">
        <v>1</v>
      </c>
      <c r="C522">
        <v>688818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 s="1">
        <v>688818</v>
      </c>
      <c r="BD522" t="s">
        <v>74</v>
      </c>
      <c r="BE522" t="s">
        <v>2888</v>
      </c>
      <c r="BF522" t="s">
        <v>2889</v>
      </c>
      <c r="BH522" t="s">
        <v>77</v>
      </c>
      <c r="BI522" t="s">
        <v>88</v>
      </c>
      <c r="BJ522" t="s">
        <v>79</v>
      </c>
      <c r="BM522">
        <v>0</v>
      </c>
      <c r="BN522">
        <v>1</v>
      </c>
      <c r="BO522">
        <v>1</v>
      </c>
      <c r="BP522" t="s">
        <v>80</v>
      </c>
      <c r="BR522">
        <v>0</v>
      </c>
      <c r="BS522">
        <v>6</v>
      </c>
      <c r="BU522">
        <v>688818</v>
      </c>
    </row>
    <row r="523" spans="1:73" x14ac:dyDescent="0.3">
      <c r="A523" t="s">
        <v>2893</v>
      </c>
      <c r="B523">
        <v>0</v>
      </c>
      <c r="C523">
        <v>0</v>
      </c>
      <c r="D523">
        <v>1</v>
      </c>
      <c r="E523">
        <v>150000</v>
      </c>
      <c r="F523">
        <v>0</v>
      </c>
      <c r="G523">
        <v>0</v>
      </c>
      <c r="H523">
        <v>2</v>
      </c>
      <c r="I523">
        <v>40000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3</v>
      </c>
      <c r="BC523" s="1">
        <v>190000</v>
      </c>
      <c r="BD523" t="s">
        <v>74</v>
      </c>
      <c r="BE523" t="s">
        <v>2894</v>
      </c>
      <c r="BF523" t="s">
        <v>2895</v>
      </c>
      <c r="BH523" t="s">
        <v>77</v>
      </c>
      <c r="BI523" t="s">
        <v>78</v>
      </c>
      <c r="BJ523" t="s">
        <v>79</v>
      </c>
      <c r="BM523">
        <v>0</v>
      </c>
      <c r="BN523">
        <v>2</v>
      </c>
      <c r="BO523">
        <v>2</v>
      </c>
      <c r="BP523" t="s">
        <v>80</v>
      </c>
      <c r="BR523">
        <v>0</v>
      </c>
      <c r="BS523">
        <v>6</v>
      </c>
      <c r="BU523">
        <v>190000</v>
      </c>
    </row>
    <row r="524" spans="1:73" x14ac:dyDescent="0.3">
      <c r="A524" t="s">
        <v>2896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20000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 s="1">
        <v>20000</v>
      </c>
      <c r="BD524" t="s">
        <v>74</v>
      </c>
      <c r="BE524" t="s">
        <v>2897</v>
      </c>
      <c r="BF524" t="s">
        <v>2898</v>
      </c>
      <c r="BH524" t="s">
        <v>77</v>
      </c>
      <c r="BI524" t="s">
        <v>593</v>
      </c>
      <c r="BJ524" t="s">
        <v>79</v>
      </c>
      <c r="BM524">
        <v>0</v>
      </c>
      <c r="BN524">
        <v>1</v>
      </c>
      <c r="BO524">
        <v>1</v>
      </c>
      <c r="BP524" t="s">
        <v>80</v>
      </c>
      <c r="BR524">
        <v>0</v>
      </c>
      <c r="BS524">
        <v>6</v>
      </c>
      <c r="BU524">
        <v>20000</v>
      </c>
    </row>
    <row r="525" spans="1:73" x14ac:dyDescent="0.3">
      <c r="A525" t="s">
        <v>2899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73535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 s="1">
        <v>73535</v>
      </c>
      <c r="BD525" t="s">
        <v>74</v>
      </c>
      <c r="BE525" t="s">
        <v>2900</v>
      </c>
      <c r="BF525" t="s">
        <v>2901</v>
      </c>
      <c r="BH525" t="s">
        <v>77</v>
      </c>
      <c r="BI525" t="s">
        <v>204</v>
      </c>
      <c r="BJ525" t="s">
        <v>79</v>
      </c>
      <c r="BM525">
        <v>1</v>
      </c>
      <c r="BN525">
        <v>0</v>
      </c>
      <c r="BO525">
        <v>1</v>
      </c>
      <c r="BP525" t="s">
        <v>80</v>
      </c>
      <c r="BR525">
        <v>0</v>
      </c>
      <c r="BS525">
        <v>0</v>
      </c>
      <c r="BU525">
        <v>73535</v>
      </c>
    </row>
    <row r="526" spans="1:73" x14ac:dyDescent="0.3">
      <c r="A526" t="s">
        <v>2907</v>
      </c>
      <c r="B526">
        <v>0</v>
      </c>
      <c r="C526">
        <v>0</v>
      </c>
      <c r="D526">
        <v>1</v>
      </c>
      <c r="E526">
        <v>184000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2</v>
      </c>
      <c r="BC526" s="1">
        <v>368000</v>
      </c>
      <c r="BD526" t="s">
        <v>74</v>
      </c>
      <c r="BE526" t="s">
        <v>2908</v>
      </c>
      <c r="BF526" t="s">
        <v>2909</v>
      </c>
      <c r="BH526" t="s">
        <v>77</v>
      </c>
      <c r="BI526" t="s">
        <v>78</v>
      </c>
      <c r="BJ526" t="s">
        <v>79</v>
      </c>
      <c r="BM526">
        <v>0</v>
      </c>
      <c r="BN526">
        <v>1</v>
      </c>
      <c r="BO526">
        <v>1</v>
      </c>
      <c r="BP526" t="s">
        <v>80</v>
      </c>
      <c r="BR526">
        <v>0</v>
      </c>
      <c r="BS526">
        <v>6</v>
      </c>
      <c r="BU526">
        <v>184000</v>
      </c>
    </row>
    <row r="527" spans="1:73" x14ac:dyDescent="0.3">
      <c r="A527" t="s">
        <v>2913</v>
      </c>
      <c r="B527">
        <v>0</v>
      </c>
      <c r="C527">
        <v>0</v>
      </c>
      <c r="D527">
        <v>1</v>
      </c>
      <c r="E527">
        <v>350000</v>
      </c>
      <c r="F527">
        <v>0</v>
      </c>
      <c r="G527">
        <v>0</v>
      </c>
      <c r="H527">
        <v>3</v>
      </c>
      <c r="I527">
        <v>46666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4</v>
      </c>
      <c r="BC527" s="1">
        <v>396666</v>
      </c>
      <c r="BD527" t="s">
        <v>74</v>
      </c>
      <c r="BE527" t="s">
        <v>2914</v>
      </c>
      <c r="BF527" t="s">
        <v>1333</v>
      </c>
      <c r="BH527" t="s">
        <v>77</v>
      </c>
      <c r="BI527" t="s">
        <v>228</v>
      </c>
      <c r="BJ527" t="s">
        <v>79</v>
      </c>
      <c r="BM527">
        <v>0</v>
      </c>
      <c r="BN527">
        <v>2</v>
      </c>
      <c r="BO527">
        <v>2</v>
      </c>
      <c r="BP527" t="s">
        <v>514</v>
      </c>
      <c r="BR527">
        <v>0</v>
      </c>
      <c r="BS527">
        <v>6</v>
      </c>
      <c r="BU527">
        <v>396666</v>
      </c>
    </row>
    <row r="528" spans="1:73" x14ac:dyDescent="0.3">
      <c r="A528" t="s">
        <v>2915</v>
      </c>
      <c r="B528">
        <v>1</v>
      </c>
      <c r="C528">
        <v>146887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 s="1">
        <v>146887</v>
      </c>
      <c r="BD528" t="s">
        <v>74</v>
      </c>
      <c r="BE528" t="s">
        <v>2916</v>
      </c>
      <c r="BF528" t="s">
        <v>2917</v>
      </c>
      <c r="BM528">
        <v>0</v>
      </c>
      <c r="BN528">
        <v>1</v>
      </c>
      <c r="BO528">
        <v>1</v>
      </c>
      <c r="BP528" t="s">
        <v>80</v>
      </c>
      <c r="BR528">
        <v>0</v>
      </c>
      <c r="BS528">
        <v>6</v>
      </c>
      <c r="BU528">
        <v>146887</v>
      </c>
    </row>
    <row r="529" spans="1:73" x14ac:dyDescent="0.3">
      <c r="A529" t="s">
        <v>2918</v>
      </c>
      <c r="B529">
        <v>2</v>
      </c>
      <c r="C529">
        <v>475499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2</v>
      </c>
      <c r="BC529" s="1">
        <v>475499</v>
      </c>
      <c r="BD529" t="s">
        <v>74</v>
      </c>
      <c r="BE529" t="s">
        <v>2919</v>
      </c>
      <c r="BF529" t="s">
        <v>2920</v>
      </c>
      <c r="BH529" t="s">
        <v>77</v>
      </c>
      <c r="BI529" t="s">
        <v>204</v>
      </c>
      <c r="BJ529" t="s">
        <v>79</v>
      </c>
      <c r="BM529">
        <v>0</v>
      </c>
      <c r="BN529">
        <v>1</v>
      </c>
      <c r="BO529">
        <v>1</v>
      </c>
      <c r="BP529" t="s">
        <v>80</v>
      </c>
      <c r="BR529">
        <v>0</v>
      </c>
      <c r="BS529">
        <v>6</v>
      </c>
      <c r="BU529">
        <v>475499</v>
      </c>
    </row>
    <row r="530" spans="1:73" x14ac:dyDescent="0.3">
      <c r="A530" t="s">
        <v>2921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73535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 s="1">
        <v>73535</v>
      </c>
      <c r="BD530" t="s">
        <v>74</v>
      </c>
      <c r="BE530" t="s">
        <v>2922</v>
      </c>
      <c r="BF530" t="s">
        <v>2923</v>
      </c>
      <c r="BH530" t="s">
        <v>77</v>
      </c>
      <c r="BI530" t="s">
        <v>92</v>
      </c>
      <c r="BM530">
        <v>1</v>
      </c>
      <c r="BN530">
        <v>0</v>
      </c>
      <c r="BO530">
        <v>1</v>
      </c>
      <c r="BP530" t="s">
        <v>80</v>
      </c>
      <c r="BR530">
        <v>0</v>
      </c>
      <c r="BS530">
        <v>0</v>
      </c>
      <c r="BU530">
        <v>73535</v>
      </c>
    </row>
    <row r="531" spans="1:73" x14ac:dyDescent="0.3">
      <c r="A531" t="s">
        <v>2924</v>
      </c>
      <c r="B531">
        <v>0</v>
      </c>
      <c r="C531">
        <v>0</v>
      </c>
      <c r="D531">
        <v>3</v>
      </c>
      <c r="E531">
        <v>2600609</v>
      </c>
      <c r="F531">
        <v>0</v>
      </c>
      <c r="G531">
        <v>0</v>
      </c>
      <c r="H531">
        <v>4</v>
      </c>
      <c r="I531">
        <v>81218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7</v>
      </c>
      <c r="BC531" s="1">
        <v>5279803</v>
      </c>
      <c r="BD531" t="s">
        <v>74</v>
      </c>
      <c r="BE531" t="s">
        <v>2925</v>
      </c>
      <c r="BF531" t="s">
        <v>245</v>
      </c>
      <c r="BH531" t="s">
        <v>77</v>
      </c>
      <c r="BI531" t="s">
        <v>129</v>
      </c>
      <c r="BJ531" t="s">
        <v>79</v>
      </c>
      <c r="BM531">
        <v>0</v>
      </c>
      <c r="BN531">
        <v>2</v>
      </c>
      <c r="BO531">
        <v>2</v>
      </c>
      <c r="BP531" t="s">
        <v>80</v>
      </c>
      <c r="BR531">
        <v>0</v>
      </c>
      <c r="BS531">
        <v>6</v>
      </c>
      <c r="BU531">
        <v>2681827</v>
      </c>
    </row>
    <row r="532" spans="1:73" x14ac:dyDescent="0.3">
      <c r="A532" t="s">
        <v>2926</v>
      </c>
      <c r="B532">
        <v>1</v>
      </c>
      <c r="C532">
        <v>186232</v>
      </c>
      <c r="D532">
        <v>2</v>
      </c>
      <c r="E532">
        <v>320000</v>
      </c>
      <c r="F532">
        <v>0</v>
      </c>
      <c r="G532">
        <v>0</v>
      </c>
      <c r="H532">
        <v>2</v>
      </c>
      <c r="I532">
        <v>40000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</v>
      </c>
      <c r="BC532" s="1">
        <v>826232</v>
      </c>
      <c r="BD532" t="s">
        <v>74</v>
      </c>
      <c r="BE532" t="s">
        <v>2927</v>
      </c>
      <c r="BF532" t="s">
        <v>2928</v>
      </c>
      <c r="BH532" t="s">
        <v>1464</v>
      </c>
      <c r="BI532" t="s">
        <v>2929</v>
      </c>
      <c r="BJ532" t="s">
        <v>125</v>
      </c>
      <c r="BM532">
        <v>0</v>
      </c>
      <c r="BN532">
        <v>3</v>
      </c>
      <c r="BO532">
        <v>3</v>
      </c>
      <c r="BP532" t="s">
        <v>80</v>
      </c>
      <c r="BR532">
        <v>0</v>
      </c>
      <c r="BS532">
        <v>6</v>
      </c>
      <c r="BU532">
        <v>546232</v>
      </c>
    </row>
    <row r="533" spans="1:73" x14ac:dyDescent="0.3">
      <c r="A533" t="s">
        <v>2930</v>
      </c>
      <c r="B533">
        <v>0</v>
      </c>
      <c r="C533">
        <v>0</v>
      </c>
      <c r="D533">
        <v>3</v>
      </c>
      <c r="E533">
        <v>333651</v>
      </c>
      <c r="F533">
        <v>0</v>
      </c>
      <c r="G533">
        <v>0</v>
      </c>
      <c r="H533">
        <v>4</v>
      </c>
      <c r="I533">
        <v>42668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14516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</v>
      </c>
      <c r="BC533" s="1">
        <v>696334</v>
      </c>
      <c r="BD533" t="s">
        <v>74</v>
      </c>
      <c r="BE533" t="s">
        <v>2931</v>
      </c>
      <c r="BF533" t="s">
        <v>2932</v>
      </c>
      <c r="BH533" t="s">
        <v>77</v>
      </c>
      <c r="BI533" t="s">
        <v>329</v>
      </c>
      <c r="BJ533" t="s">
        <v>79</v>
      </c>
      <c r="BM533">
        <v>0</v>
      </c>
      <c r="BN533">
        <v>3</v>
      </c>
      <c r="BO533">
        <v>3</v>
      </c>
      <c r="BP533" t="s">
        <v>80</v>
      </c>
      <c r="BR533">
        <v>0</v>
      </c>
      <c r="BS533">
        <v>6</v>
      </c>
      <c r="BU533">
        <v>390835</v>
      </c>
    </row>
    <row r="534" spans="1:73" x14ac:dyDescent="0.3">
      <c r="A534" t="s">
        <v>2938</v>
      </c>
      <c r="B534">
        <v>0</v>
      </c>
      <c r="C534">
        <v>0</v>
      </c>
      <c r="D534">
        <v>1</v>
      </c>
      <c r="E534">
        <v>168000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 s="1">
        <v>168000</v>
      </c>
      <c r="BD534" t="s">
        <v>74</v>
      </c>
      <c r="BE534" t="s">
        <v>2939</v>
      </c>
      <c r="BF534" t="s">
        <v>2940</v>
      </c>
      <c r="BH534" t="s">
        <v>77</v>
      </c>
      <c r="BI534" t="s">
        <v>129</v>
      </c>
      <c r="BJ534" t="s">
        <v>79</v>
      </c>
      <c r="BM534">
        <v>0</v>
      </c>
      <c r="BN534">
        <v>1</v>
      </c>
      <c r="BO534">
        <v>1</v>
      </c>
      <c r="BP534" t="s">
        <v>80</v>
      </c>
      <c r="BR534">
        <v>0</v>
      </c>
      <c r="BS534">
        <v>6</v>
      </c>
      <c r="BU534">
        <v>168000</v>
      </c>
    </row>
    <row r="535" spans="1:73" x14ac:dyDescent="0.3">
      <c r="A535" t="s">
        <v>2941</v>
      </c>
      <c r="B535">
        <v>0</v>
      </c>
      <c r="C535">
        <v>0</v>
      </c>
      <c r="D535">
        <v>1</v>
      </c>
      <c r="E535">
        <v>250000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73535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20000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6</v>
      </c>
      <c r="BC535" s="1">
        <v>692120</v>
      </c>
      <c r="BD535" t="s">
        <v>74</v>
      </c>
      <c r="BE535" t="s">
        <v>2942</v>
      </c>
      <c r="BF535" t="s">
        <v>2943</v>
      </c>
      <c r="BH535" t="s">
        <v>77</v>
      </c>
      <c r="BI535" t="s">
        <v>281</v>
      </c>
      <c r="BJ535" t="s">
        <v>79</v>
      </c>
      <c r="BM535">
        <v>2</v>
      </c>
      <c r="BN535">
        <v>1</v>
      </c>
      <c r="BO535">
        <v>3</v>
      </c>
      <c r="BP535" t="s">
        <v>80</v>
      </c>
      <c r="BR535">
        <v>0</v>
      </c>
      <c r="BS535">
        <v>6</v>
      </c>
      <c r="BU535">
        <v>343535</v>
      </c>
    </row>
    <row r="536" spans="1:73" x14ac:dyDescent="0.3">
      <c r="A536" t="s">
        <v>2944</v>
      </c>
      <c r="B536">
        <v>1</v>
      </c>
      <c r="C536">
        <v>204594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 s="1">
        <v>204594</v>
      </c>
      <c r="BD536" t="s">
        <v>74</v>
      </c>
      <c r="BE536" t="s">
        <v>2945</v>
      </c>
      <c r="BF536" t="s">
        <v>2946</v>
      </c>
      <c r="BH536" t="s">
        <v>77</v>
      </c>
      <c r="BI536" t="s">
        <v>574</v>
      </c>
      <c r="BJ536" t="s">
        <v>79</v>
      </c>
      <c r="BM536">
        <v>0</v>
      </c>
      <c r="BN536">
        <v>1</v>
      </c>
      <c r="BO536">
        <v>1</v>
      </c>
      <c r="BP536" t="s">
        <v>80</v>
      </c>
      <c r="BR536">
        <v>0</v>
      </c>
      <c r="BS536">
        <v>6</v>
      </c>
      <c r="BU536">
        <v>204594</v>
      </c>
    </row>
    <row r="537" spans="1:73" x14ac:dyDescent="0.3">
      <c r="A537" t="s">
        <v>2947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73535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 s="1">
        <v>73535</v>
      </c>
      <c r="BD537" t="s">
        <v>74</v>
      </c>
      <c r="BE537" t="s">
        <v>2948</v>
      </c>
      <c r="BF537" t="s">
        <v>2949</v>
      </c>
      <c r="BH537" t="s">
        <v>77</v>
      </c>
      <c r="BI537" t="s">
        <v>204</v>
      </c>
      <c r="BJ537" t="s">
        <v>79</v>
      </c>
      <c r="BM537">
        <v>1</v>
      </c>
      <c r="BN537">
        <v>0</v>
      </c>
      <c r="BO537">
        <v>1</v>
      </c>
      <c r="BP537" t="s">
        <v>80</v>
      </c>
      <c r="BR537">
        <v>0</v>
      </c>
      <c r="BS537">
        <v>0</v>
      </c>
      <c r="BU537">
        <v>73535</v>
      </c>
    </row>
    <row r="538" spans="1:73" x14ac:dyDescent="0.3">
      <c r="A538" t="s">
        <v>2950</v>
      </c>
      <c r="B538">
        <v>0</v>
      </c>
      <c r="C538">
        <v>0</v>
      </c>
      <c r="D538">
        <v>1</v>
      </c>
      <c r="E538">
        <v>230000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73535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5</v>
      </c>
      <c r="BC538" s="1">
        <v>613295</v>
      </c>
      <c r="BD538" t="s">
        <v>74</v>
      </c>
      <c r="BE538" t="s">
        <v>2951</v>
      </c>
      <c r="BF538" t="s">
        <v>2952</v>
      </c>
      <c r="BH538" t="s">
        <v>77</v>
      </c>
      <c r="BI538" t="s">
        <v>204</v>
      </c>
      <c r="BM538">
        <v>1</v>
      </c>
      <c r="BN538">
        <v>1</v>
      </c>
      <c r="BO538">
        <v>2</v>
      </c>
      <c r="BP538" t="s">
        <v>80</v>
      </c>
      <c r="BR538">
        <v>0</v>
      </c>
      <c r="BS538">
        <v>6</v>
      </c>
      <c r="BU538">
        <v>303535</v>
      </c>
    </row>
    <row r="539" spans="1:73" x14ac:dyDescent="0.3">
      <c r="A539" t="s">
        <v>2956</v>
      </c>
      <c r="B539">
        <v>0</v>
      </c>
      <c r="C539">
        <v>0</v>
      </c>
      <c r="D539">
        <v>8</v>
      </c>
      <c r="E539">
        <v>2724493</v>
      </c>
      <c r="F539">
        <v>0</v>
      </c>
      <c r="G539">
        <v>0</v>
      </c>
      <c r="H539">
        <v>14</v>
      </c>
      <c r="I539">
        <v>408986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16</v>
      </c>
      <c r="BC539" s="1">
        <v>5448986</v>
      </c>
      <c r="BD539" t="s">
        <v>74</v>
      </c>
      <c r="BE539" t="s">
        <v>2957</v>
      </c>
      <c r="BF539" t="s">
        <v>245</v>
      </c>
      <c r="BH539" t="s">
        <v>77</v>
      </c>
      <c r="BI539" t="s">
        <v>129</v>
      </c>
      <c r="BJ539" t="s">
        <v>79</v>
      </c>
      <c r="BM539">
        <v>0</v>
      </c>
      <c r="BN539">
        <v>2</v>
      </c>
      <c r="BO539">
        <v>2</v>
      </c>
      <c r="BP539" t="s">
        <v>80</v>
      </c>
      <c r="BR539">
        <v>0</v>
      </c>
      <c r="BS539">
        <v>6</v>
      </c>
      <c r="BU539">
        <v>3133479</v>
      </c>
    </row>
    <row r="540" spans="1:73" x14ac:dyDescent="0.3">
      <c r="A540" t="s">
        <v>2958</v>
      </c>
      <c r="B540">
        <v>1</v>
      </c>
      <c r="C540">
        <v>584101</v>
      </c>
      <c r="D540">
        <v>1</v>
      </c>
      <c r="E540">
        <v>20000</v>
      </c>
      <c r="F540">
        <v>0</v>
      </c>
      <c r="G540">
        <v>0</v>
      </c>
      <c r="H540">
        <v>2</v>
      </c>
      <c r="I540">
        <v>40000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4</v>
      </c>
      <c r="BC540" s="1">
        <v>720540</v>
      </c>
      <c r="BD540" t="s">
        <v>74</v>
      </c>
      <c r="BE540" t="s">
        <v>2959</v>
      </c>
      <c r="BF540" t="s">
        <v>2960</v>
      </c>
      <c r="BH540" t="s">
        <v>1464</v>
      </c>
      <c r="BI540" t="s">
        <v>1465</v>
      </c>
      <c r="BJ540" t="s">
        <v>125</v>
      </c>
      <c r="BM540">
        <v>0</v>
      </c>
      <c r="BN540">
        <v>3</v>
      </c>
      <c r="BO540">
        <v>3</v>
      </c>
      <c r="BP540" t="s">
        <v>80</v>
      </c>
      <c r="BR540">
        <v>0</v>
      </c>
      <c r="BS540">
        <v>6</v>
      </c>
      <c r="BU540">
        <v>644101</v>
      </c>
    </row>
    <row r="541" spans="1:73" x14ac:dyDescent="0.3">
      <c r="A541" t="s">
        <v>2961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40769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 s="1">
        <v>40769</v>
      </c>
      <c r="BD541" t="s">
        <v>74</v>
      </c>
      <c r="BE541" t="s">
        <v>2962</v>
      </c>
      <c r="BF541" t="s">
        <v>2963</v>
      </c>
      <c r="BH541" t="s">
        <v>77</v>
      </c>
      <c r="BI541" t="s">
        <v>92</v>
      </c>
      <c r="BJ541" t="s">
        <v>79</v>
      </c>
      <c r="BM541">
        <v>0</v>
      </c>
      <c r="BN541">
        <v>1</v>
      </c>
      <c r="BO541">
        <v>1</v>
      </c>
      <c r="BP541" t="s">
        <v>514</v>
      </c>
      <c r="BR541">
        <v>0</v>
      </c>
      <c r="BS541">
        <v>6</v>
      </c>
      <c r="BU541">
        <v>40769</v>
      </c>
    </row>
    <row r="542" spans="1:73" x14ac:dyDescent="0.3">
      <c r="A542" t="s">
        <v>2964</v>
      </c>
      <c r="B542">
        <v>0</v>
      </c>
      <c r="C542">
        <v>0</v>
      </c>
      <c r="D542">
        <v>2</v>
      </c>
      <c r="E542">
        <v>370000</v>
      </c>
      <c r="F542">
        <v>0</v>
      </c>
      <c r="G542">
        <v>0</v>
      </c>
      <c r="H542">
        <v>2</v>
      </c>
      <c r="I542">
        <v>40000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</v>
      </c>
      <c r="BC542" s="1">
        <v>390000</v>
      </c>
      <c r="BD542" t="s">
        <v>74</v>
      </c>
      <c r="BE542" t="s">
        <v>2965</v>
      </c>
      <c r="BF542" t="s">
        <v>2966</v>
      </c>
      <c r="BH542" t="s">
        <v>77</v>
      </c>
      <c r="BI542" t="s">
        <v>593</v>
      </c>
      <c r="BJ542" t="s">
        <v>79</v>
      </c>
      <c r="BM542">
        <v>0</v>
      </c>
      <c r="BN542">
        <v>2</v>
      </c>
      <c r="BO542">
        <v>2</v>
      </c>
      <c r="BP542" t="s">
        <v>80</v>
      </c>
      <c r="BR542">
        <v>0</v>
      </c>
      <c r="BS542">
        <v>6</v>
      </c>
      <c r="BU542">
        <v>410000</v>
      </c>
    </row>
    <row r="543" spans="1:73" x14ac:dyDescent="0.3">
      <c r="A543" t="s">
        <v>2967</v>
      </c>
      <c r="B543">
        <v>2</v>
      </c>
      <c r="C543">
        <v>464935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</v>
      </c>
      <c r="BC543" s="1">
        <v>464935</v>
      </c>
      <c r="BD543" t="s">
        <v>74</v>
      </c>
      <c r="BE543" t="s">
        <v>2968</v>
      </c>
      <c r="BF543" t="s">
        <v>2969</v>
      </c>
      <c r="BH543" t="s">
        <v>77</v>
      </c>
      <c r="BI543" t="s">
        <v>92</v>
      </c>
      <c r="BJ543" t="s">
        <v>79</v>
      </c>
      <c r="BM543">
        <v>0</v>
      </c>
      <c r="BN543">
        <v>1</v>
      </c>
      <c r="BO543">
        <v>1</v>
      </c>
      <c r="BP543" t="s">
        <v>80</v>
      </c>
      <c r="BR543">
        <v>0</v>
      </c>
      <c r="BS543">
        <v>6</v>
      </c>
      <c r="BU543">
        <v>464935</v>
      </c>
    </row>
    <row r="544" spans="1:73" x14ac:dyDescent="0.3">
      <c r="A544" t="s">
        <v>2970</v>
      </c>
      <c r="B544">
        <v>3</v>
      </c>
      <c r="C544">
        <v>1595529</v>
      </c>
      <c r="D544">
        <v>3</v>
      </c>
      <c r="E544">
        <v>177455</v>
      </c>
      <c r="F544">
        <v>0</v>
      </c>
      <c r="G544">
        <v>0</v>
      </c>
      <c r="H544">
        <v>4</v>
      </c>
      <c r="I544">
        <v>80000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9</v>
      </c>
      <c r="BC544" s="1">
        <v>1950439</v>
      </c>
      <c r="BD544" t="s">
        <v>74</v>
      </c>
      <c r="BE544" t="s">
        <v>2971</v>
      </c>
      <c r="BF544" t="s">
        <v>2972</v>
      </c>
      <c r="BH544" t="s">
        <v>77</v>
      </c>
      <c r="BI544" t="s">
        <v>92</v>
      </c>
      <c r="BJ544" t="s">
        <v>79</v>
      </c>
      <c r="BM544">
        <v>0</v>
      </c>
      <c r="BN544">
        <v>3</v>
      </c>
      <c r="BO544">
        <v>3</v>
      </c>
      <c r="BP544" t="s">
        <v>80</v>
      </c>
      <c r="BR544">
        <v>0</v>
      </c>
      <c r="BS544">
        <v>6</v>
      </c>
      <c r="BU544">
        <v>1852984</v>
      </c>
    </row>
    <row r="545" spans="1:73" x14ac:dyDescent="0.3">
      <c r="A545" t="s">
        <v>2973</v>
      </c>
      <c r="B545">
        <v>0</v>
      </c>
      <c r="C545">
        <v>0</v>
      </c>
      <c r="D545">
        <v>4</v>
      </c>
      <c r="E545">
        <v>1460000</v>
      </c>
      <c r="F545">
        <v>0</v>
      </c>
      <c r="G545">
        <v>0</v>
      </c>
      <c r="H545">
        <v>6</v>
      </c>
      <c r="I545">
        <v>120000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8</v>
      </c>
      <c r="BC545" s="1">
        <v>2920000</v>
      </c>
      <c r="BD545" t="s">
        <v>74</v>
      </c>
      <c r="BE545" t="s">
        <v>2974</v>
      </c>
      <c r="BF545" t="s">
        <v>2975</v>
      </c>
      <c r="BH545" t="s">
        <v>77</v>
      </c>
      <c r="BI545" t="s">
        <v>129</v>
      </c>
      <c r="BJ545" t="s">
        <v>79</v>
      </c>
      <c r="BM545">
        <v>0</v>
      </c>
      <c r="BN545">
        <v>2</v>
      </c>
      <c r="BO545">
        <v>2</v>
      </c>
      <c r="BP545" t="s">
        <v>80</v>
      </c>
      <c r="BR545">
        <v>0</v>
      </c>
      <c r="BS545">
        <v>6</v>
      </c>
      <c r="BU545">
        <v>1580000</v>
      </c>
    </row>
    <row r="546" spans="1:73" x14ac:dyDescent="0.3">
      <c r="A546" t="s">
        <v>2983</v>
      </c>
      <c r="B546">
        <v>0</v>
      </c>
      <c r="C546">
        <v>0</v>
      </c>
      <c r="D546">
        <v>1</v>
      </c>
      <c r="E546">
        <v>170000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</v>
      </c>
      <c r="BC546" s="1">
        <v>340000</v>
      </c>
      <c r="BD546" t="s">
        <v>74</v>
      </c>
      <c r="BE546" t="s">
        <v>2984</v>
      </c>
      <c r="BF546" t="s">
        <v>2985</v>
      </c>
      <c r="BH546" t="s">
        <v>77</v>
      </c>
      <c r="BI546" t="s">
        <v>228</v>
      </c>
      <c r="BJ546" t="s">
        <v>79</v>
      </c>
      <c r="BM546">
        <v>0</v>
      </c>
      <c r="BN546">
        <v>1</v>
      </c>
      <c r="BO546">
        <v>1</v>
      </c>
      <c r="BP546" t="s">
        <v>80</v>
      </c>
      <c r="BR546">
        <v>0</v>
      </c>
      <c r="BS546">
        <v>6</v>
      </c>
      <c r="BU546">
        <v>170000</v>
      </c>
    </row>
    <row r="547" spans="1:73" x14ac:dyDescent="0.3">
      <c r="A547" t="s">
        <v>2997</v>
      </c>
      <c r="B547">
        <v>0</v>
      </c>
      <c r="C547">
        <v>0</v>
      </c>
      <c r="D547">
        <v>2</v>
      </c>
      <c r="E547">
        <v>645455</v>
      </c>
      <c r="F547">
        <v>0</v>
      </c>
      <c r="G547">
        <v>0</v>
      </c>
      <c r="H547">
        <v>44</v>
      </c>
      <c r="I547">
        <v>1452362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83332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90909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55</v>
      </c>
      <c r="BC547" s="1">
        <v>4329936</v>
      </c>
      <c r="BD547" t="s">
        <v>74</v>
      </c>
      <c r="BE547" t="s">
        <v>2998</v>
      </c>
      <c r="BF547" t="s">
        <v>2999</v>
      </c>
      <c r="BH547" t="s">
        <v>77</v>
      </c>
      <c r="BI547" t="s">
        <v>204</v>
      </c>
      <c r="BJ547" t="s">
        <v>79</v>
      </c>
      <c r="BM547">
        <v>2</v>
      </c>
      <c r="BN547">
        <v>2</v>
      </c>
      <c r="BO547">
        <v>4</v>
      </c>
      <c r="BP547" t="s">
        <v>514</v>
      </c>
      <c r="BR547">
        <v>0</v>
      </c>
      <c r="BS547">
        <v>6</v>
      </c>
      <c r="BU547">
        <v>2272058</v>
      </c>
    </row>
    <row r="548" spans="1:73" x14ac:dyDescent="0.3">
      <c r="A548" t="s">
        <v>3005</v>
      </c>
      <c r="B548">
        <v>2</v>
      </c>
      <c r="C548">
        <v>350925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2</v>
      </c>
      <c r="BC548" s="1">
        <v>350925</v>
      </c>
      <c r="BD548" t="s">
        <v>74</v>
      </c>
      <c r="BE548" t="s">
        <v>3006</v>
      </c>
      <c r="BF548" t="s">
        <v>3007</v>
      </c>
      <c r="BH548" t="s">
        <v>77</v>
      </c>
      <c r="BI548" t="s">
        <v>204</v>
      </c>
      <c r="BJ548" t="s">
        <v>79</v>
      </c>
      <c r="BM548">
        <v>0</v>
      </c>
      <c r="BN548">
        <v>1</v>
      </c>
      <c r="BO548">
        <v>1</v>
      </c>
      <c r="BP548" t="s">
        <v>80</v>
      </c>
      <c r="BR548">
        <v>0</v>
      </c>
      <c r="BS548">
        <v>6</v>
      </c>
      <c r="BU548">
        <v>350925</v>
      </c>
    </row>
    <row r="549" spans="1:73" x14ac:dyDescent="0.3">
      <c r="A549" t="s">
        <v>3011</v>
      </c>
      <c r="B549">
        <v>1</v>
      </c>
      <c r="C549">
        <v>232506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</v>
      </c>
      <c r="BC549" s="1">
        <v>232506</v>
      </c>
      <c r="BD549" t="s">
        <v>74</v>
      </c>
      <c r="BE549" t="s">
        <v>3012</v>
      </c>
      <c r="BF549" t="s">
        <v>3013</v>
      </c>
      <c r="BH549" t="s">
        <v>77</v>
      </c>
      <c r="BI549" t="s">
        <v>88</v>
      </c>
      <c r="BJ549" t="s">
        <v>79</v>
      </c>
      <c r="BM549">
        <v>0</v>
      </c>
      <c r="BN549">
        <v>1</v>
      </c>
      <c r="BO549">
        <v>1</v>
      </c>
      <c r="BP549" t="s">
        <v>80</v>
      </c>
      <c r="BR549">
        <v>0</v>
      </c>
      <c r="BS549">
        <v>6</v>
      </c>
      <c r="BU549">
        <v>232506</v>
      </c>
    </row>
    <row r="550" spans="1:73" x14ac:dyDescent="0.3">
      <c r="A550" t="s">
        <v>3014</v>
      </c>
      <c r="B550">
        <v>0</v>
      </c>
      <c r="C550">
        <v>0</v>
      </c>
      <c r="D550">
        <v>1</v>
      </c>
      <c r="E550">
        <v>145162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73535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19792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5</v>
      </c>
      <c r="BC550" s="1">
        <v>457186</v>
      </c>
      <c r="BD550" t="s">
        <v>74</v>
      </c>
      <c r="BE550" t="s">
        <v>3015</v>
      </c>
      <c r="BF550" t="s">
        <v>438</v>
      </c>
      <c r="BH550" t="s">
        <v>77</v>
      </c>
      <c r="BI550" t="s">
        <v>204</v>
      </c>
      <c r="BM550">
        <v>2</v>
      </c>
      <c r="BN550">
        <v>1</v>
      </c>
      <c r="BO550">
        <v>3</v>
      </c>
      <c r="BP550" t="s">
        <v>80</v>
      </c>
      <c r="BR550">
        <v>0</v>
      </c>
      <c r="BS550">
        <v>6</v>
      </c>
      <c r="BU550">
        <v>238489</v>
      </c>
    </row>
    <row r="551" spans="1:73" x14ac:dyDescent="0.3">
      <c r="A551" t="s">
        <v>3016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73535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9697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5</v>
      </c>
      <c r="BC551" s="1">
        <v>245049</v>
      </c>
      <c r="BD551" t="s">
        <v>74</v>
      </c>
      <c r="BE551" t="s">
        <v>3017</v>
      </c>
      <c r="BF551" t="s">
        <v>3018</v>
      </c>
      <c r="BH551" t="s">
        <v>77</v>
      </c>
      <c r="BI551" t="s">
        <v>329</v>
      </c>
      <c r="BJ551" t="s">
        <v>79</v>
      </c>
      <c r="BM551">
        <v>2</v>
      </c>
      <c r="BN551">
        <v>0</v>
      </c>
      <c r="BO551">
        <v>2</v>
      </c>
      <c r="BP551" t="s">
        <v>80</v>
      </c>
      <c r="BR551">
        <v>0</v>
      </c>
      <c r="BS551">
        <v>6</v>
      </c>
      <c r="BU551">
        <v>83232</v>
      </c>
    </row>
    <row r="552" spans="1:73" x14ac:dyDescent="0.3">
      <c r="A552" t="s">
        <v>3022</v>
      </c>
      <c r="B552">
        <v>1</v>
      </c>
      <c r="C552">
        <v>573481</v>
      </c>
      <c r="D552">
        <v>2</v>
      </c>
      <c r="E552">
        <v>214000</v>
      </c>
      <c r="F552">
        <v>0</v>
      </c>
      <c r="G552">
        <v>0</v>
      </c>
      <c r="H552">
        <v>2</v>
      </c>
      <c r="I552">
        <v>40000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8</v>
      </c>
      <c r="BC552" s="1">
        <v>1598909</v>
      </c>
      <c r="BD552" t="s">
        <v>74</v>
      </c>
      <c r="BE552" t="s">
        <v>3023</v>
      </c>
      <c r="BF552" t="s">
        <v>3024</v>
      </c>
      <c r="BH552" t="s">
        <v>77</v>
      </c>
      <c r="BI552" t="s">
        <v>204</v>
      </c>
      <c r="BJ552" t="s">
        <v>79</v>
      </c>
      <c r="BM552">
        <v>0</v>
      </c>
      <c r="BN552">
        <v>3</v>
      </c>
      <c r="BO552">
        <v>3</v>
      </c>
      <c r="BP552" t="s">
        <v>80</v>
      </c>
      <c r="BR552">
        <v>0</v>
      </c>
      <c r="BS552">
        <v>6</v>
      </c>
      <c r="BU552">
        <v>827481</v>
      </c>
    </row>
    <row r="553" spans="1:73" x14ac:dyDescent="0.3">
      <c r="A553" t="s">
        <v>3028</v>
      </c>
      <c r="B553">
        <v>0</v>
      </c>
      <c r="C553">
        <v>0</v>
      </c>
      <c r="D553">
        <v>3</v>
      </c>
      <c r="E553">
        <v>1188442</v>
      </c>
      <c r="F553">
        <v>0</v>
      </c>
      <c r="G553">
        <v>0</v>
      </c>
      <c r="H553">
        <v>4</v>
      </c>
      <c r="I553">
        <v>136884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6</v>
      </c>
      <c r="BC553" s="1">
        <v>2376884</v>
      </c>
      <c r="BD553" t="s">
        <v>74</v>
      </c>
      <c r="BE553" t="s">
        <v>3029</v>
      </c>
      <c r="BF553" t="s">
        <v>3030</v>
      </c>
      <c r="BH553" t="s">
        <v>77</v>
      </c>
      <c r="BI553" t="s">
        <v>593</v>
      </c>
      <c r="BJ553" t="s">
        <v>79</v>
      </c>
      <c r="BM553">
        <v>0</v>
      </c>
      <c r="BN553">
        <v>2</v>
      </c>
      <c r="BO553">
        <v>2</v>
      </c>
      <c r="BP553" t="s">
        <v>80</v>
      </c>
      <c r="BR553">
        <v>0</v>
      </c>
      <c r="BS553">
        <v>6</v>
      </c>
      <c r="BU553">
        <v>1325326</v>
      </c>
    </row>
    <row r="554" spans="1:73" x14ac:dyDescent="0.3">
      <c r="A554" t="s">
        <v>3031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96439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19792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2</v>
      </c>
      <c r="BC554" s="1">
        <v>116231</v>
      </c>
      <c r="BD554" t="s">
        <v>74</v>
      </c>
      <c r="BE554" t="s">
        <v>3032</v>
      </c>
      <c r="BF554" t="s">
        <v>3033</v>
      </c>
      <c r="BH554" t="s">
        <v>77</v>
      </c>
      <c r="BI554" t="s">
        <v>574</v>
      </c>
      <c r="BJ554" t="s">
        <v>79</v>
      </c>
      <c r="BM554">
        <v>2</v>
      </c>
      <c r="BN554">
        <v>0</v>
      </c>
      <c r="BO554">
        <v>2</v>
      </c>
      <c r="BP554" t="s">
        <v>80</v>
      </c>
      <c r="BR554">
        <v>0</v>
      </c>
      <c r="BS554">
        <v>6</v>
      </c>
      <c r="BU554">
        <v>116231</v>
      </c>
    </row>
    <row r="555" spans="1:73" x14ac:dyDescent="0.3">
      <c r="A555" t="s">
        <v>3034</v>
      </c>
      <c r="B555">
        <v>0</v>
      </c>
      <c r="C555">
        <v>0</v>
      </c>
      <c r="D555">
        <v>8</v>
      </c>
      <c r="E555">
        <v>438319</v>
      </c>
      <c r="F555">
        <v>0</v>
      </c>
      <c r="G555">
        <v>0</v>
      </c>
      <c r="H555">
        <v>14</v>
      </c>
      <c r="I555">
        <v>494820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16</v>
      </c>
      <c r="BC555" s="1">
        <v>876638</v>
      </c>
      <c r="BD555" t="s">
        <v>74</v>
      </c>
      <c r="BE555" t="s">
        <v>3035</v>
      </c>
      <c r="BF555" t="s">
        <v>3036</v>
      </c>
      <c r="BH555" t="s">
        <v>136</v>
      </c>
      <c r="BI555" t="s">
        <v>191</v>
      </c>
      <c r="BJ555" t="s">
        <v>125</v>
      </c>
      <c r="BM555">
        <v>0</v>
      </c>
      <c r="BN555">
        <v>2</v>
      </c>
      <c r="BO555">
        <v>2</v>
      </c>
      <c r="BP555" t="s">
        <v>80</v>
      </c>
      <c r="BR555">
        <v>0</v>
      </c>
      <c r="BS555">
        <v>6</v>
      </c>
      <c r="BU555">
        <v>933139</v>
      </c>
    </row>
    <row r="556" spans="1:73" x14ac:dyDescent="0.3">
      <c r="A556" t="s">
        <v>3037</v>
      </c>
      <c r="B556">
        <v>1</v>
      </c>
      <c r="C556">
        <v>77000</v>
      </c>
      <c r="D556">
        <v>0</v>
      </c>
      <c r="E556">
        <v>0</v>
      </c>
      <c r="F556">
        <v>0</v>
      </c>
      <c r="G556">
        <v>0</v>
      </c>
      <c r="H556">
        <v>4</v>
      </c>
      <c r="I556">
        <v>100000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5</v>
      </c>
      <c r="BC556" s="1">
        <v>177000</v>
      </c>
      <c r="BD556" t="s">
        <v>74</v>
      </c>
      <c r="BE556" t="s">
        <v>3038</v>
      </c>
      <c r="BF556" t="s">
        <v>3039</v>
      </c>
      <c r="BH556" t="s">
        <v>136</v>
      </c>
      <c r="BI556" t="s">
        <v>333</v>
      </c>
      <c r="BJ556" t="s">
        <v>125</v>
      </c>
      <c r="BM556">
        <v>0</v>
      </c>
      <c r="BN556">
        <v>2</v>
      </c>
      <c r="BO556">
        <v>2</v>
      </c>
      <c r="BP556" t="s">
        <v>80</v>
      </c>
      <c r="BR556">
        <v>0</v>
      </c>
      <c r="BS556">
        <v>6</v>
      </c>
      <c r="BU556">
        <v>177000</v>
      </c>
    </row>
    <row r="557" spans="1:73" x14ac:dyDescent="0.3">
      <c r="A557" t="s">
        <v>3040</v>
      </c>
      <c r="B557">
        <v>2</v>
      </c>
      <c r="C557">
        <v>752837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</v>
      </c>
      <c r="BC557" s="1">
        <v>752837</v>
      </c>
      <c r="BD557" t="s">
        <v>74</v>
      </c>
      <c r="BE557" t="s">
        <v>3041</v>
      </c>
      <c r="BF557" t="s">
        <v>3042</v>
      </c>
      <c r="BM557">
        <v>0</v>
      </c>
      <c r="BN557">
        <v>1</v>
      </c>
      <c r="BO557">
        <v>1</v>
      </c>
      <c r="BP557" t="s">
        <v>80</v>
      </c>
      <c r="BR557">
        <v>0</v>
      </c>
      <c r="BS557">
        <v>6</v>
      </c>
      <c r="BU557">
        <v>752837</v>
      </c>
    </row>
    <row r="558" spans="1:73" x14ac:dyDescent="0.3">
      <c r="A558" t="s">
        <v>3043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73535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</v>
      </c>
      <c r="BC558" s="1">
        <v>147070</v>
      </c>
      <c r="BD558" t="s">
        <v>74</v>
      </c>
      <c r="BE558" t="s">
        <v>3044</v>
      </c>
      <c r="BF558" t="s">
        <v>3045</v>
      </c>
      <c r="BH558" t="s">
        <v>77</v>
      </c>
      <c r="BI558" t="s">
        <v>574</v>
      </c>
      <c r="BJ558" t="s">
        <v>79</v>
      </c>
      <c r="BM558">
        <v>1</v>
      </c>
      <c r="BN558">
        <v>0</v>
      </c>
      <c r="BO558">
        <v>1</v>
      </c>
      <c r="BP558" t="s">
        <v>80</v>
      </c>
      <c r="BR558">
        <v>0</v>
      </c>
      <c r="BS558">
        <v>6</v>
      </c>
      <c r="BU558">
        <v>73535</v>
      </c>
    </row>
    <row r="559" spans="1:73" x14ac:dyDescent="0.3">
      <c r="A559" t="s">
        <v>3046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27262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</v>
      </c>
      <c r="BC559" s="1">
        <v>27262</v>
      </c>
      <c r="BD559" t="s">
        <v>74</v>
      </c>
      <c r="BE559" t="s">
        <v>3047</v>
      </c>
      <c r="BF559" t="s">
        <v>513</v>
      </c>
      <c r="BH559" t="s">
        <v>77</v>
      </c>
      <c r="BI559" t="s">
        <v>204</v>
      </c>
      <c r="BJ559" t="s">
        <v>79</v>
      </c>
      <c r="BM559">
        <v>0</v>
      </c>
      <c r="BN559">
        <v>1</v>
      </c>
      <c r="BO559">
        <v>1</v>
      </c>
      <c r="BP559" t="s">
        <v>80</v>
      </c>
      <c r="BR559">
        <v>0</v>
      </c>
      <c r="BS559">
        <v>6</v>
      </c>
      <c r="BU559">
        <v>27262</v>
      </c>
    </row>
    <row r="560" spans="1:73" x14ac:dyDescent="0.3">
      <c r="A560" t="s">
        <v>3051</v>
      </c>
      <c r="B560">
        <v>0</v>
      </c>
      <c r="C560">
        <v>63382</v>
      </c>
      <c r="D560">
        <v>1</v>
      </c>
      <c r="E560">
        <v>164182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 s="1">
        <v>227564</v>
      </c>
      <c r="BD560" t="s">
        <v>74</v>
      </c>
      <c r="BE560" t="s">
        <v>3052</v>
      </c>
      <c r="BF560" t="s">
        <v>3053</v>
      </c>
      <c r="BH560" t="s">
        <v>77</v>
      </c>
      <c r="BI560" t="s">
        <v>92</v>
      </c>
      <c r="BJ560" t="s">
        <v>79</v>
      </c>
      <c r="BM560">
        <v>0</v>
      </c>
      <c r="BN560">
        <v>1</v>
      </c>
      <c r="BO560">
        <v>1</v>
      </c>
      <c r="BP560" t="s">
        <v>80</v>
      </c>
      <c r="BR560">
        <v>0</v>
      </c>
      <c r="BS560">
        <v>6</v>
      </c>
      <c r="BU560">
        <v>227564</v>
      </c>
    </row>
    <row r="561" spans="1:73" x14ac:dyDescent="0.3">
      <c r="A561" t="s">
        <v>3056</v>
      </c>
      <c r="B561">
        <v>1</v>
      </c>
      <c r="C561">
        <v>704427</v>
      </c>
      <c r="D561">
        <v>8</v>
      </c>
      <c r="E561">
        <v>4380154</v>
      </c>
      <c r="F561">
        <v>0</v>
      </c>
      <c r="G561">
        <v>0</v>
      </c>
      <c r="H561">
        <v>12</v>
      </c>
      <c r="I561">
        <v>405791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180329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11526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24</v>
      </c>
      <c r="BC561" s="1">
        <v>8382530</v>
      </c>
      <c r="BD561" t="s">
        <v>74</v>
      </c>
      <c r="BE561" t="s">
        <v>3057</v>
      </c>
      <c r="BF561" t="s">
        <v>1761</v>
      </c>
      <c r="BH561" t="s">
        <v>77</v>
      </c>
      <c r="BI561" t="s">
        <v>129</v>
      </c>
      <c r="BJ561" t="s">
        <v>79</v>
      </c>
      <c r="BM561">
        <v>2</v>
      </c>
      <c r="BN561">
        <v>3</v>
      </c>
      <c r="BO561">
        <v>5</v>
      </c>
      <c r="BP561" t="s">
        <v>80</v>
      </c>
      <c r="BR561">
        <v>0</v>
      </c>
      <c r="BS561">
        <v>5</v>
      </c>
      <c r="BU561">
        <v>5682227</v>
      </c>
    </row>
    <row r="562" spans="1:73" x14ac:dyDescent="0.3">
      <c r="A562" t="s">
        <v>3061</v>
      </c>
      <c r="B562">
        <v>1</v>
      </c>
      <c r="C562">
        <v>357020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19792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3</v>
      </c>
      <c r="BC562" s="1">
        <v>412923</v>
      </c>
      <c r="BD562" t="s">
        <v>74</v>
      </c>
      <c r="BE562" t="s">
        <v>3062</v>
      </c>
      <c r="BF562" t="s">
        <v>3063</v>
      </c>
      <c r="BH562" t="s">
        <v>77</v>
      </c>
      <c r="BI562" t="s">
        <v>88</v>
      </c>
      <c r="BJ562" t="s">
        <v>79</v>
      </c>
      <c r="BM562">
        <v>1</v>
      </c>
      <c r="BN562">
        <v>1</v>
      </c>
      <c r="BO562">
        <v>2</v>
      </c>
      <c r="BP562" t="s">
        <v>80</v>
      </c>
      <c r="BR562">
        <v>0</v>
      </c>
      <c r="BS562">
        <v>6</v>
      </c>
      <c r="BU562">
        <v>376812</v>
      </c>
    </row>
    <row r="563" spans="1:73" x14ac:dyDescent="0.3">
      <c r="A563" t="s">
        <v>3064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73535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 s="1">
        <v>73535</v>
      </c>
      <c r="BD563" t="s">
        <v>74</v>
      </c>
      <c r="BE563" t="s">
        <v>3065</v>
      </c>
      <c r="BF563" t="s">
        <v>3066</v>
      </c>
      <c r="BH563" t="s">
        <v>77</v>
      </c>
      <c r="BI563" t="s">
        <v>204</v>
      </c>
      <c r="BJ563" t="s">
        <v>79</v>
      </c>
      <c r="BM563">
        <v>1</v>
      </c>
      <c r="BN563">
        <v>0</v>
      </c>
      <c r="BO563">
        <v>1</v>
      </c>
      <c r="BP563" t="s">
        <v>80</v>
      </c>
      <c r="BR563">
        <v>0</v>
      </c>
      <c r="BS563">
        <v>0</v>
      </c>
      <c r="BU563">
        <v>73535</v>
      </c>
    </row>
    <row r="564" spans="1:73" x14ac:dyDescent="0.3">
      <c r="A564" t="s">
        <v>3067</v>
      </c>
      <c r="B564">
        <v>0</v>
      </c>
      <c r="C564">
        <v>0</v>
      </c>
      <c r="D564">
        <v>5</v>
      </c>
      <c r="E564">
        <v>2412418</v>
      </c>
      <c r="F564">
        <v>0</v>
      </c>
      <c r="G564">
        <v>0</v>
      </c>
      <c r="H564">
        <v>11</v>
      </c>
      <c r="I564">
        <v>472531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14</v>
      </c>
      <c r="BC564" s="1">
        <v>4302531</v>
      </c>
      <c r="BD564" t="s">
        <v>74</v>
      </c>
      <c r="BE564" t="s">
        <v>3068</v>
      </c>
      <c r="BF564" t="s">
        <v>3069</v>
      </c>
      <c r="BH564" t="s">
        <v>77</v>
      </c>
      <c r="BI564" t="s">
        <v>129</v>
      </c>
      <c r="BJ564" t="s">
        <v>79</v>
      </c>
      <c r="BM564">
        <v>0</v>
      </c>
      <c r="BN564">
        <v>2</v>
      </c>
      <c r="BO564">
        <v>2</v>
      </c>
      <c r="BP564" t="s">
        <v>80</v>
      </c>
      <c r="BR564">
        <v>0</v>
      </c>
      <c r="BS564">
        <v>6</v>
      </c>
      <c r="BU564">
        <v>2884949</v>
      </c>
    </row>
    <row r="565" spans="1:73" x14ac:dyDescent="0.3">
      <c r="A565" t="s">
        <v>3070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73535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</v>
      </c>
      <c r="BC565" s="1">
        <v>152120</v>
      </c>
      <c r="BD565" t="s">
        <v>74</v>
      </c>
      <c r="BE565" t="s">
        <v>3071</v>
      </c>
      <c r="BF565" t="s">
        <v>3072</v>
      </c>
      <c r="BH565" t="s">
        <v>77</v>
      </c>
      <c r="BI565" t="s">
        <v>204</v>
      </c>
      <c r="BJ565" t="s">
        <v>79</v>
      </c>
      <c r="BM565">
        <v>1</v>
      </c>
      <c r="BN565">
        <v>0</v>
      </c>
      <c r="BO565">
        <v>1</v>
      </c>
      <c r="BP565" t="s">
        <v>80</v>
      </c>
      <c r="BR565">
        <v>0</v>
      </c>
      <c r="BS565">
        <v>0</v>
      </c>
      <c r="BU565">
        <v>73535</v>
      </c>
    </row>
    <row r="566" spans="1:73" x14ac:dyDescent="0.3">
      <c r="A566" t="s">
        <v>3073</v>
      </c>
      <c r="B566">
        <v>3</v>
      </c>
      <c r="C566">
        <v>972286</v>
      </c>
      <c r="D566">
        <v>1</v>
      </c>
      <c r="E566">
        <v>250000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</v>
      </c>
      <c r="BC566" s="1">
        <v>1222286</v>
      </c>
      <c r="BD566" t="s">
        <v>74</v>
      </c>
      <c r="BE566" t="s">
        <v>3074</v>
      </c>
      <c r="BF566" t="s">
        <v>3075</v>
      </c>
      <c r="BH566" t="s">
        <v>77</v>
      </c>
      <c r="BI566" t="s">
        <v>204</v>
      </c>
      <c r="BJ566" t="s">
        <v>79</v>
      </c>
      <c r="BM566">
        <v>0</v>
      </c>
      <c r="BN566">
        <v>2</v>
      </c>
      <c r="BO566">
        <v>2</v>
      </c>
      <c r="BP566" t="s">
        <v>80</v>
      </c>
      <c r="BR566">
        <v>0</v>
      </c>
      <c r="BS566">
        <v>6</v>
      </c>
      <c r="BU566">
        <v>1222286</v>
      </c>
    </row>
    <row r="567" spans="1:73" x14ac:dyDescent="0.3">
      <c r="A567" t="s">
        <v>3082</v>
      </c>
      <c r="B567">
        <v>0</v>
      </c>
      <c r="C567">
        <v>0</v>
      </c>
      <c r="D567">
        <v>3</v>
      </c>
      <c r="E567">
        <v>729661</v>
      </c>
      <c r="F567">
        <v>0</v>
      </c>
      <c r="G567">
        <v>0</v>
      </c>
      <c r="H567">
        <v>4</v>
      </c>
      <c r="I567">
        <v>122180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6</v>
      </c>
      <c r="BC567" s="1">
        <v>1459322</v>
      </c>
      <c r="BD567" t="s">
        <v>74</v>
      </c>
      <c r="BE567" t="s">
        <v>3083</v>
      </c>
      <c r="BF567" t="s">
        <v>2813</v>
      </c>
      <c r="BH567" t="s">
        <v>77</v>
      </c>
      <c r="BI567" t="s">
        <v>593</v>
      </c>
      <c r="BJ567" t="s">
        <v>79</v>
      </c>
      <c r="BM567">
        <v>0</v>
      </c>
      <c r="BN567">
        <v>2</v>
      </c>
      <c r="BO567">
        <v>2</v>
      </c>
      <c r="BP567" t="s">
        <v>80</v>
      </c>
      <c r="BR567">
        <v>0</v>
      </c>
      <c r="BS567">
        <v>6</v>
      </c>
      <c r="BU567">
        <v>851841</v>
      </c>
    </row>
    <row r="568" spans="1:73" x14ac:dyDescent="0.3">
      <c r="A568" t="s">
        <v>3084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43523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4394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</v>
      </c>
      <c r="BC568" s="1">
        <v>47917</v>
      </c>
      <c r="BD568" t="s">
        <v>74</v>
      </c>
      <c r="BE568" t="s">
        <v>3085</v>
      </c>
      <c r="BF568" t="s">
        <v>813</v>
      </c>
      <c r="BH568" t="s">
        <v>77</v>
      </c>
      <c r="BI568" t="s">
        <v>281</v>
      </c>
      <c r="BJ568" t="s">
        <v>79</v>
      </c>
      <c r="BM568">
        <v>2</v>
      </c>
      <c r="BN568">
        <v>0</v>
      </c>
      <c r="BO568">
        <v>2</v>
      </c>
      <c r="BP568" t="s">
        <v>80</v>
      </c>
      <c r="BR568">
        <v>0</v>
      </c>
      <c r="BS568">
        <v>0</v>
      </c>
      <c r="BU568">
        <v>47917</v>
      </c>
    </row>
    <row r="569" spans="1:73" x14ac:dyDescent="0.3">
      <c r="A569" t="s">
        <v>3105</v>
      </c>
      <c r="B569">
        <v>0</v>
      </c>
      <c r="C569">
        <v>0</v>
      </c>
      <c r="D569">
        <v>9</v>
      </c>
      <c r="E569">
        <v>4760056</v>
      </c>
      <c r="F569">
        <v>0</v>
      </c>
      <c r="G569">
        <v>0</v>
      </c>
      <c r="H569">
        <v>14</v>
      </c>
      <c r="I569">
        <v>320112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18</v>
      </c>
      <c r="BC569" s="1">
        <v>9520112</v>
      </c>
      <c r="BD569" t="s">
        <v>74</v>
      </c>
      <c r="BE569" t="s">
        <v>3106</v>
      </c>
      <c r="BF569" t="s">
        <v>3107</v>
      </c>
      <c r="BH569" t="s">
        <v>77</v>
      </c>
      <c r="BI569" t="s">
        <v>574</v>
      </c>
      <c r="BJ569" t="s">
        <v>79</v>
      </c>
      <c r="BM569">
        <v>0</v>
      </c>
      <c r="BN569">
        <v>2</v>
      </c>
      <c r="BO569">
        <v>2</v>
      </c>
      <c r="BP569" t="s">
        <v>80</v>
      </c>
      <c r="BR569">
        <v>0</v>
      </c>
      <c r="BS569">
        <v>6</v>
      </c>
      <c r="BU569">
        <v>5080168</v>
      </c>
    </row>
    <row r="570" spans="1:73" x14ac:dyDescent="0.3">
      <c r="A570" t="s">
        <v>3108</v>
      </c>
      <c r="B570">
        <v>0</v>
      </c>
      <c r="C570">
        <v>0</v>
      </c>
      <c r="D570">
        <v>8</v>
      </c>
      <c r="E570">
        <v>1871702</v>
      </c>
      <c r="F570">
        <v>0</v>
      </c>
      <c r="G570">
        <v>0</v>
      </c>
      <c r="H570">
        <v>14</v>
      </c>
      <c r="I570">
        <v>543404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333334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17</v>
      </c>
      <c r="BC570" s="1">
        <v>4076738</v>
      </c>
      <c r="BD570" t="s">
        <v>74</v>
      </c>
      <c r="BE570" t="s">
        <v>3109</v>
      </c>
      <c r="BF570" t="s">
        <v>3110</v>
      </c>
      <c r="BH570" t="s">
        <v>77</v>
      </c>
      <c r="BI570" t="s">
        <v>574</v>
      </c>
      <c r="BJ570" t="s">
        <v>79</v>
      </c>
      <c r="BM570">
        <v>1</v>
      </c>
      <c r="BN570">
        <v>2</v>
      </c>
      <c r="BO570">
        <v>3</v>
      </c>
      <c r="BP570" t="s">
        <v>80</v>
      </c>
      <c r="BR570">
        <v>0</v>
      </c>
      <c r="BS570">
        <v>6</v>
      </c>
      <c r="BU570">
        <v>2748440</v>
      </c>
    </row>
    <row r="571" spans="1:73" x14ac:dyDescent="0.3">
      <c r="A571" t="s">
        <v>3111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73535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 s="1">
        <v>73535</v>
      </c>
      <c r="BD571" t="s">
        <v>74</v>
      </c>
      <c r="BE571" t="s">
        <v>3112</v>
      </c>
      <c r="BF571" t="s">
        <v>568</v>
      </c>
      <c r="BH571" t="s">
        <v>77</v>
      </c>
      <c r="BI571" t="s">
        <v>593</v>
      </c>
      <c r="BJ571" t="s">
        <v>79</v>
      </c>
      <c r="BM571">
        <v>1</v>
      </c>
      <c r="BN571">
        <v>0</v>
      </c>
      <c r="BO571">
        <v>1</v>
      </c>
      <c r="BP571" t="s">
        <v>80</v>
      </c>
      <c r="BR571">
        <v>0</v>
      </c>
      <c r="BS571">
        <v>0</v>
      </c>
      <c r="BU571">
        <v>73535</v>
      </c>
    </row>
    <row r="572" spans="1:73" x14ac:dyDescent="0.3">
      <c r="A572" t="s">
        <v>3113</v>
      </c>
      <c r="B572">
        <v>4</v>
      </c>
      <c r="C572">
        <v>753614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4</v>
      </c>
      <c r="BC572" s="1">
        <v>753614</v>
      </c>
      <c r="BD572" t="s">
        <v>74</v>
      </c>
      <c r="BE572" t="s">
        <v>3114</v>
      </c>
      <c r="BF572" t="s">
        <v>3115</v>
      </c>
      <c r="BH572" t="s">
        <v>77</v>
      </c>
      <c r="BI572" t="s">
        <v>574</v>
      </c>
      <c r="BJ572" t="s">
        <v>79</v>
      </c>
      <c r="BM572">
        <v>0</v>
      </c>
      <c r="BN572">
        <v>1</v>
      </c>
      <c r="BO572">
        <v>1</v>
      </c>
      <c r="BP572" t="s">
        <v>80</v>
      </c>
      <c r="BR572">
        <v>0</v>
      </c>
      <c r="BS572">
        <v>6</v>
      </c>
      <c r="BU572">
        <v>753614</v>
      </c>
    </row>
    <row r="573" spans="1:73" x14ac:dyDescent="0.3">
      <c r="A573" t="s">
        <v>3116</v>
      </c>
      <c r="B573">
        <v>1</v>
      </c>
      <c r="C573">
        <v>221854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 s="1">
        <v>221854</v>
      </c>
      <c r="BD573" t="s">
        <v>74</v>
      </c>
      <c r="BE573" t="s">
        <v>3117</v>
      </c>
      <c r="BF573" t="s">
        <v>3118</v>
      </c>
      <c r="BH573" t="s">
        <v>77</v>
      </c>
      <c r="BI573" t="s">
        <v>593</v>
      </c>
      <c r="BJ573" t="s">
        <v>79</v>
      </c>
      <c r="BM573">
        <v>0</v>
      </c>
      <c r="BN573">
        <v>1</v>
      </c>
      <c r="BO573">
        <v>1</v>
      </c>
      <c r="BP573" t="s">
        <v>80</v>
      </c>
      <c r="BR573">
        <v>0</v>
      </c>
      <c r="BS573">
        <v>6</v>
      </c>
      <c r="BU573">
        <v>221854</v>
      </c>
    </row>
    <row r="574" spans="1:73" x14ac:dyDescent="0.3">
      <c r="A574" t="s">
        <v>3119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73535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19792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3</v>
      </c>
      <c r="BC574" s="1">
        <v>171912</v>
      </c>
      <c r="BD574" t="s">
        <v>74</v>
      </c>
      <c r="BE574" t="s">
        <v>3120</v>
      </c>
      <c r="BF574" t="s">
        <v>3121</v>
      </c>
      <c r="BH574" t="s">
        <v>77</v>
      </c>
      <c r="BI574" t="s">
        <v>92</v>
      </c>
      <c r="BJ574" t="s">
        <v>79</v>
      </c>
      <c r="BM574">
        <v>2</v>
      </c>
      <c r="BN574">
        <v>0</v>
      </c>
      <c r="BO574">
        <v>2</v>
      </c>
      <c r="BP574" t="s">
        <v>80</v>
      </c>
      <c r="BR574">
        <v>0</v>
      </c>
      <c r="BS574">
        <v>6</v>
      </c>
      <c r="BU574">
        <v>93327</v>
      </c>
    </row>
    <row r="575" spans="1:73" x14ac:dyDescent="0.3">
      <c r="A575" t="s">
        <v>3131</v>
      </c>
      <c r="B575">
        <v>2</v>
      </c>
      <c r="C575">
        <v>388482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2</v>
      </c>
      <c r="BC575" s="1">
        <v>388482</v>
      </c>
      <c r="BD575" t="s">
        <v>74</v>
      </c>
      <c r="BE575" t="s">
        <v>3132</v>
      </c>
      <c r="BF575" t="s">
        <v>3133</v>
      </c>
      <c r="BM575">
        <v>0</v>
      </c>
      <c r="BN575">
        <v>1</v>
      </c>
      <c r="BO575">
        <v>1</v>
      </c>
      <c r="BP575" t="s">
        <v>80</v>
      </c>
      <c r="BR575">
        <v>0</v>
      </c>
      <c r="BS575">
        <v>6</v>
      </c>
      <c r="BU575">
        <v>388482</v>
      </c>
    </row>
    <row r="576" spans="1:73" x14ac:dyDescent="0.3">
      <c r="A576" t="s">
        <v>3134</v>
      </c>
      <c r="B576">
        <v>0</v>
      </c>
      <c r="C576">
        <v>0</v>
      </c>
      <c r="D576">
        <v>1</v>
      </c>
      <c r="E576">
        <v>270000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 s="1">
        <v>270000</v>
      </c>
      <c r="BD576" t="s">
        <v>74</v>
      </c>
      <c r="BE576" t="s">
        <v>3135</v>
      </c>
      <c r="BF576" t="s">
        <v>3136</v>
      </c>
      <c r="BH576" t="s">
        <v>77</v>
      </c>
      <c r="BI576" t="s">
        <v>84</v>
      </c>
      <c r="BJ576" t="s">
        <v>79</v>
      </c>
      <c r="BM576">
        <v>0</v>
      </c>
      <c r="BN576">
        <v>1</v>
      </c>
      <c r="BO576">
        <v>1</v>
      </c>
      <c r="BP576" t="s">
        <v>80</v>
      </c>
      <c r="BR576">
        <v>0</v>
      </c>
      <c r="BS576">
        <v>6</v>
      </c>
      <c r="BU576">
        <v>270000</v>
      </c>
    </row>
    <row r="577" spans="1:73" x14ac:dyDescent="0.3">
      <c r="A577" t="s">
        <v>3137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169974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4</v>
      </c>
      <c r="BC577" s="1">
        <v>339948</v>
      </c>
      <c r="BD577" t="s">
        <v>74</v>
      </c>
      <c r="BE577" t="s">
        <v>3138</v>
      </c>
      <c r="BF577" t="s">
        <v>3139</v>
      </c>
      <c r="BH577" t="s">
        <v>77</v>
      </c>
      <c r="BI577" t="s">
        <v>92</v>
      </c>
      <c r="BJ577" t="s">
        <v>79</v>
      </c>
      <c r="BM577">
        <v>1</v>
      </c>
      <c r="BN577">
        <v>0</v>
      </c>
      <c r="BO577">
        <v>1</v>
      </c>
      <c r="BP577" t="s">
        <v>80</v>
      </c>
      <c r="BR577">
        <v>0</v>
      </c>
      <c r="BS577">
        <v>6</v>
      </c>
      <c r="BU577">
        <v>169974</v>
      </c>
    </row>
    <row r="578" spans="1:73" x14ac:dyDescent="0.3">
      <c r="A578" t="s">
        <v>3143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8000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 s="1">
        <v>8000</v>
      </c>
      <c r="BD578" t="s">
        <v>74</v>
      </c>
      <c r="BE578" t="s">
        <v>3144</v>
      </c>
      <c r="BF578" t="s">
        <v>3145</v>
      </c>
      <c r="BH578" t="s">
        <v>77</v>
      </c>
      <c r="BI578" t="s">
        <v>204</v>
      </c>
      <c r="BJ578" t="s">
        <v>79</v>
      </c>
      <c r="BM578">
        <v>1</v>
      </c>
      <c r="BN578">
        <v>0</v>
      </c>
      <c r="BO578">
        <v>1</v>
      </c>
      <c r="BP578" t="s">
        <v>80</v>
      </c>
      <c r="BR578">
        <v>0</v>
      </c>
      <c r="BS578">
        <v>0</v>
      </c>
      <c r="BU578">
        <v>8000</v>
      </c>
    </row>
    <row r="579" spans="1:73" x14ac:dyDescent="0.3">
      <c r="A579" t="s">
        <v>3146</v>
      </c>
      <c r="B579">
        <v>0</v>
      </c>
      <c r="C579">
        <v>0</v>
      </c>
      <c r="D579">
        <v>3</v>
      </c>
      <c r="E579">
        <v>290000</v>
      </c>
      <c r="F579">
        <v>0</v>
      </c>
      <c r="G579">
        <v>0</v>
      </c>
      <c r="H579">
        <v>4</v>
      </c>
      <c r="I579">
        <v>80000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6</v>
      </c>
      <c r="BC579" s="1">
        <v>580000</v>
      </c>
      <c r="BD579" t="s">
        <v>74</v>
      </c>
      <c r="BE579" t="s">
        <v>3147</v>
      </c>
      <c r="BF579" t="s">
        <v>254</v>
      </c>
      <c r="BH579" t="s">
        <v>77</v>
      </c>
      <c r="BI579" t="s">
        <v>78</v>
      </c>
      <c r="BJ579" t="s">
        <v>79</v>
      </c>
      <c r="BM579">
        <v>0</v>
      </c>
      <c r="BN579">
        <v>2</v>
      </c>
      <c r="BO579">
        <v>2</v>
      </c>
      <c r="BP579" t="s">
        <v>80</v>
      </c>
      <c r="BR579">
        <v>0</v>
      </c>
      <c r="BS579">
        <v>6</v>
      </c>
      <c r="BU579">
        <v>370000</v>
      </c>
    </row>
    <row r="580" spans="1:73" x14ac:dyDescent="0.3">
      <c r="A580" t="s">
        <v>3148</v>
      </c>
      <c r="B580">
        <v>0</v>
      </c>
      <c r="C580">
        <v>0</v>
      </c>
      <c r="D580">
        <v>1</v>
      </c>
      <c r="E580">
        <v>152000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64000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4</v>
      </c>
      <c r="BC580" s="1">
        <v>432000</v>
      </c>
      <c r="BD580" t="s">
        <v>74</v>
      </c>
      <c r="BE580" t="s">
        <v>3149</v>
      </c>
      <c r="BF580" t="s">
        <v>3150</v>
      </c>
      <c r="BH580" t="s">
        <v>77</v>
      </c>
      <c r="BI580" t="s">
        <v>281</v>
      </c>
      <c r="BJ580" t="s">
        <v>79</v>
      </c>
      <c r="BM580">
        <v>0</v>
      </c>
      <c r="BN580">
        <v>2</v>
      </c>
      <c r="BO580">
        <v>2</v>
      </c>
      <c r="BP580" t="s">
        <v>80</v>
      </c>
      <c r="BR580">
        <v>0</v>
      </c>
      <c r="BS580">
        <v>6</v>
      </c>
      <c r="BU580">
        <v>216000</v>
      </c>
    </row>
    <row r="581" spans="1:73" x14ac:dyDescent="0.3">
      <c r="A581" t="s">
        <v>3151</v>
      </c>
      <c r="B581">
        <v>0</v>
      </c>
      <c r="C581">
        <v>0</v>
      </c>
      <c r="D581">
        <v>1</v>
      </c>
      <c r="E581">
        <v>280000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4</v>
      </c>
      <c r="BC581" s="1">
        <v>718643</v>
      </c>
      <c r="BD581" t="s">
        <v>74</v>
      </c>
      <c r="BE581" t="s">
        <v>3152</v>
      </c>
      <c r="BF581" t="s">
        <v>3153</v>
      </c>
      <c r="BH581" t="s">
        <v>77</v>
      </c>
      <c r="BI581" t="s">
        <v>204</v>
      </c>
      <c r="BJ581" t="s">
        <v>79</v>
      </c>
      <c r="BM581">
        <v>0</v>
      </c>
      <c r="BN581">
        <v>1</v>
      </c>
      <c r="BO581">
        <v>1</v>
      </c>
      <c r="BP581" t="s">
        <v>80</v>
      </c>
      <c r="BR581">
        <v>0</v>
      </c>
      <c r="BS581">
        <v>6</v>
      </c>
      <c r="BU581">
        <v>280000</v>
      </c>
    </row>
    <row r="582" spans="1:73" x14ac:dyDescent="0.3">
      <c r="A582" t="s">
        <v>3157</v>
      </c>
      <c r="B582">
        <v>3</v>
      </c>
      <c r="C582">
        <v>905604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</v>
      </c>
      <c r="BC582" s="1">
        <v>905604</v>
      </c>
      <c r="BD582" t="s">
        <v>74</v>
      </c>
      <c r="BE582" t="s">
        <v>3158</v>
      </c>
      <c r="BF582" t="s">
        <v>3159</v>
      </c>
      <c r="BH582" t="s">
        <v>77</v>
      </c>
      <c r="BI582" t="s">
        <v>92</v>
      </c>
      <c r="BJ582" t="s">
        <v>79</v>
      </c>
      <c r="BM582">
        <v>0</v>
      </c>
      <c r="BN582">
        <v>1</v>
      </c>
      <c r="BO582">
        <v>1</v>
      </c>
      <c r="BP582" t="s">
        <v>80</v>
      </c>
      <c r="BR582">
        <v>0</v>
      </c>
      <c r="BS582">
        <v>0</v>
      </c>
      <c r="BU582">
        <v>905604</v>
      </c>
    </row>
    <row r="583" spans="1:73" x14ac:dyDescent="0.3">
      <c r="A583" t="s">
        <v>3160</v>
      </c>
      <c r="B583">
        <v>0</v>
      </c>
      <c r="C583">
        <v>0</v>
      </c>
      <c r="D583">
        <v>1</v>
      </c>
      <c r="E583">
        <v>190909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 s="1">
        <v>190909</v>
      </c>
      <c r="BD583" t="s">
        <v>74</v>
      </c>
      <c r="BE583" t="s">
        <v>3161</v>
      </c>
      <c r="BF583" t="s">
        <v>3162</v>
      </c>
      <c r="BH583" t="s">
        <v>77</v>
      </c>
      <c r="BI583" t="s">
        <v>574</v>
      </c>
      <c r="BJ583" t="s">
        <v>79</v>
      </c>
      <c r="BM583">
        <v>0</v>
      </c>
      <c r="BN583">
        <v>1</v>
      </c>
      <c r="BO583">
        <v>1</v>
      </c>
      <c r="BP583" t="s">
        <v>80</v>
      </c>
      <c r="BR583">
        <v>0</v>
      </c>
      <c r="BS583">
        <v>6</v>
      </c>
      <c r="BU583">
        <v>190909</v>
      </c>
    </row>
    <row r="584" spans="1:73" x14ac:dyDescent="0.3">
      <c r="A584" t="s">
        <v>3166</v>
      </c>
      <c r="B584">
        <v>2</v>
      </c>
      <c r="C584">
        <v>475107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2</v>
      </c>
      <c r="BC584" s="1">
        <v>475107</v>
      </c>
      <c r="BD584" t="s">
        <v>74</v>
      </c>
      <c r="BE584" t="s">
        <v>3167</v>
      </c>
      <c r="BF584" t="s">
        <v>3168</v>
      </c>
      <c r="BH584" t="s">
        <v>77</v>
      </c>
      <c r="BI584" t="s">
        <v>88</v>
      </c>
      <c r="BJ584" t="s">
        <v>79</v>
      </c>
      <c r="BM584">
        <v>0</v>
      </c>
      <c r="BN584">
        <v>1</v>
      </c>
      <c r="BO584">
        <v>1</v>
      </c>
      <c r="BP584" t="s">
        <v>80</v>
      </c>
      <c r="BR584">
        <v>0</v>
      </c>
      <c r="BS584">
        <v>6</v>
      </c>
      <c r="BU584">
        <v>475107</v>
      </c>
    </row>
    <row r="585" spans="1:73" x14ac:dyDescent="0.3">
      <c r="A585" t="s">
        <v>3169</v>
      </c>
      <c r="B585">
        <v>1</v>
      </c>
      <c r="C585">
        <v>135455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 s="1">
        <v>135455</v>
      </c>
      <c r="BD585" t="s">
        <v>74</v>
      </c>
      <c r="BE585" t="s">
        <v>3170</v>
      </c>
      <c r="BF585" t="s">
        <v>3171</v>
      </c>
      <c r="BH585" t="s">
        <v>77</v>
      </c>
      <c r="BI585" t="s">
        <v>593</v>
      </c>
      <c r="BJ585" t="s">
        <v>79</v>
      </c>
      <c r="BM585">
        <v>0</v>
      </c>
      <c r="BN585">
        <v>1</v>
      </c>
      <c r="BO585">
        <v>1</v>
      </c>
      <c r="BP585" t="s">
        <v>80</v>
      </c>
      <c r="BR585">
        <v>0</v>
      </c>
      <c r="BS585">
        <v>0</v>
      </c>
      <c r="BU585">
        <v>135455</v>
      </c>
    </row>
    <row r="586" spans="1:73" x14ac:dyDescent="0.3">
      <c r="A586" t="s">
        <v>3183</v>
      </c>
      <c r="B586">
        <v>1</v>
      </c>
      <c r="C586">
        <v>520237</v>
      </c>
      <c r="D586">
        <v>3</v>
      </c>
      <c r="E586">
        <v>271428</v>
      </c>
      <c r="F586">
        <v>0</v>
      </c>
      <c r="G586">
        <v>0</v>
      </c>
      <c r="H586">
        <v>4</v>
      </c>
      <c r="I586">
        <v>80000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7</v>
      </c>
      <c r="BC586" s="1">
        <v>1063093</v>
      </c>
      <c r="BD586" t="s">
        <v>74</v>
      </c>
      <c r="BE586" t="s">
        <v>3184</v>
      </c>
      <c r="BF586" t="s">
        <v>3185</v>
      </c>
      <c r="BH586" t="s">
        <v>175</v>
      </c>
      <c r="BI586" t="s">
        <v>646</v>
      </c>
      <c r="BJ586" t="s">
        <v>125</v>
      </c>
      <c r="BM586">
        <v>0</v>
      </c>
      <c r="BN586">
        <v>3</v>
      </c>
      <c r="BO586">
        <v>3</v>
      </c>
      <c r="BP586" t="s">
        <v>80</v>
      </c>
      <c r="BR586">
        <v>0</v>
      </c>
      <c r="BS586">
        <v>6</v>
      </c>
      <c r="BU586">
        <v>871665</v>
      </c>
    </row>
    <row r="587" spans="1:73" x14ac:dyDescent="0.3">
      <c r="A587" t="s">
        <v>3189</v>
      </c>
      <c r="B587">
        <v>1</v>
      </c>
      <c r="C587">
        <v>72860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 s="1">
        <v>72860</v>
      </c>
      <c r="BD587" t="s">
        <v>74</v>
      </c>
      <c r="BE587" t="s">
        <v>3190</v>
      </c>
      <c r="BF587" t="s">
        <v>3191</v>
      </c>
      <c r="BH587" t="s">
        <v>77</v>
      </c>
      <c r="BI587" t="s">
        <v>228</v>
      </c>
      <c r="BJ587" t="s">
        <v>79</v>
      </c>
      <c r="BM587">
        <v>0</v>
      </c>
      <c r="BN587">
        <v>1</v>
      </c>
      <c r="BO587">
        <v>1</v>
      </c>
      <c r="BP587" t="s">
        <v>80</v>
      </c>
      <c r="BR587">
        <v>0</v>
      </c>
      <c r="BS587">
        <v>6</v>
      </c>
      <c r="BU587">
        <v>72860</v>
      </c>
    </row>
    <row r="588" spans="1:73" x14ac:dyDescent="0.3">
      <c r="A588" t="s">
        <v>3192</v>
      </c>
      <c r="B588">
        <v>2</v>
      </c>
      <c r="C588">
        <v>939075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2</v>
      </c>
      <c r="BC588" s="1">
        <v>939075</v>
      </c>
      <c r="BD588" t="s">
        <v>74</v>
      </c>
      <c r="BE588" t="s">
        <v>2408</v>
      </c>
      <c r="BF588" t="s">
        <v>2409</v>
      </c>
      <c r="BH588" t="s">
        <v>77</v>
      </c>
      <c r="BI588" t="s">
        <v>92</v>
      </c>
      <c r="BJ588" t="s">
        <v>79</v>
      </c>
      <c r="BM588">
        <v>0</v>
      </c>
      <c r="BN588">
        <v>1</v>
      </c>
      <c r="BO588">
        <v>1</v>
      </c>
      <c r="BP588" t="s">
        <v>80</v>
      </c>
      <c r="BR588">
        <v>0</v>
      </c>
      <c r="BS588">
        <v>6</v>
      </c>
      <c r="BU588">
        <v>939075</v>
      </c>
    </row>
    <row r="589" spans="1:73" x14ac:dyDescent="0.3">
      <c r="A589" t="s">
        <v>3196</v>
      </c>
      <c r="B589">
        <v>0</v>
      </c>
      <c r="C589">
        <v>0</v>
      </c>
      <c r="D589">
        <v>6</v>
      </c>
      <c r="E589">
        <v>3322547</v>
      </c>
      <c r="F589">
        <v>0</v>
      </c>
      <c r="G589">
        <v>0</v>
      </c>
      <c r="H589">
        <v>10</v>
      </c>
      <c r="I589">
        <v>645094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12</v>
      </c>
      <c r="BC589" s="1">
        <v>6645094</v>
      </c>
      <c r="BD589" t="s">
        <v>74</v>
      </c>
      <c r="BE589" t="s">
        <v>3197</v>
      </c>
      <c r="BF589" t="s">
        <v>3198</v>
      </c>
      <c r="BH589" t="s">
        <v>77</v>
      </c>
      <c r="BI589" t="s">
        <v>574</v>
      </c>
      <c r="BJ589" t="s">
        <v>79</v>
      </c>
      <c r="BM589">
        <v>0</v>
      </c>
      <c r="BN589">
        <v>2</v>
      </c>
      <c r="BO589">
        <v>2</v>
      </c>
      <c r="BP589" t="s">
        <v>80</v>
      </c>
      <c r="BR589">
        <v>0</v>
      </c>
      <c r="BS589">
        <v>6</v>
      </c>
      <c r="BU589">
        <v>3967641</v>
      </c>
    </row>
    <row r="590" spans="1:73" x14ac:dyDescent="0.3">
      <c r="A590" t="s">
        <v>3204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73535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</v>
      </c>
      <c r="BC590" s="1">
        <v>147070</v>
      </c>
      <c r="BD590" t="s">
        <v>74</v>
      </c>
      <c r="BE590" t="s">
        <v>3205</v>
      </c>
      <c r="BF590" t="s">
        <v>3206</v>
      </c>
      <c r="BH590" t="s">
        <v>77</v>
      </c>
      <c r="BI590" t="s">
        <v>78</v>
      </c>
      <c r="BJ590" t="s">
        <v>79</v>
      </c>
      <c r="BM590">
        <v>1</v>
      </c>
      <c r="BN590">
        <v>0</v>
      </c>
      <c r="BO590">
        <v>1</v>
      </c>
      <c r="BP590" t="s">
        <v>80</v>
      </c>
      <c r="BR590">
        <v>0</v>
      </c>
      <c r="BS590">
        <v>0</v>
      </c>
      <c r="BU590">
        <v>73535</v>
      </c>
    </row>
    <row r="591" spans="1:73" x14ac:dyDescent="0.3">
      <c r="A591" t="s">
        <v>3207</v>
      </c>
      <c r="B591">
        <v>0</v>
      </c>
      <c r="C591">
        <v>0</v>
      </c>
      <c r="D591">
        <v>2</v>
      </c>
      <c r="E591">
        <v>150386</v>
      </c>
      <c r="F591">
        <v>0</v>
      </c>
      <c r="G591">
        <v>0</v>
      </c>
      <c r="H591">
        <v>2</v>
      </c>
      <c r="I591">
        <v>772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73535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6</v>
      </c>
      <c r="BC591" s="1">
        <v>447842</v>
      </c>
      <c r="BD591" t="s">
        <v>74</v>
      </c>
      <c r="BE591" t="s">
        <v>3208</v>
      </c>
      <c r="BF591" t="s">
        <v>3209</v>
      </c>
      <c r="BH591" t="s">
        <v>77</v>
      </c>
      <c r="BI591" t="s">
        <v>593</v>
      </c>
      <c r="BJ591" t="s">
        <v>79</v>
      </c>
      <c r="BM591">
        <v>1</v>
      </c>
      <c r="BN591">
        <v>2</v>
      </c>
      <c r="BO591">
        <v>3</v>
      </c>
      <c r="BP591" t="s">
        <v>80</v>
      </c>
      <c r="BR591">
        <v>0</v>
      </c>
      <c r="BS591">
        <v>6</v>
      </c>
      <c r="BU591">
        <v>224693</v>
      </c>
    </row>
    <row r="592" spans="1:73" x14ac:dyDescent="0.3">
      <c r="A592" t="s">
        <v>3214</v>
      </c>
      <c r="B592">
        <v>0</v>
      </c>
      <c r="C592">
        <v>0</v>
      </c>
      <c r="D592">
        <v>9</v>
      </c>
      <c r="E592">
        <v>2788127</v>
      </c>
      <c r="F592">
        <v>0</v>
      </c>
      <c r="G592">
        <v>0</v>
      </c>
      <c r="H592">
        <v>16</v>
      </c>
      <c r="I592">
        <v>536254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18</v>
      </c>
      <c r="BC592" s="1">
        <v>5576254</v>
      </c>
      <c r="BD592" t="s">
        <v>74</v>
      </c>
      <c r="BE592" t="s">
        <v>3215</v>
      </c>
      <c r="BF592" t="s">
        <v>3216</v>
      </c>
      <c r="BH592" t="s">
        <v>77</v>
      </c>
      <c r="BI592" t="s">
        <v>574</v>
      </c>
      <c r="BJ592" t="s">
        <v>79</v>
      </c>
      <c r="BM592">
        <v>0</v>
      </c>
      <c r="BN592">
        <v>2</v>
      </c>
      <c r="BO592">
        <v>2</v>
      </c>
      <c r="BP592" t="s">
        <v>80</v>
      </c>
      <c r="BR592">
        <v>0</v>
      </c>
      <c r="BS592">
        <v>6</v>
      </c>
      <c r="BU592">
        <v>3324381</v>
      </c>
    </row>
    <row r="593" spans="1:73" x14ac:dyDescent="0.3">
      <c r="A593" t="s">
        <v>3222</v>
      </c>
      <c r="B593">
        <v>0</v>
      </c>
      <c r="C593">
        <v>0</v>
      </c>
      <c r="D593">
        <v>2</v>
      </c>
      <c r="E593">
        <v>48152</v>
      </c>
      <c r="F593">
        <v>0</v>
      </c>
      <c r="G593">
        <v>0</v>
      </c>
      <c r="H593">
        <v>4</v>
      </c>
      <c r="I593">
        <v>96304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4</v>
      </c>
      <c r="BC593" s="1">
        <v>96304</v>
      </c>
      <c r="BD593" t="s">
        <v>74</v>
      </c>
      <c r="BE593" t="s">
        <v>3223</v>
      </c>
      <c r="BF593" t="s">
        <v>1761</v>
      </c>
      <c r="BH593" t="s">
        <v>77</v>
      </c>
      <c r="BI593" t="s">
        <v>129</v>
      </c>
      <c r="BJ593" t="s">
        <v>79</v>
      </c>
      <c r="BM593">
        <v>0</v>
      </c>
      <c r="BN593">
        <v>2</v>
      </c>
      <c r="BO593">
        <v>2</v>
      </c>
      <c r="BP593" t="s">
        <v>80</v>
      </c>
      <c r="BR593">
        <v>0</v>
      </c>
      <c r="BS593">
        <v>6</v>
      </c>
      <c r="BU593">
        <v>144456</v>
      </c>
    </row>
    <row r="594" spans="1:73" x14ac:dyDescent="0.3">
      <c r="A594" t="s">
        <v>3224</v>
      </c>
      <c r="B594">
        <v>0</v>
      </c>
      <c r="C594">
        <v>0</v>
      </c>
      <c r="D594">
        <v>7</v>
      </c>
      <c r="E594">
        <v>6839428</v>
      </c>
      <c r="F594">
        <v>0</v>
      </c>
      <c r="G594">
        <v>0</v>
      </c>
      <c r="H594">
        <v>13</v>
      </c>
      <c r="I594">
        <v>260000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20</v>
      </c>
      <c r="BC594" s="1">
        <v>10618856</v>
      </c>
      <c r="BD594" t="s">
        <v>74</v>
      </c>
      <c r="BE594" t="s">
        <v>3225</v>
      </c>
      <c r="BF594" t="s">
        <v>3226</v>
      </c>
      <c r="BH594" t="s">
        <v>77</v>
      </c>
      <c r="BI594" t="s">
        <v>129</v>
      </c>
      <c r="BJ594" t="s">
        <v>79</v>
      </c>
      <c r="BM594">
        <v>0</v>
      </c>
      <c r="BN594">
        <v>2</v>
      </c>
      <c r="BO594">
        <v>2</v>
      </c>
      <c r="BP594" t="s">
        <v>80</v>
      </c>
      <c r="BR594">
        <v>0</v>
      </c>
      <c r="BS594">
        <v>5</v>
      </c>
      <c r="BU594">
        <v>7099428</v>
      </c>
    </row>
    <row r="595" spans="1:73" x14ac:dyDescent="0.3">
      <c r="A595" t="s">
        <v>3227</v>
      </c>
      <c r="B595">
        <v>2</v>
      </c>
      <c r="C595">
        <v>1502110</v>
      </c>
      <c r="D595">
        <v>8</v>
      </c>
      <c r="E595">
        <v>3445455</v>
      </c>
      <c r="F595">
        <v>0</v>
      </c>
      <c r="G595">
        <v>0</v>
      </c>
      <c r="H595">
        <v>5</v>
      </c>
      <c r="I595">
        <v>100000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</v>
      </c>
      <c r="BC595" s="1">
        <v>14393020</v>
      </c>
      <c r="BD595" t="s">
        <v>74</v>
      </c>
      <c r="BE595" t="s">
        <v>3228</v>
      </c>
      <c r="BF595" t="s">
        <v>3229</v>
      </c>
      <c r="BH595" t="s">
        <v>136</v>
      </c>
      <c r="BI595" t="s">
        <v>191</v>
      </c>
      <c r="BJ595" t="s">
        <v>125</v>
      </c>
      <c r="BM595">
        <v>0</v>
      </c>
      <c r="BN595">
        <v>3</v>
      </c>
      <c r="BO595">
        <v>3</v>
      </c>
      <c r="BP595" t="s">
        <v>80</v>
      </c>
      <c r="BR595">
        <v>0</v>
      </c>
      <c r="BS595">
        <v>6</v>
      </c>
      <c r="BU595">
        <v>5047565</v>
      </c>
    </row>
    <row r="596" spans="1:73" x14ac:dyDescent="0.3">
      <c r="A596" t="s">
        <v>3236</v>
      </c>
      <c r="B596">
        <v>1</v>
      </c>
      <c r="C596">
        <v>262464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 s="1">
        <v>262464</v>
      </c>
      <c r="BD596" t="s">
        <v>74</v>
      </c>
      <c r="BE596" t="s">
        <v>3237</v>
      </c>
      <c r="BF596" t="s">
        <v>3238</v>
      </c>
      <c r="BH596" t="s">
        <v>77</v>
      </c>
      <c r="BI596" t="s">
        <v>593</v>
      </c>
      <c r="BJ596" t="s">
        <v>79</v>
      </c>
      <c r="BM596">
        <v>0</v>
      </c>
      <c r="BN596">
        <v>1</v>
      </c>
      <c r="BO596">
        <v>1</v>
      </c>
      <c r="BP596" t="s">
        <v>80</v>
      </c>
      <c r="BR596">
        <v>0</v>
      </c>
      <c r="BS596">
        <v>6</v>
      </c>
      <c r="BU596">
        <v>262464</v>
      </c>
    </row>
    <row r="597" spans="1:73" x14ac:dyDescent="0.3">
      <c r="A597" t="s">
        <v>3239</v>
      </c>
      <c r="B597">
        <v>2</v>
      </c>
      <c r="C597">
        <v>541935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2</v>
      </c>
      <c r="BC597" s="1">
        <v>541935</v>
      </c>
      <c r="BD597" t="s">
        <v>74</v>
      </c>
      <c r="BE597" t="s">
        <v>3240</v>
      </c>
      <c r="BF597" t="s">
        <v>3241</v>
      </c>
      <c r="BH597" t="s">
        <v>77</v>
      </c>
      <c r="BI597" t="s">
        <v>204</v>
      </c>
      <c r="BJ597" t="s">
        <v>79</v>
      </c>
      <c r="BM597">
        <v>0</v>
      </c>
      <c r="BN597">
        <v>1</v>
      </c>
      <c r="BO597">
        <v>1</v>
      </c>
      <c r="BP597" t="s">
        <v>80</v>
      </c>
      <c r="BR597">
        <v>0</v>
      </c>
      <c r="BS597">
        <v>6</v>
      </c>
      <c r="BU597">
        <v>541935</v>
      </c>
    </row>
    <row r="598" spans="1:73" x14ac:dyDescent="0.3">
      <c r="A598" t="s">
        <v>3242</v>
      </c>
      <c r="B598">
        <v>0</v>
      </c>
      <c r="C598">
        <v>0</v>
      </c>
      <c r="D598">
        <v>6</v>
      </c>
      <c r="E598">
        <v>1822287</v>
      </c>
      <c r="F598">
        <v>0</v>
      </c>
      <c r="G598">
        <v>0</v>
      </c>
      <c r="H598">
        <v>8</v>
      </c>
      <c r="I598">
        <v>164574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73535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15</v>
      </c>
      <c r="BC598" s="1">
        <v>3870229</v>
      </c>
      <c r="BD598" t="s">
        <v>74</v>
      </c>
      <c r="BE598" t="s">
        <v>3243</v>
      </c>
      <c r="BF598" t="s">
        <v>787</v>
      </c>
      <c r="BH598" t="s">
        <v>77</v>
      </c>
      <c r="BI598" t="s">
        <v>129</v>
      </c>
      <c r="BJ598" t="s">
        <v>79</v>
      </c>
      <c r="BM598">
        <v>1</v>
      </c>
      <c r="BN598">
        <v>2</v>
      </c>
      <c r="BO598">
        <v>3</v>
      </c>
      <c r="BP598" t="s">
        <v>80</v>
      </c>
      <c r="BR598">
        <v>0</v>
      </c>
      <c r="BS598">
        <v>6</v>
      </c>
      <c r="BU598">
        <v>2060396</v>
      </c>
    </row>
    <row r="599" spans="1:73" x14ac:dyDescent="0.3">
      <c r="A599" t="s">
        <v>3244</v>
      </c>
      <c r="B599">
        <v>0</v>
      </c>
      <c r="C599">
        <v>0</v>
      </c>
      <c r="D599">
        <v>4</v>
      </c>
      <c r="E599">
        <v>1432549</v>
      </c>
      <c r="F599">
        <v>0</v>
      </c>
      <c r="G599">
        <v>0</v>
      </c>
      <c r="H599">
        <v>6</v>
      </c>
      <c r="I599">
        <v>122240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9</v>
      </c>
      <c r="BC599" s="1">
        <v>2892371</v>
      </c>
      <c r="BD599" t="s">
        <v>74</v>
      </c>
      <c r="BE599" t="s">
        <v>3245</v>
      </c>
      <c r="BF599" t="s">
        <v>3246</v>
      </c>
      <c r="BH599" t="s">
        <v>77</v>
      </c>
      <c r="BI599" t="s">
        <v>92</v>
      </c>
      <c r="BJ599" t="s">
        <v>79</v>
      </c>
      <c r="BM599">
        <v>0</v>
      </c>
      <c r="BN599">
        <v>2</v>
      </c>
      <c r="BO599">
        <v>2</v>
      </c>
      <c r="BP599" t="s">
        <v>80</v>
      </c>
      <c r="BR599">
        <v>0</v>
      </c>
      <c r="BS599">
        <v>6</v>
      </c>
      <c r="BU599">
        <v>1554789</v>
      </c>
    </row>
    <row r="600" spans="1:73" x14ac:dyDescent="0.3">
      <c r="A600" t="s">
        <v>3247</v>
      </c>
      <c r="B600">
        <v>2</v>
      </c>
      <c r="C600">
        <v>630396</v>
      </c>
      <c r="D600">
        <v>3</v>
      </c>
      <c r="E600">
        <v>260629</v>
      </c>
      <c r="F600">
        <v>0</v>
      </c>
      <c r="G600">
        <v>0</v>
      </c>
      <c r="H600">
        <v>2</v>
      </c>
      <c r="I600">
        <v>62606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8</v>
      </c>
      <c r="BC600" s="1">
        <v>1151654</v>
      </c>
      <c r="BD600" t="s">
        <v>74</v>
      </c>
      <c r="BE600" t="s">
        <v>3248</v>
      </c>
      <c r="BF600" t="s">
        <v>3249</v>
      </c>
      <c r="BH600" t="s">
        <v>136</v>
      </c>
      <c r="BI600" t="s">
        <v>439</v>
      </c>
      <c r="BJ600" t="s">
        <v>125</v>
      </c>
      <c r="BM600">
        <v>0</v>
      </c>
      <c r="BN600">
        <v>3</v>
      </c>
      <c r="BO600">
        <v>3</v>
      </c>
      <c r="BP600" t="s">
        <v>80</v>
      </c>
      <c r="BR600">
        <v>0</v>
      </c>
      <c r="BS600">
        <v>6</v>
      </c>
      <c r="BU600">
        <v>953631</v>
      </c>
    </row>
    <row r="601" spans="1:73" x14ac:dyDescent="0.3">
      <c r="A601" t="s">
        <v>3256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19792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</v>
      </c>
      <c r="BC601" s="1">
        <v>39584</v>
      </c>
      <c r="BD601" t="s">
        <v>74</v>
      </c>
      <c r="BE601" t="s">
        <v>3257</v>
      </c>
      <c r="BF601" t="s">
        <v>3258</v>
      </c>
      <c r="BH601" t="s">
        <v>77</v>
      </c>
      <c r="BI601" t="s">
        <v>88</v>
      </c>
      <c r="BJ601" t="s">
        <v>79</v>
      </c>
      <c r="BM601">
        <v>1</v>
      </c>
      <c r="BN601">
        <v>0</v>
      </c>
      <c r="BO601">
        <v>1</v>
      </c>
      <c r="BP601" t="s">
        <v>80</v>
      </c>
      <c r="BR601">
        <v>0</v>
      </c>
      <c r="BS601">
        <v>6</v>
      </c>
      <c r="BU601">
        <v>19792</v>
      </c>
    </row>
    <row r="602" spans="1:73" x14ac:dyDescent="0.3">
      <c r="A602" t="s">
        <v>3261</v>
      </c>
      <c r="B602">
        <v>1</v>
      </c>
      <c r="C602">
        <v>235455</v>
      </c>
      <c r="D602">
        <v>3</v>
      </c>
      <c r="E602">
        <v>235627</v>
      </c>
      <c r="F602">
        <v>0</v>
      </c>
      <c r="G602">
        <v>0</v>
      </c>
      <c r="H602">
        <v>6</v>
      </c>
      <c r="I602">
        <v>124854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9</v>
      </c>
      <c r="BC602" s="1">
        <v>746709</v>
      </c>
      <c r="BD602" t="s">
        <v>74</v>
      </c>
      <c r="BE602" t="s">
        <v>3262</v>
      </c>
      <c r="BF602" t="s">
        <v>3263</v>
      </c>
      <c r="BH602" t="s">
        <v>123</v>
      </c>
      <c r="BI602" t="s">
        <v>288</v>
      </c>
      <c r="BJ602" t="s">
        <v>125</v>
      </c>
      <c r="BM602">
        <v>0</v>
      </c>
      <c r="BN602">
        <v>3</v>
      </c>
      <c r="BO602">
        <v>3</v>
      </c>
      <c r="BP602" t="s">
        <v>80</v>
      </c>
      <c r="BR602">
        <v>0</v>
      </c>
      <c r="BS602">
        <v>6</v>
      </c>
      <c r="BU602">
        <v>595936</v>
      </c>
    </row>
    <row r="603" spans="1:73" x14ac:dyDescent="0.3">
      <c r="A603" t="s">
        <v>3267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2</v>
      </c>
      <c r="I603">
        <v>40000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2</v>
      </c>
      <c r="BC603" s="1">
        <v>40000</v>
      </c>
      <c r="BD603" t="s">
        <v>74</v>
      </c>
      <c r="BE603" t="s">
        <v>3268</v>
      </c>
      <c r="BF603" t="s">
        <v>3269</v>
      </c>
      <c r="BH603" t="s">
        <v>77</v>
      </c>
      <c r="BI603" t="s">
        <v>593</v>
      </c>
      <c r="BJ603" t="s">
        <v>79</v>
      </c>
      <c r="BM603">
        <v>0</v>
      </c>
      <c r="BN603">
        <v>1</v>
      </c>
      <c r="BO603">
        <v>1</v>
      </c>
      <c r="BP603" t="s">
        <v>80</v>
      </c>
      <c r="BR603">
        <v>0</v>
      </c>
      <c r="BS603">
        <v>6</v>
      </c>
      <c r="BU603">
        <v>40000</v>
      </c>
    </row>
    <row r="604" spans="1:73" x14ac:dyDescent="0.3">
      <c r="A604" t="s">
        <v>3270</v>
      </c>
      <c r="B604">
        <v>0</v>
      </c>
      <c r="C604">
        <v>0</v>
      </c>
      <c r="D604">
        <v>6</v>
      </c>
      <c r="E604">
        <v>1997659</v>
      </c>
      <c r="F604">
        <v>0</v>
      </c>
      <c r="G604">
        <v>0</v>
      </c>
      <c r="H604">
        <v>5</v>
      </c>
      <c r="I604">
        <v>253718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225655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16</v>
      </c>
      <c r="BC604" s="1">
        <v>3562639</v>
      </c>
      <c r="BD604" t="s">
        <v>74</v>
      </c>
      <c r="BE604" t="s">
        <v>3271</v>
      </c>
      <c r="BF604" t="s">
        <v>3272</v>
      </c>
      <c r="BH604" t="s">
        <v>77</v>
      </c>
      <c r="BI604" t="s">
        <v>593</v>
      </c>
      <c r="BJ604" t="s">
        <v>79</v>
      </c>
      <c r="BM604">
        <v>1</v>
      </c>
      <c r="BN604">
        <v>2</v>
      </c>
      <c r="BO604">
        <v>3</v>
      </c>
      <c r="BP604" t="s">
        <v>80</v>
      </c>
      <c r="BR604">
        <v>0</v>
      </c>
      <c r="BS604">
        <v>6</v>
      </c>
      <c r="BU604">
        <v>2477032</v>
      </c>
    </row>
    <row r="605" spans="1:73" x14ac:dyDescent="0.3">
      <c r="A605" t="s">
        <v>3276</v>
      </c>
      <c r="B605">
        <v>1</v>
      </c>
      <c r="C605">
        <v>112777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 s="1">
        <v>112777</v>
      </c>
      <c r="BD605" t="s">
        <v>74</v>
      </c>
      <c r="BE605" t="s">
        <v>3132</v>
      </c>
      <c r="BF605" t="s">
        <v>3277</v>
      </c>
      <c r="BH605" t="s">
        <v>1350</v>
      </c>
      <c r="BI605" t="s">
        <v>1351</v>
      </c>
      <c r="BJ605" t="s">
        <v>79</v>
      </c>
      <c r="BM605">
        <v>0</v>
      </c>
      <c r="BN605">
        <v>1</v>
      </c>
      <c r="BO605">
        <v>1</v>
      </c>
      <c r="BP605" t="s">
        <v>80</v>
      </c>
      <c r="BR605">
        <v>0</v>
      </c>
      <c r="BS605">
        <v>6</v>
      </c>
      <c r="BU605">
        <v>112777</v>
      </c>
    </row>
    <row r="606" spans="1:73" x14ac:dyDescent="0.3">
      <c r="A606" t="s">
        <v>3286</v>
      </c>
      <c r="B606">
        <v>0</v>
      </c>
      <c r="C606">
        <v>0</v>
      </c>
      <c r="D606">
        <v>8</v>
      </c>
      <c r="E606">
        <v>3162420</v>
      </c>
      <c r="F606">
        <v>0</v>
      </c>
      <c r="G606">
        <v>0</v>
      </c>
      <c r="H606">
        <v>14</v>
      </c>
      <c r="I606">
        <v>724840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16</v>
      </c>
      <c r="BC606" s="1">
        <v>6324840</v>
      </c>
      <c r="BD606" t="s">
        <v>74</v>
      </c>
      <c r="BE606" t="s">
        <v>3287</v>
      </c>
      <c r="BF606" t="s">
        <v>3288</v>
      </c>
      <c r="BH606" t="s">
        <v>77</v>
      </c>
      <c r="BI606" t="s">
        <v>574</v>
      </c>
      <c r="BJ606" t="s">
        <v>79</v>
      </c>
      <c r="BM606">
        <v>0</v>
      </c>
      <c r="BN606">
        <v>2</v>
      </c>
      <c r="BO606">
        <v>2</v>
      </c>
      <c r="BP606" t="s">
        <v>80</v>
      </c>
      <c r="BR606">
        <v>0</v>
      </c>
      <c r="BS606">
        <v>6</v>
      </c>
      <c r="BU606">
        <v>3887260</v>
      </c>
    </row>
    <row r="607" spans="1:73" x14ac:dyDescent="0.3">
      <c r="A607" t="s">
        <v>3292</v>
      </c>
      <c r="B607">
        <v>1</v>
      </c>
      <c r="C607">
        <v>211595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 s="1">
        <v>211595</v>
      </c>
      <c r="BD607" t="s">
        <v>74</v>
      </c>
      <c r="BE607" t="s">
        <v>3293</v>
      </c>
      <c r="BF607" t="s">
        <v>3294</v>
      </c>
      <c r="BH607" t="s">
        <v>77</v>
      </c>
      <c r="BI607" t="s">
        <v>88</v>
      </c>
      <c r="BJ607" t="s">
        <v>79</v>
      </c>
      <c r="BM607">
        <v>0</v>
      </c>
      <c r="BN607">
        <v>1</v>
      </c>
      <c r="BO607">
        <v>1</v>
      </c>
      <c r="BP607" t="s">
        <v>80</v>
      </c>
      <c r="BR607">
        <v>0</v>
      </c>
      <c r="BS607">
        <v>6</v>
      </c>
      <c r="BU607">
        <v>211595</v>
      </c>
    </row>
    <row r="608" spans="1:73" x14ac:dyDescent="0.3">
      <c r="A608" t="s">
        <v>3298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19792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 s="1">
        <v>19792</v>
      </c>
      <c r="BD608" t="s">
        <v>74</v>
      </c>
      <c r="BE608" t="s">
        <v>3299</v>
      </c>
      <c r="BF608" t="s">
        <v>3300</v>
      </c>
      <c r="BH608" t="s">
        <v>77</v>
      </c>
      <c r="BI608" t="s">
        <v>92</v>
      </c>
      <c r="BJ608" t="s">
        <v>79</v>
      </c>
      <c r="BM608">
        <v>1</v>
      </c>
      <c r="BN608">
        <v>0</v>
      </c>
      <c r="BO608">
        <v>1</v>
      </c>
      <c r="BP608" t="s">
        <v>80</v>
      </c>
      <c r="BR608">
        <v>0</v>
      </c>
      <c r="BS608">
        <v>0</v>
      </c>
      <c r="BU608">
        <v>19792</v>
      </c>
    </row>
    <row r="609" spans="1:73" x14ac:dyDescent="0.3">
      <c r="A609" t="s">
        <v>3303</v>
      </c>
      <c r="B609">
        <v>0</v>
      </c>
      <c r="C609">
        <v>0</v>
      </c>
      <c r="D609">
        <v>6</v>
      </c>
      <c r="E609">
        <v>2741556</v>
      </c>
      <c r="F609">
        <v>0</v>
      </c>
      <c r="G609">
        <v>0</v>
      </c>
      <c r="H609">
        <v>8</v>
      </c>
      <c r="I609">
        <v>410384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73535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14</v>
      </c>
      <c r="BC609" s="1">
        <v>5630182</v>
      </c>
      <c r="BD609" t="s">
        <v>74</v>
      </c>
      <c r="BE609" t="s">
        <v>3304</v>
      </c>
      <c r="BF609" t="s">
        <v>245</v>
      </c>
      <c r="BH609" t="s">
        <v>77</v>
      </c>
      <c r="BI609" t="s">
        <v>129</v>
      </c>
      <c r="BJ609" t="s">
        <v>79</v>
      </c>
      <c r="BM609">
        <v>1</v>
      </c>
      <c r="BN609">
        <v>2</v>
      </c>
      <c r="BO609">
        <v>3</v>
      </c>
      <c r="BP609" t="s">
        <v>80</v>
      </c>
      <c r="BR609">
        <v>0</v>
      </c>
      <c r="BS609">
        <v>6</v>
      </c>
      <c r="BU609">
        <v>3225475</v>
      </c>
    </row>
    <row r="610" spans="1:73" x14ac:dyDescent="0.3">
      <c r="A610" t="s">
        <v>3305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</v>
      </c>
      <c r="Z610">
        <v>152120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3</v>
      </c>
      <c r="BC610" s="1">
        <v>230705</v>
      </c>
      <c r="BD610" t="s">
        <v>74</v>
      </c>
      <c r="BE610" t="s">
        <v>3306</v>
      </c>
      <c r="BF610" t="s">
        <v>3307</v>
      </c>
      <c r="BH610" t="s">
        <v>77</v>
      </c>
      <c r="BI610" t="s">
        <v>281</v>
      </c>
      <c r="BJ610" t="s">
        <v>79</v>
      </c>
      <c r="BM610">
        <v>1</v>
      </c>
      <c r="BN610">
        <v>0</v>
      </c>
      <c r="BO610">
        <v>1</v>
      </c>
      <c r="BP610" t="s">
        <v>80</v>
      </c>
      <c r="BR610">
        <v>0</v>
      </c>
      <c r="BS610">
        <v>6</v>
      </c>
      <c r="BU610">
        <v>152120</v>
      </c>
    </row>
    <row r="611" spans="1:73" x14ac:dyDescent="0.3">
      <c r="A611" t="s">
        <v>3308</v>
      </c>
      <c r="B611">
        <v>0</v>
      </c>
      <c r="C611">
        <v>0</v>
      </c>
      <c r="D611">
        <v>1</v>
      </c>
      <c r="E611">
        <v>114000</v>
      </c>
      <c r="F611">
        <v>0</v>
      </c>
      <c r="G611">
        <v>0</v>
      </c>
      <c r="H611">
        <v>1</v>
      </c>
      <c r="I611">
        <v>20000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36000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73535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4</v>
      </c>
      <c r="BC611" s="1">
        <v>243535</v>
      </c>
      <c r="BD611" t="s">
        <v>74</v>
      </c>
      <c r="BE611" t="s">
        <v>3309</v>
      </c>
      <c r="BF611" t="s">
        <v>3310</v>
      </c>
      <c r="BH611" t="s">
        <v>77</v>
      </c>
      <c r="BI611" t="s">
        <v>593</v>
      </c>
      <c r="BJ611" t="s">
        <v>79</v>
      </c>
      <c r="BM611">
        <v>1</v>
      </c>
      <c r="BN611">
        <v>3</v>
      </c>
      <c r="BO611">
        <v>4</v>
      </c>
      <c r="BP611" t="s">
        <v>80</v>
      </c>
      <c r="BR611">
        <v>0</v>
      </c>
      <c r="BS611">
        <v>6</v>
      </c>
      <c r="BU611">
        <v>243535</v>
      </c>
    </row>
    <row r="612" spans="1:73" x14ac:dyDescent="0.3">
      <c r="A612" t="s">
        <v>3314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90909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 s="1">
        <v>90909</v>
      </c>
      <c r="BD612" t="s">
        <v>74</v>
      </c>
      <c r="BE612" t="s">
        <v>3315</v>
      </c>
      <c r="BF612" t="s">
        <v>251</v>
      </c>
      <c r="BH612" t="s">
        <v>77</v>
      </c>
      <c r="BI612" t="s">
        <v>84</v>
      </c>
      <c r="BJ612" t="s">
        <v>79</v>
      </c>
      <c r="BM612">
        <v>1</v>
      </c>
      <c r="BN612">
        <v>0</v>
      </c>
      <c r="BO612">
        <v>1</v>
      </c>
      <c r="BP612" t="s">
        <v>80</v>
      </c>
      <c r="BR612">
        <v>0</v>
      </c>
      <c r="BS612">
        <v>6</v>
      </c>
      <c r="BU612">
        <v>90909</v>
      </c>
    </row>
    <row r="613" spans="1:73" x14ac:dyDescent="0.3">
      <c r="A613" t="s">
        <v>3316</v>
      </c>
      <c r="B613">
        <v>4</v>
      </c>
      <c r="C613">
        <v>1298117</v>
      </c>
      <c r="D613">
        <v>4</v>
      </c>
      <c r="E613">
        <v>660400</v>
      </c>
      <c r="F613">
        <v>0</v>
      </c>
      <c r="G613">
        <v>0</v>
      </c>
      <c r="H613">
        <v>4</v>
      </c>
      <c r="I613">
        <v>80000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73535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19792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15</v>
      </c>
      <c r="BC613" s="1">
        <v>2785779</v>
      </c>
      <c r="BD613" t="s">
        <v>74</v>
      </c>
      <c r="BE613" t="s">
        <v>3317</v>
      </c>
      <c r="BF613" t="s">
        <v>3318</v>
      </c>
      <c r="BH613" t="s">
        <v>136</v>
      </c>
      <c r="BI613" t="s">
        <v>333</v>
      </c>
      <c r="BJ613" t="s">
        <v>125</v>
      </c>
      <c r="BM613">
        <v>2</v>
      </c>
      <c r="BN613">
        <v>3</v>
      </c>
      <c r="BO613">
        <v>5</v>
      </c>
      <c r="BP613" t="s">
        <v>80</v>
      </c>
      <c r="BR613">
        <v>0</v>
      </c>
      <c r="BS613">
        <v>6</v>
      </c>
      <c r="BU613">
        <v>2131844</v>
      </c>
    </row>
    <row r="614" spans="1:73" x14ac:dyDescent="0.3">
      <c r="A614" t="s">
        <v>3319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65000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3</v>
      </c>
      <c r="BC614" s="1">
        <v>65000</v>
      </c>
      <c r="BD614" t="s">
        <v>74</v>
      </c>
      <c r="BE614" t="s">
        <v>3320</v>
      </c>
      <c r="BF614" t="s">
        <v>3321</v>
      </c>
      <c r="BH614" t="s">
        <v>77</v>
      </c>
      <c r="BI614" t="s">
        <v>593</v>
      </c>
      <c r="BJ614" t="s">
        <v>79</v>
      </c>
      <c r="BM614">
        <v>0</v>
      </c>
      <c r="BN614">
        <v>1</v>
      </c>
      <c r="BO614">
        <v>1</v>
      </c>
      <c r="BP614" t="s">
        <v>80</v>
      </c>
      <c r="BR614">
        <v>0</v>
      </c>
      <c r="BS614">
        <v>6</v>
      </c>
      <c r="BU614">
        <v>65000</v>
      </c>
    </row>
    <row r="615" spans="1:73" x14ac:dyDescent="0.3">
      <c r="A615" t="s">
        <v>3346</v>
      </c>
      <c r="B615">
        <v>3</v>
      </c>
      <c r="C615">
        <v>537825</v>
      </c>
      <c r="D615">
        <v>3</v>
      </c>
      <c r="E615">
        <v>367273</v>
      </c>
      <c r="F615">
        <v>0</v>
      </c>
      <c r="G615">
        <v>0</v>
      </c>
      <c r="H615">
        <v>4</v>
      </c>
      <c r="I615">
        <v>80000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19792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12</v>
      </c>
      <c r="BC615" s="1">
        <v>1857410</v>
      </c>
      <c r="BD615" t="s">
        <v>74</v>
      </c>
      <c r="BE615" t="s">
        <v>3347</v>
      </c>
      <c r="BF615" t="s">
        <v>3348</v>
      </c>
      <c r="BH615" t="s">
        <v>136</v>
      </c>
      <c r="BI615" t="s">
        <v>191</v>
      </c>
      <c r="BJ615" t="s">
        <v>125</v>
      </c>
      <c r="BM615">
        <v>1</v>
      </c>
      <c r="BN615">
        <v>3</v>
      </c>
      <c r="BO615">
        <v>4</v>
      </c>
      <c r="BP615" t="s">
        <v>80</v>
      </c>
      <c r="BR615">
        <v>0</v>
      </c>
      <c r="BS615">
        <v>6</v>
      </c>
      <c r="BU615">
        <v>1004890</v>
      </c>
    </row>
    <row r="616" spans="1:73" x14ac:dyDescent="0.3">
      <c r="A616" t="s">
        <v>3349</v>
      </c>
      <c r="B616">
        <v>0</v>
      </c>
      <c r="C616">
        <v>0</v>
      </c>
      <c r="D616">
        <v>2</v>
      </c>
      <c r="E616">
        <v>40000</v>
      </c>
      <c r="F616">
        <v>0</v>
      </c>
      <c r="G616">
        <v>0</v>
      </c>
      <c r="H616">
        <v>4</v>
      </c>
      <c r="I616">
        <v>80000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</v>
      </c>
      <c r="BC616" s="1">
        <v>80000</v>
      </c>
      <c r="BD616" t="s">
        <v>74</v>
      </c>
      <c r="BE616" t="s">
        <v>3350</v>
      </c>
      <c r="BF616" t="s">
        <v>3351</v>
      </c>
      <c r="BH616" t="s">
        <v>77</v>
      </c>
      <c r="BI616" t="s">
        <v>78</v>
      </c>
      <c r="BJ616" t="s">
        <v>79</v>
      </c>
      <c r="BM616">
        <v>0</v>
      </c>
      <c r="BN616">
        <v>2</v>
      </c>
      <c r="BO616">
        <v>2</v>
      </c>
      <c r="BP616" t="s">
        <v>80</v>
      </c>
      <c r="BR616">
        <v>0</v>
      </c>
      <c r="BS616">
        <v>6</v>
      </c>
      <c r="BU616">
        <v>120000</v>
      </c>
    </row>
    <row r="617" spans="1:73" x14ac:dyDescent="0.3">
      <c r="A617" t="s">
        <v>3354</v>
      </c>
      <c r="B617">
        <v>0</v>
      </c>
      <c r="C617">
        <v>0</v>
      </c>
      <c r="D617">
        <v>1</v>
      </c>
      <c r="E617">
        <v>500000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</v>
      </c>
      <c r="BC617" s="1">
        <v>1000000</v>
      </c>
      <c r="BD617" t="s">
        <v>74</v>
      </c>
      <c r="BE617" t="s">
        <v>3355</v>
      </c>
      <c r="BF617" t="s">
        <v>3356</v>
      </c>
      <c r="BH617" t="s">
        <v>136</v>
      </c>
      <c r="BI617" t="s">
        <v>137</v>
      </c>
      <c r="BJ617" t="s">
        <v>125</v>
      </c>
      <c r="BM617">
        <v>0</v>
      </c>
      <c r="BN617">
        <v>1</v>
      </c>
      <c r="BO617">
        <v>1</v>
      </c>
      <c r="BP617" t="s">
        <v>80</v>
      </c>
      <c r="BR617">
        <v>0</v>
      </c>
      <c r="BS617">
        <v>6</v>
      </c>
      <c r="BU617">
        <v>500000</v>
      </c>
    </row>
    <row r="618" spans="1:73" x14ac:dyDescent="0.3">
      <c r="A618" t="s">
        <v>3357</v>
      </c>
      <c r="B618">
        <v>0</v>
      </c>
      <c r="C618">
        <v>0</v>
      </c>
      <c r="D618">
        <v>1</v>
      </c>
      <c r="E618">
        <v>1440000</v>
      </c>
      <c r="F618">
        <v>0</v>
      </c>
      <c r="G618">
        <v>0</v>
      </c>
      <c r="H618">
        <v>1</v>
      </c>
      <c r="I618">
        <v>20000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2</v>
      </c>
      <c r="BC618" s="1">
        <v>1460000</v>
      </c>
      <c r="BD618" t="s">
        <v>74</v>
      </c>
      <c r="BE618" t="s">
        <v>3358</v>
      </c>
      <c r="BF618" t="s">
        <v>3288</v>
      </c>
      <c r="BH618" t="s">
        <v>77</v>
      </c>
      <c r="BI618" t="s">
        <v>574</v>
      </c>
      <c r="BJ618" t="s">
        <v>79</v>
      </c>
      <c r="BM618">
        <v>0</v>
      </c>
      <c r="BN618">
        <v>2</v>
      </c>
      <c r="BO618">
        <v>2</v>
      </c>
      <c r="BP618" t="s">
        <v>80</v>
      </c>
      <c r="BR618">
        <v>0</v>
      </c>
      <c r="BS618">
        <v>6</v>
      </c>
      <c r="BU618">
        <v>1460000</v>
      </c>
    </row>
    <row r="619" spans="1:73" x14ac:dyDescent="0.3">
      <c r="A619" t="s">
        <v>3359</v>
      </c>
      <c r="B619">
        <v>0</v>
      </c>
      <c r="C619">
        <v>0</v>
      </c>
      <c r="D619">
        <v>9</v>
      </c>
      <c r="E619">
        <v>5041266</v>
      </c>
      <c r="F619">
        <v>0</v>
      </c>
      <c r="G619">
        <v>0</v>
      </c>
      <c r="H619">
        <v>16</v>
      </c>
      <c r="I619">
        <v>482532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73535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20</v>
      </c>
      <c r="BC619" s="1">
        <v>10229602</v>
      </c>
      <c r="BD619" t="s">
        <v>74</v>
      </c>
      <c r="BE619" t="s">
        <v>3360</v>
      </c>
      <c r="BF619" t="s">
        <v>3288</v>
      </c>
      <c r="BH619" t="s">
        <v>77</v>
      </c>
      <c r="BI619" t="s">
        <v>574</v>
      </c>
      <c r="BJ619" t="s">
        <v>79</v>
      </c>
      <c r="BM619">
        <v>1</v>
      </c>
      <c r="BN619">
        <v>2</v>
      </c>
      <c r="BO619">
        <v>3</v>
      </c>
      <c r="BP619" t="s">
        <v>80</v>
      </c>
      <c r="BR619">
        <v>0</v>
      </c>
      <c r="BS619">
        <v>5</v>
      </c>
      <c r="BU619">
        <v>5597333</v>
      </c>
    </row>
    <row r="620" spans="1:73" x14ac:dyDescent="0.3">
      <c r="A620" t="s">
        <v>3361</v>
      </c>
      <c r="B620">
        <v>5</v>
      </c>
      <c r="C620">
        <v>1258882</v>
      </c>
      <c r="D620">
        <v>1</v>
      </c>
      <c r="E620">
        <v>134400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</v>
      </c>
      <c r="Z620">
        <v>192878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9</v>
      </c>
      <c r="BC620" s="1">
        <v>1749796</v>
      </c>
      <c r="BD620" t="s">
        <v>74</v>
      </c>
      <c r="BE620" t="s">
        <v>3362</v>
      </c>
      <c r="BF620" t="s">
        <v>3363</v>
      </c>
      <c r="BH620" t="s">
        <v>77</v>
      </c>
      <c r="BI620" t="s">
        <v>204</v>
      </c>
      <c r="BJ620" t="s">
        <v>79</v>
      </c>
      <c r="BM620">
        <v>1</v>
      </c>
      <c r="BN620">
        <v>2</v>
      </c>
      <c r="BO620">
        <v>3</v>
      </c>
      <c r="BP620" t="s">
        <v>99</v>
      </c>
      <c r="BR620">
        <v>0</v>
      </c>
      <c r="BS620">
        <v>6</v>
      </c>
      <c r="BU620">
        <v>1586160</v>
      </c>
    </row>
    <row r="621" spans="1:73" x14ac:dyDescent="0.3">
      <c r="A621" t="s">
        <v>3364</v>
      </c>
      <c r="B621">
        <v>0</v>
      </c>
      <c r="C621">
        <v>0</v>
      </c>
      <c r="D621">
        <v>1</v>
      </c>
      <c r="E621">
        <v>35000</v>
      </c>
      <c r="F621">
        <v>0</v>
      </c>
      <c r="G621">
        <v>0</v>
      </c>
      <c r="H621">
        <v>8</v>
      </c>
      <c r="I621">
        <v>160000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10</v>
      </c>
      <c r="BC621" s="1">
        <v>230000</v>
      </c>
      <c r="BD621" t="s">
        <v>74</v>
      </c>
      <c r="BE621" t="s">
        <v>3365</v>
      </c>
      <c r="BF621" t="s">
        <v>3366</v>
      </c>
      <c r="BH621" t="s">
        <v>77</v>
      </c>
      <c r="BI621" t="s">
        <v>129</v>
      </c>
      <c r="BJ621" t="s">
        <v>79</v>
      </c>
      <c r="BM621">
        <v>0</v>
      </c>
      <c r="BN621">
        <v>2</v>
      </c>
      <c r="BO621">
        <v>2</v>
      </c>
      <c r="BP621" t="s">
        <v>80</v>
      </c>
      <c r="BR621">
        <v>0</v>
      </c>
      <c r="BS621">
        <v>6</v>
      </c>
      <c r="BU621">
        <v>195000</v>
      </c>
    </row>
    <row r="622" spans="1:73" x14ac:dyDescent="0.3">
      <c r="A622" t="s">
        <v>3367</v>
      </c>
      <c r="B622">
        <v>0</v>
      </c>
      <c r="C622">
        <v>0</v>
      </c>
      <c r="D622">
        <v>3</v>
      </c>
      <c r="E622">
        <v>1640089</v>
      </c>
      <c r="F622">
        <v>0</v>
      </c>
      <c r="G622">
        <v>0</v>
      </c>
      <c r="H622">
        <v>4</v>
      </c>
      <c r="I622">
        <v>80178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6</v>
      </c>
      <c r="BC622" s="1">
        <v>3280178</v>
      </c>
      <c r="BD622" t="s">
        <v>74</v>
      </c>
      <c r="BE622" t="s">
        <v>3368</v>
      </c>
      <c r="BF622" t="s">
        <v>3288</v>
      </c>
      <c r="BH622" t="s">
        <v>77</v>
      </c>
      <c r="BI622" t="s">
        <v>574</v>
      </c>
      <c r="BJ622" t="s">
        <v>79</v>
      </c>
      <c r="BM622">
        <v>0</v>
      </c>
      <c r="BN622">
        <v>2</v>
      </c>
      <c r="BO622">
        <v>2</v>
      </c>
      <c r="BP622" t="s">
        <v>80</v>
      </c>
      <c r="BR622">
        <v>0</v>
      </c>
      <c r="BS622">
        <v>6</v>
      </c>
      <c r="BU622">
        <v>1720267</v>
      </c>
    </row>
    <row r="623" spans="1:73" x14ac:dyDescent="0.3">
      <c r="A623" t="s">
        <v>3375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73535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11526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4</v>
      </c>
      <c r="BC623" s="1">
        <v>170122</v>
      </c>
      <c r="BD623" t="s">
        <v>74</v>
      </c>
      <c r="BE623" t="s">
        <v>3376</v>
      </c>
      <c r="BF623" t="s">
        <v>962</v>
      </c>
      <c r="BH623" t="s">
        <v>77</v>
      </c>
      <c r="BI623" t="s">
        <v>593</v>
      </c>
      <c r="BJ623" t="s">
        <v>79</v>
      </c>
      <c r="BM623">
        <v>2</v>
      </c>
      <c r="BN623">
        <v>0</v>
      </c>
      <c r="BO623">
        <v>2</v>
      </c>
      <c r="BP623" t="s">
        <v>80</v>
      </c>
      <c r="BR623">
        <v>0</v>
      </c>
      <c r="BS623">
        <v>6</v>
      </c>
      <c r="BU623">
        <v>85061</v>
      </c>
    </row>
    <row r="624" spans="1:73" x14ac:dyDescent="0.3">
      <c r="A624" t="s">
        <v>3377</v>
      </c>
      <c r="B624">
        <v>0</v>
      </c>
      <c r="C624">
        <v>0</v>
      </c>
      <c r="D624">
        <v>3</v>
      </c>
      <c r="E624">
        <v>554545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6</v>
      </c>
      <c r="BC624" s="1">
        <v>1084545</v>
      </c>
      <c r="BD624" t="s">
        <v>74</v>
      </c>
      <c r="BE624" t="s">
        <v>3378</v>
      </c>
      <c r="BF624" t="s">
        <v>3379</v>
      </c>
      <c r="BH624" t="s">
        <v>77</v>
      </c>
      <c r="BI624" t="s">
        <v>574</v>
      </c>
      <c r="BJ624" t="s">
        <v>79</v>
      </c>
      <c r="BM624">
        <v>0</v>
      </c>
      <c r="BN624">
        <v>1</v>
      </c>
      <c r="BO624">
        <v>1</v>
      </c>
      <c r="BP624" t="s">
        <v>80</v>
      </c>
      <c r="BR624">
        <v>0</v>
      </c>
      <c r="BS624">
        <v>6</v>
      </c>
      <c r="BU624">
        <v>554545</v>
      </c>
    </row>
    <row r="625" spans="1:73" x14ac:dyDescent="0.3">
      <c r="A625" t="s">
        <v>3380</v>
      </c>
      <c r="B625">
        <v>0</v>
      </c>
      <c r="C625">
        <v>0</v>
      </c>
      <c r="D625">
        <v>8</v>
      </c>
      <c r="E625">
        <v>4362594</v>
      </c>
      <c r="F625">
        <v>0</v>
      </c>
      <c r="G625">
        <v>0</v>
      </c>
      <c r="H625">
        <v>12</v>
      </c>
      <c r="I625">
        <v>485188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16</v>
      </c>
      <c r="BC625" s="1">
        <v>8725188</v>
      </c>
      <c r="BD625" t="s">
        <v>74</v>
      </c>
      <c r="BE625" t="s">
        <v>3381</v>
      </c>
      <c r="BF625" t="s">
        <v>3382</v>
      </c>
      <c r="BH625" t="s">
        <v>77</v>
      </c>
      <c r="BI625" t="s">
        <v>574</v>
      </c>
      <c r="BJ625" t="s">
        <v>79</v>
      </c>
      <c r="BM625">
        <v>0</v>
      </c>
      <c r="BN625">
        <v>2</v>
      </c>
      <c r="BO625">
        <v>2</v>
      </c>
      <c r="BP625" t="s">
        <v>80</v>
      </c>
      <c r="BR625">
        <v>0</v>
      </c>
      <c r="BS625">
        <v>6</v>
      </c>
      <c r="BU625">
        <v>4847782</v>
      </c>
    </row>
    <row r="626" spans="1:73" x14ac:dyDescent="0.3">
      <c r="A626" t="s">
        <v>3383</v>
      </c>
      <c r="B626">
        <v>0</v>
      </c>
      <c r="C626">
        <v>0</v>
      </c>
      <c r="D626">
        <v>1</v>
      </c>
      <c r="E626">
        <v>250000</v>
      </c>
      <c r="F626">
        <v>0</v>
      </c>
      <c r="G626">
        <v>0</v>
      </c>
      <c r="H626">
        <v>1</v>
      </c>
      <c r="I626">
        <v>20000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73535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19792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</v>
      </c>
      <c r="BC626" s="1">
        <v>363327</v>
      </c>
      <c r="BD626" t="s">
        <v>74</v>
      </c>
      <c r="BE626" t="s">
        <v>3384</v>
      </c>
      <c r="BF626" t="s">
        <v>3385</v>
      </c>
      <c r="BH626" t="s">
        <v>77</v>
      </c>
      <c r="BI626" t="s">
        <v>574</v>
      </c>
      <c r="BJ626" t="s">
        <v>79</v>
      </c>
      <c r="BM626">
        <v>2</v>
      </c>
      <c r="BN626">
        <v>2</v>
      </c>
      <c r="BO626">
        <v>4</v>
      </c>
      <c r="BP626" t="s">
        <v>80</v>
      </c>
      <c r="BR626">
        <v>0</v>
      </c>
      <c r="BS626">
        <v>6</v>
      </c>
      <c r="BU626">
        <v>363327</v>
      </c>
    </row>
    <row r="627" spans="1:73" x14ac:dyDescent="0.3">
      <c r="A627" t="s">
        <v>3400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157170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2</v>
      </c>
      <c r="BC627" s="1">
        <v>157170</v>
      </c>
      <c r="BD627" t="s">
        <v>74</v>
      </c>
      <c r="BE627" t="s">
        <v>3401</v>
      </c>
      <c r="BF627" t="s">
        <v>3402</v>
      </c>
      <c r="BH627" t="s">
        <v>77</v>
      </c>
      <c r="BI627" t="s">
        <v>574</v>
      </c>
      <c r="BJ627" t="s">
        <v>79</v>
      </c>
      <c r="BM627">
        <v>1</v>
      </c>
      <c r="BN627">
        <v>0</v>
      </c>
      <c r="BO627">
        <v>1</v>
      </c>
      <c r="BP627" t="s">
        <v>80</v>
      </c>
      <c r="BR627">
        <v>0</v>
      </c>
      <c r="BS627">
        <v>0</v>
      </c>
      <c r="BU627">
        <v>157170</v>
      </c>
    </row>
    <row r="628" spans="1:73" x14ac:dyDescent="0.3">
      <c r="A628" t="s">
        <v>3406</v>
      </c>
      <c r="B628">
        <v>0</v>
      </c>
      <c r="C628">
        <v>75454</v>
      </c>
      <c r="D628">
        <v>1</v>
      </c>
      <c r="E628">
        <v>195455</v>
      </c>
      <c r="F628">
        <v>0</v>
      </c>
      <c r="G628">
        <v>0</v>
      </c>
      <c r="H628">
        <v>1</v>
      </c>
      <c r="I628">
        <v>20000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2</v>
      </c>
      <c r="BC628" s="1">
        <v>290909</v>
      </c>
      <c r="BD628" t="s">
        <v>74</v>
      </c>
      <c r="BE628" t="s">
        <v>3407</v>
      </c>
      <c r="BF628" t="s">
        <v>3408</v>
      </c>
      <c r="BH628" t="s">
        <v>77</v>
      </c>
      <c r="BI628" t="s">
        <v>593</v>
      </c>
      <c r="BJ628" t="s">
        <v>79</v>
      </c>
      <c r="BM628">
        <v>0</v>
      </c>
      <c r="BN628">
        <v>2</v>
      </c>
      <c r="BO628">
        <v>2</v>
      </c>
      <c r="BP628" t="s">
        <v>80</v>
      </c>
      <c r="BR628">
        <v>0</v>
      </c>
      <c r="BS628">
        <v>6</v>
      </c>
      <c r="BU628">
        <v>290909</v>
      </c>
    </row>
    <row r="629" spans="1:73" x14ac:dyDescent="0.3">
      <c r="A629" t="s">
        <v>3412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20000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 s="1">
        <v>20000</v>
      </c>
      <c r="BD629" t="s">
        <v>74</v>
      </c>
      <c r="BE629" t="s">
        <v>3413</v>
      </c>
      <c r="BF629" t="s">
        <v>3414</v>
      </c>
      <c r="BH629" t="s">
        <v>77</v>
      </c>
      <c r="BI629" t="s">
        <v>204</v>
      </c>
      <c r="BJ629" t="s">
        <v>79</v>
      </c>
      <c r="BM629">
        <v>0</v>
      </c>
      <c r="BN629">
        <v>1</v>
      </c>
      <c r="BO629">
        <v>1</v>
      </c>
      <c r="BP629" t="s">
        <v>80</v>
      </c>
      <c r="BR629">
        <v>0</v>
      </c>
      <c r="BS629">
        <v>0</v>
      </c>
      <c r="BU629">
        <v>20000</v>
      </c>
    </row>
    <row r="630" spans="1:73" x14ac:dyDescent="0.3">
      <c r="A630" t="s">
        <v>3418</v>
      </c>
      <c r="B630">
        <v>0</v>
      </c>
      <c r="C630">
        <v>0</v>
      </c>
      <c r="D630">
        <v>5</v>
      </c>
      <c r="E630">
        <v>583603</v>
      </c>
      <c r="F630">
        <v>0</v>
      </c>
      <c r="G630">
        <v>0</v>
      </c>
      <c r="H630">
        <v>8</v>
      </c>
      <c r="I630">
        <v>129082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157170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12</v>
      </c>
      <c r="BC630" s="1">
        <v>1324376</v>
      </c>
      <c r="BD630" t="s">
        <v>74</v>
      </c>
      <c r="BE630" t="s">
        <v>3419</v>
      </c>
      <c r="BF630" t="s">
        <v>3420</v>
      </c>
      <c r="BH630" t="s">
        <v>77</v>
      </c>
      <c r="BI630" t="s">
        <v>129</v>
      </c>
      <c r="BJ630" t="s">
        <v>79</v>
      </c>
      <c r="BM630">
        <v>1</v>
      </c>
      <c r="BN630">
        <v>2</v>
      </c>
      <c r="BO630">
        <v>3</v>
      </c>
      <c r="BP630" t="s">
        <v>80</v>
      </c>
      <c r="BR630">
        <v>0</v>
      </c>
      <c r="BS630">
        <v>6</v>
      </c>
      <c r="BU630">
        <v>869855</v>
      </c>
    </row>
    <row r="631" spans="1:73" x14ac:dyDescent="0.3">
      <c r="A631" t="s">
        <v>3421</v>
      </c>
      <c r="B631">
        <v>0</v>
      </c>
      <c r="C631">
        <v>0</v>
      </c>
      <c r="D631">
        <v>5</v>
      </c>
      <c r="E631">
        <v>1680000</v>
      </c>
      <c r="F631">
        <v>0</v>
      </c>
      <c r="G631">
        <v>0</v>
      </c>
      <c r="H631">
        <v>8</v>
      </c>
      <c r="I631">
        <v>160000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96439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12</v>
      </c>
      <c r="BC631" s="1">
        <v>3552878</v>
      </c>
      <c r="BD631" t="s">
        <v>74</v>
      </c>
      <c r="BE631" t="s">
        <v>3422</v>
      </c>
      <c r="BF631" t="s">
        <v>3423</v>
      </c>
      <c r="BH631" t="s">
        <v>77</v>
      </c>
      <c r="BI631" t="s">
        <v>574</v>
      </c>
      <c r="BJ631" t="s">
        <v>79</v>
      </c>
      <c r="BM631">
        <v>1</v>
      </c>
      <c r="BN631">
        <v>2</v>
      </c>
      <c r="BO631">
        <v>3</v>
      </c>
      <c r="BP631" t="s">
        <v>80</v>
      </c>
      <c r="BR631">
        <v>0</v>
      </c>
      <c r="BS631">
        <v>6</v>
      </c>
      <c r="BU631">
        <v>1936439</v>
      </c>
    </row>
    <row r="632" spans="1:73" x14ac:dyDescent="0.3">
      <c r="A632" t="s">
        <v>3424</v>
      </c>
      <c r="B632">
        <v>3</v>
      </c>
      <c r="C632">
        <v>481716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</v>
      </c>
      <c r="BC632" s="1">
        <v>481716</v>
      </c>
      <c r="BD632" t="s">
        <v>74</v>
      </c>
      <c r="BE632" t="s">
        <v>3425</v>
      </c>
      <c r="BF632" t="s">
        <v>3426</v>
      </c>
      <c r="BH632" t="s">
        <v>77</v>
      </c>
      <c r="BI632" t="s">
        <v>88</v>
      </c>
      <c r="BJ632" t="s">
        <v>79</v>
      </c>
      <c r="BM632">
        <v>0</v>
      </c>
      <c r="BN632">
        <v>1</v>
      </c>
      <c r="BO632">
        <v>1</v>
      </c>
      <c r="BP632" t="s">
        <v>80</v>
      </c>
      <c r="BR632">
        <v>0</v>
      </c>
      <c r="BS632">
        <v>6</v>
      </c>
      <c r="BU632">
        <v>481716</v>
      </c>
    </row>
    <row r="633" spans="1:73" x14ac:dyDescent="0.3">
      <c r="A633" t="s">
        <v>3430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19792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2</v>
      </c>
      <c r="BC633" s="1">
        <v>39584</v>
      </c>
      <c r="BD633" t="s">
        <v>74</v>
      </c>
      <c r="BE633" t="s">
        <v>3431</v>
      </c>
      <c r="BF633" t="s">
        <v>3432</v>
      </c>
      <c r="BH633" t="s">
        <v>77</v>
      </c>
      <c r="BI633" t="s">
        <v>88</v>
      </c>
      <c r="BJ633" t="s">
        <v>79</v>
      </c>
      <c r="BM633">
        <v>1</v>
      </c>
      <c r="BN633">
        <v>0</v>
      </c>
      <c r="BO633">
        <v>1</v>
      </c>
      <c r="BP633" t="s">
        <v>80</v>
      </c>
      <c r="BR633">
        <v>0</v>
      </c>
      <c r="BS633">
        <v>0</v>
      </c>
      <c r="BU633">
        <v>19792</v>
      </c>
    </row>
    <row r="634" spans="1:73" x14ac:dyDescent="0.3">
      <c r="A634" t="s">
        <v>3433</v>
      </c>
      <c r="B634">
        <v>0</v>
      </c>
      <c r="C634">
        <v>0</v>
      </c>
      <c r="D634">
        <v>1</v>
      </c>
      <c r="E634">
        <v>272000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45682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11526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4</v>
      </c>
      <c r="BC634" s="1">
        <v>601208</v>
      </c>
      <c r="BD634" t="s">
        <v>74</v>
      </c>
      <c r="BE634" t="s">
        <v>3434</v>
      </c>
      <c r="BF634" t="s">
        <v>3435</v>
      </c>
      <c r="BH634" t="s">
        <v>77</v>
      </c>
      <c r="BI634" t="s">
        <v>228</v>
      </c>
      <c r="BJ634" t="s">
        <v>79</v>
      </c>
      <c r="BM634">
        <v>2</v>
      </c>
      <c r="BN634">
        <v>1</v>
      </c>
      <c r="BO634">
        <v>3</v>
      </c>
      <c r="BP634" t="s">
        <v>80</v>
      </c>
      <c r="BR634">
        <v>0</v>
      </c>
      <c r="BS634">
        <v>6</v>
      </c>
      <c r="BU634">
        <v>329208</v>
      </c>
    </row>
    <row r="635" spans="1:73" x14ac:dyDescent="0.3">
      <c r="A635" t="s">
        <v>3436</v>
      </c>
      <c r="B635">
        <v>5</v>
      </c>
      <c r="C635">
        <v>793426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5</v>
      </c>
      <c r="BC635" s="1">
        <v>793426</v>
      </c>
      <c r="BD635" t="s">
        <v>74</v>
      </c>
      <c r="BE635" t="s">
        <v>3437</v>
      </c>
      <c r="BF635" t="s">
        <v>3438</v>
      </c>
      <c r="BH635" t="s">
        <v>77</v>
      </c>
      <c r="BI635" t="s">
        <v>204</v>
      </c>
      <c r="BJ635" t="s">
        <v>79</v>
      </c>
      <c r="BM635">
        <v>0</v>
      </c>
      <c r="BN635">
        <v>1</v>
      </c>
      <c r="BO635">
        <v>1</v>
      </c>
      <c r="BP635" t="s">
        <v>80</v>
      </c>
      <c r="BR635">
        <v>0</v>
      </c>
      <c r="BS635">
        <v>6</v>
      </c>
      <c r="BU635">
        <v>793426</v>
      </c>
    </row>
    <row r="636" spans="1:73" x14ac:dyDescent="0.3">
      <c r="A636" t="s">
        <v>3439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73535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19792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3</v>
      </c>
      <c r="BC636" s="1">
        <v>166862</v>
      </c>
      <c r="BD636" t="s">
        <v>74</v>
      </c>
      <c r="BE636" t="s">
        <v>3440</v>
      </c>
      <c r="BF636" t="s">
        <v>3441</v>
      </c>
      <c r="BH636" t="s">
        <v>77</v>
      </c>
      <c r="BI636" t="s">
        <v>524</v>
      </c>
      <c r="BJ636" t="s">
        <v>79</v>
      </c>
      <c r="BM636">
        <v>2</v>
      </c>
      <c r="BN636">
        <v>0</v>
      </c>
      <c r="BO636">
        <v>2</v>
      </c>
      <c r="BP636" t="s">
        <v>80</v>
      </c>
      <c r="BR636">
        <v>0</v>
      </c>
      <c r="BS636">
        <v>6</v>
      </c>
      <c r="BU636">
        <v>93327</v>
      </c>
    </row>
    <row r="637" spans="1:73" x14ac:dyDescent="0.3">
      <c r="A637" t="s">
        <v>3442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24243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 s="1">
        <v>24243</v>
      </c>
      <c r="BD637" t="s">
        <v>74</v>
      </c>
      <c r="BE637" t="s">
        <v>3443</v>
      </c>
      <c r="BF637" t="s">
        <v>3444</v>
      </c>
      <c r="BH637" t="s">
        <v>77</v>
      </c>
      <c r="BI637" t="s">
        <v>593</v>
      </c>
      <c r="BJ637" t="s">
        <v>79</v>
      </c>
      <c r="BM637">
        <v>1</v>
      </c>
      <c r="BN637">
        <v>0</v>
      </c>
      <c r="BO637">
        <v>1</v>
      </c>
      <c r="BP637" t="s">
        <v>80</v>
      </c>
      <c r="BR637">
        <v>0</v>
      </c>
      <c r="BS637">
        <v>0</v>
      </c>
      <c r="BU637">
        <v>24243</v>
      </c>
    </row>
    <row r="638" spans="1:73" x14ac:dyDescent="0.3">
      <c r="A638" t="s">
        <v>3445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152120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27778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5</v>
      </c>
      <c r="BC638" s="1">
        <v>281211</v>
      </c>
      <c r="BD638" t="s">
        <v>74</v>
      </c>
      <c r="BE638" t="s">
        <v>3446</v>
      </c>
      <c r="BF638" t="s">
        <v>3447</v>
      </c>
      <c r="BH638" t="s">
        <v>77</v>
      </c>
      <c r="BI638" t="s">
        <v>129</v>
      </c>
      <c r="BJ638" t="s">
        <v>79</v>
      </c>
      <c r="BM638">
        <v>2</v>
      </c>
      <c r="BN638">
        <v>0</v>
      </c>
      <c r="BO638">
        <v>2</v>
      </c>
      <c r="BP638" t="s">
        <v>80</v>
      </c>
      <c r="BR638">
        <v>0</v>
      </c>
      <c r="BS638">
        <v>6</v>
      </c>
      <c r="BU638">
        <v>179898</v>
      </c>
    </row>
    <row r="639" spans="1:73" x14ac:dyDescent="0.3">
      <c r="A639" t="s">
        <v>3448</v>
      </c>
      <c r="B639">
        <v>0</v>
      </c>
      <c r="C639">
        <v>0</v>
      </c>
      <c r="D639">
        <v>6</v>
      </c>
      <c r="E639">
        <v>1989541</v>
      </c>
      <c r="F639">
        <v>0</v>
      </c>
      <c r="G639">
        <v>0</v>
      </c>
      <c r="H639">
        <v>10</v>
      </c>
      <c r="I639">
        <v>379082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12</v>
      </c>
      <c r="BC639" s="1">
        <v>3979082</v>
      </c>
      <c r="BD639" t="s">
        <v>74</v>
      </c>
      <c r="BE639" t="s">
        <v>3449</v>
      </c>
      <c r="BF639" t="s">
        <v>1675</v>
      </c>
      <c r="BH639" t="s">
        <v>77</v>
      </c>
      <c r="BI639" t="s">
        <v>574</v>
      </c>
      <c r="BJ639" t="s">
        <v>79</v>
      </c>
      <c r="BM639">
        <v>0</v>
      </c>
      <c r="BN639">
        <v>2</v>
      </c>
      <c r="BO639">
        <v>2</v>
      </c>
      <c r="BP639" t="s">
        <v>80</v>
      </c>
      <c r="BR639">
        <v>0</v>
      </c>
      <c r="BS639">
        <v>6</v>
      </c>
      <c r="BU639">
        <v>2368623</v>
      </c>
    </row>
    <row r="640" spans="1:73" x14ac:dyDescent="0.3">
      <c r="A640" t="s">
        <v>3450</v>
      </c>
      <c r="B640">
        <v>0</v>
      </c>
      <c r="C640">
        <v>0</v>
      </c>
      <c r="D640">
        <v>1</v>
      </c>
      <c r="E640">
        <v>1080000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 s="1">
        <v>1080000</v>
      </c>
      <c r="BD640" t="s">
        <v>74</v>
      </c>
      <c r="BE640" t="s">
        <v>3451</v>
      </c>
      <c r="BF640" t="s">
        <v>2412</v>
      </c>
      <c r="BH640" t="s">
        <v>77</v>
      </c>
      <c r="BI640" t="s">
        <v>204</v>
      </c>
      <c r="BJ640" t="s">
        <v>79</v>
      </c>
      <c r="BM640">
        <v>0</v>
      </c>
      <c r="BN640">
        <v>1</v>
      </c>
      <c r="BO640">
        <v>1</v>
      </c>
      <c r="BP640" t="s">
        <v>514</v>
      </c>
      <c r="BR640">
        <v>0</v>
      </c>
      <c r="BS640">
        <v>6</v>
      </c>
      <c r="BU640">
        <v>1080000</v>
      </c>
    </row>
    <row r="641" spans="1:73" x14ac:dyDescent="0.3">
      <c r="A641" t="s">
        <v>3452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19792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</v>
      </c>
      <c r="BC641" s="1">
        <v>39584</v>
      </c>
      <c r="BD641" t="s">
        <v>74</v>
      </c>
      <c r="BE641" t="s">
        <v>3453</v>
      </c>
      <c r="BF641" t="s">
        <v>3454</v>
      </c>
      <c r="BH641" t="s">
        <v>77</v>
      </c>
      <c r="BI641" t="s">
        <v>78</v>
      </c>
      <c r="BJ641" t="s">
        <v>79</v>
      </c>
      <c r="BM641">
        <v>1</v>
      </c>
      <c r="BN641">
        <v>0</v>
      </c>
      <c r="BO641">
        <v>1</v>
      </c>
      <c r="BP641" t="s">
        <v>80</v>
      </c>
      <c r="BR641">
        <v>0</v>
      </c>
      <c r="BS641">
        <v>6</v>
      </c>
      <c r="BU641">
        <v>19792</v>
      </c>
    </row>
    <row r="642" spans="1:73" x14ac:dyDescent="0.3">
      <c r="A642" t="s">
        <v>3455</v>
      </c>
      <c r="B642">
        <v>0</v>
      </c>
      <c r="C642">
        <v>150908</v>
      </c>
      <c r="D642">
        <v>3</v>
      </c>
      <c r="E642">
        <v>235455</v>
      </c>
      <c r="F642">
        <v>0</v>
      </c>
      <c r="G642">
        <v>0</v>
      </c>
      <c r="H642">
        <v>4</v>
      </c>
      <c r="I642">
        <v>80000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67878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8000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9</v>
      </c>
      <c r="BC642" s="1">
        <v>765574</v>
      </c>
      <c r="BD642" t="s">
        <v>74</v>
      </c>
      <c r="BE642" t="s">
        <v>3456</v>
      </c>
      <c r="BF642" t="s">
        <v>3457</v>
      </c>
      <c r="BH642" t="s">
        <v>77</v>
      </c>
      <c r="BI642" t="s">
        <v>88</v>
      </c>
      <c r="BJ642" t="s">
        <v>79</v>
      </c>
      <c r="BM642">
        <v>2</v>
      </c>
      <c r="BN642">
        <v>2</v>
      </c>
      <c r="BO642">
        <v>4</v>
      </c>
      <c r="BP642" t="s">
        <v>80</v>
      </c>
      <c r="BR642">
        <v>0</v>
      </c>
      <c r="BS642">
        <v>6</v>
      </c>
      <c r="BU642">
        <v>542241</v>
      </c>
    </row>
    <row r="643" spans="1:73" x14ac:dyDescent="0.3">
      <c r="A643" t="s">
        <v>3458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82993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</v>
      </c>
      <c r="BC643" s="1">
        <v>165986</v>
      </c>
      <c r="BD643" t="s">
        <v>74</v>
      </c>
      <c r="BE643" t="s">
        <v>3459</v>
      </c>
      <c r="BF643" t="s">
        <v>3460</v>
      </c>
      <c r="BH643" t="s">
        <v>77</v>
      </c>
      <c r="BI643" t="s">
        <v>281</v>
      </c>
      <c r="BJ643" t="s">
        <v>79</v>
      </c>
      <c r="BM643">
        <v>1</v>
      </c>
      <c r="BN643">
        <v>0</v>
      </c>
      <c r="BO643">
        <v>1</v>
      </c>
      <c r="BP643" t="s">
        <v>80</v>
      </c>
      <c r="BR643">
        <v>0</v>
      </c>
      <c r="BS643">
        <v>0</v>
      </c>
      <c r="BU643">
        <v>82993</v>
      </c>
    </row>
    <row r="644" spans="1:73" x14ac:dyDescent="0.3">
      <c r="A644" t="s">
        <v>3461</v>
      </c>
      <c r="B644">
        <v>5</v>
      </c>
      <c r="C644">
        <v>619136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5</v>
      </c>
      <c r="BC644" s="1">
        <v>619136</v>
      </c>
      <c r="BD644" t="s">
        <v>74</v>
      </c>
      <c r="BE644" t="s">
        <v>3462</v>
      </c>
      <c r="BF644" t="s">
        <v>1125</v>
      </c>
      <c r="BM644">
        <v>0</v>
      </c>
      <c r="BN644">
        <v>1</v>
      </c>
      <c r="BO644">
        <v>1</v>
      </c>
      <c r="BP644" t="s">
        <v>80</v>
      </c>
      <c r="BR644">
        <v>0</v>
      </c>
      <c r="BS644">
        <v>6</v>
      </c>
      <c r="BU644">
        <v>619136</v>
      </c>
    </row>
    <row r="645" spans="1:73" x14ac:dyDescent="0.3">
      <c r="A645" t="s">
        <v>3463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73535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</v>
      </c>
      <c r="BC645" s="1">
        <v>147070</v>
      </c>
      <c r="BD645" t="s">
        <v>74</v>
      </c>
      <c r="BE645" t="s">
        <v>3464</v>
      </c>
      <c r="BF645" t="s">
        <v>3465</v>
      </c>
      <c r="BH645" t="s">
        <v>77</v>
      </c>
      <c r="BI645" t="s">
        <v>78</v>
      </c>
      <c r="BJ645" t="s">
        <v>79</v>
      </c>
      <c r="BM645">
        <v>1</v>
      </c>
      <c r="BN645">
        <v>0</v>
      </c>
      <c r="BO645">
        <v>1</v>
      </c>
      <c r="BP645" t="s">
        <v>80</v>
      </c>
      <c r="BR645">
        <v>0</v>
      </c>
      <c r="BS645">
        <v>0</v>
      </c>
      <c r="BU645">
        <v>73535</v>
      </c>
    </row>
    <row r="646" spans="1:73" x14ac:dyDescent="0.3">
      <c r="A646" t="s">
        <v>3466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4</v>
      </c>
      <c r="I646">
        <v>80000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19792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6</v>
      </c>
      <c r="BC646" s="1">
        <v>119584</v>
      </c>
      <c r="BD646" t="s">
        <v>74</v>
      </c>
      <c r="BE646" t="s">
        <v>3467</v>
      </c>
      <c r="BF646" t="s">
        <v>3468</v>
      </c>
      <c r="BH646" t="s">
        <v>77</v>
      </c>
      <c r="BI646" t="s">
        <v>78</v>
      </c>
      <c r="BJ646" t="s">
        <v>79</v>
      </c>
      <c r="BM646">
        <v>1</v>
      </c>
      <c r="BN646">
        <v>1</v>
      </c>
      <c r="BO646">
        <v>2</v>
      </c>
      <c r="BP646" t="s">
        <v>80</v>
      </c>
      <c r="BR646">
        <v>0</v>
      </c>
      <c r="BS646">
        <v>6</v>
      </c>
      <c r="BU646">
        <v>99792</v>
      </c>
    </row>
    <row r="647" spans="1:73" x14ac:dyDescent="0.3">
      <c r="A647" t="s">
        <v>3478</v>
      </c>
      <c r="B647">
        <v>0</v>
      </c>
      <c r="C647">
        <v>0</v>
      </c>
      <c r="D647">
        <v>2</v>
      </c>
      <c r="E647">
        <v>170000</v>
      </c>
      <c r="F647">
        <v>0</v>
      </c>
      <c r="G647">
        <v>0</v>
      </c>
      <c r="H647">
        <v>2</v>
      </c>
      <c r="I647">
        <v>40000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73535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6</v>
      </c>
      <c r="BC647" s="1">
        <v>487070</v>
      </c>
      <c r="BD647" t="s">
        <v>74</v>
      </c>
      <c r="BE647" t="s">
        <v>3479</v>
      </c>
      <c r="BF647" t="s">
        <v>3480</v>
      </c>
      <c r="BH647" t="s">
        <v>77</v>
      </c>
      <c r="BI647" t="s">
        <v>593</v>
      </c>
      <c r="BJ647" t="s">
        <v>79</v>
      </c>
      <c r="BM647">
        <v>1</v>
      </c>
      <c r="BN647">
        <v>2</v>
      </c>
      <c r="BO647">
        <v>3</v>
      </c>
      <c r="BP647" t="s">
        <v>514</v>
      </c>
      <c r="BR647">
        <v>0</v>
      </c>
      <c r="BS647">
        <v>6</v>
      </c>
      <c r="BU647">
        <v>283535</v>
      </c>
    </row>
    <row r="648" spans="1:73" x14ac:dyDescent="0.3">
      <c r="A648" t="s">
        <v>3481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</v>
      </c>
      <c r="I648">
        <v>40000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</v>
      </c>
      <c r="BC648" s="1">
        <v>40000</v>
      </c>
      <c r="BD648" t="s">
        <v>74</v>
      </c>
      <c r="BE648" t="s">
        <v>3482</v>
      </c>
      <c r="BF648" t="s">
        <v>3483</v>
      </c>
      <c r="BH648" t="s">
        <v>77</v>
      </c>
      <c r="BI648" t="s">
        <v>92</v>
      </c>
      <c r="BJ648" t="s">
        <v>79</v>
      </c>
      <c r="BM648">
        <v>0</v>
      </c>
      <c r="BN648">
        <v>1</v>
      </c>
      <c r="BO648">
        <v>1</v>
      </c>
      <c r="BP648" t="s">
        <v>80</v>
      </c>
      <c r="BR648">
        <v>0</v>
      </c>
      <c r="BS648">
        <v>6</v>
      </c>
      <c r="BU648">
        <v>40000</v>
      </c>
    </row>
    <row r="649" spans="1:73" x14ac:dyDescent="0.3">
      <c r="A649" t="s">
        <v>3484</v>
      </c>
      <c r="B649">
        <v>1</v>
      </c>
      <c r="C649">
        <v>319868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 s="1">
        <v>319868</v>
      </c>
      <c r="BD649" t="s">
        <v>74</v>
      </c>
      <c r="BE649" t="s">
        <v>3485</v>
      </c>
      <c r="BF649" t="s">
        <v>3486</v>
      </c>
      <c r="BH649" t="s">
        <v>77</v>
      </c>
      <c r="BI649" t="s">
        <v>204</v>
      </c>
      <c r="BJ649" t="s">
        <v>79</v>
      </c>
      <c r="BM649">
        <v>0</v>
      </c>
      <c r="BN649">
        <v>1</v>
      </c>
      <c r="BO649">
        <v>1</v>
      </c>
      <c r="BP649" t="s">
        <v>80</v>
      </c>
      <c r="BR649">
        <v>0</v>
      </c>
      <c r="BS649">
        <v>6</v>
      </c>
      <c r="BU649">
        <v>319868</v>
      </c>
    </row>
    <row r="650" spans="1:73" x14ac:dyDescent="0.3">
      <c r="A650" t="s">
        <v>3487</v>
      </c>
      <c r="B650">
        <v>4</v>
      </c>
      <c r="C650">
        <v>1318713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19792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5</v>
      </c>
      <c r="BC650" s="1">
        <v>1338505</v>
      </c>
      <c r="BD650" t="s">
        <v>74</v>
      </c>
      <c r="BE650" t="s">
        <v>3488</v>
      </c>
      <c r="BF650" t="s">
        <v>3489</v>
      </c>
      <c r="BH650" t="s">
        <v>77</v>
      </c>
      <c r="BI650" t="s">
        <v>84</v>
      </c>
      <c r="BJ650" t="s">
        <v>79</v>
      </c>
      <c r="BM650">
        <v>1</v>
      </c>
      <c r="BN650">
        <v>1</v>
      </c>
      <c r="BO650">
        <v>2</v>
      </c>
      <c r="BP650" t="s">
        <v>80</v>
      </c>
      <c r="BR650">
        <v>0</v>
      </c>
      <c r="BS650">
        <v>6</v>
      </c>
      <c r="BU650">
        <v>1338505</v>
      </c>
    </row>
    <row r="651" spans="1:73" x14ac:dyDescent="0.3">
      <c r="A651" t="s">
        <v>3490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20000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45682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11526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5</v>
      </c>
      <c r="BC651" s="1">
        <v>617208</v>
      </c>
      <c r="BD651" t="s">
        <v>74</v>
      </c>
      <c r="BE651" t="s">
        <v>3491</v>
      </c>
      <c r="BF651" t="s">
        <v>3492</v>
      </c>
      <c r="BH651" t="s">
        <v>77</v>
      </c>
      <c r="BI651" t="s">
        <v>92</v>
      </c>
      <c r="BJ651" t="s">
        <v>79</v>
      </c>
      <c r="BM651">
        <v>2</v>
      </c>
      <c r="BN651">
        <v>1</v>
      </c>
      <c r="BO651">
        <v>3</v>
      </c>
      <c r="BP651" t="s">
        <v>80</v>
      </c>
      <c r="BR651">
        <v>0</v>
      </c>
      <c r="BS651">
        <v>0</v>
      </c>
      <c r="BU651">
        <v>77208</v>
      </c>
    </row>
    <row r="652" spans="1:73" x14ac:dyDescent="0.3">
      <c r="A652" t="s">
        <v>3498</v>
      </c>
      <c r="B652">
        <v>1</v>
      </c>
      <c r="C652">
        <v>462973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57208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4</v>
      </c>
      <c r="BC652" s="1">
        <v>594422</v>
      </c>
      <c r="BD652" t="s">
        <v>74</v>
      </c>
      <c r="BE652" t="s">
        <v>3499</v>
      </c>
      <c r="BF652" t="s">
        <v>3500</v>
      </c>
      <c r="BH652" t="s">
        <v>77</v>
      </c>
      <c r="BI652" t="s">
        <v>88</v>
      </c>
      <c r="BJ652" t="s">
        <v>79</v>
      </c>
      <c r="BM652">
        <v>1</v>
      </c>
      <c r="BN652">
        <v>1</v>
      </c>
      <c r="BO652">
        <v>2</v>
      </c>
      <c r="BP652" t="s">
        <v>80</v>
      </c>
      <c r="BR652">
        <v>0</v>
      </c>
      <c r="BS652">
        <v>6</v>
      </c>
      <c r="BU652">
        <v>520181</v>
      </c>
    </row>
    <row r="653" spans="1:73" x14ac:dyDescent="0.3">
      <c r="A653" t="s">
        <v>3501</v>
      </c>
      <c r="B653">
        <v>0</v>
      </c>
      <c r="C653">
        <v>0</v>
      </c>
      <c r="D653">
        <v>1</v>
      </c>
      <c r="E653">
        <v>20000</v>
      </c>
      <c r="F653">
        <v>0</v>
      </c>
      <c r="G653">
        <v>0</v>
      </c>
      <c r="H653">
        <v>2</v>
      </c>
      <c r="I653">
        <v>40000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73535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4</v>
      </c>
      <c r="BC653" s="1">
        <v>192120</v>
      </c>
      <c r="BD653" t="s">
        <v>74</v>
      </c>
      <c r="BE653" t="s">
        <v>3502</v>
      </c>
      <c r="BF653" t="s">
        <v>3503</v>
      </c>
      <c r="BH653" t="s">
        <v>77</v>
      </c>
      <c r="BI653" t="s">
        <v>593</v>
      </c>
      <c r="BJ653" t="s">
        <v>79</v>
      </c>
      <c r="BM653">
        <v>1</v>
      </c>
      <c r="BN653">
        <v>2</v>
      </c>
      <c r="BO653">
        <v>3</v>
      </c>
      <c r="BP653" t="s">
        <v>80</v>
      </c>
      <c r="BR653">
        <v>0</v>
      </c>
      <c r="BS653">
        <v>6</v>
      </c>
      <c r="BU653">
        <v>133535</v>
      </c>
    </row>
    <row r="654" spans="1:73" x14ac:dyDescent="0.3">
      <c r="A654" t="s">
        <v>3504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73535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2</v>
      </c>
      <c r="BC654" s="1">
        <v>147070</v>
      </c>
      <c r="BD654" t="s">
        <v>74</v>
      </c>
      <c r="BE654" t="s">
        <v>3505</v>
      </c>
      <c r="BF654" t="s">
        <v>3506</v>
      </c>
      <c r="BH654" t="s">
        <v>77</v>
      </c>
      <c r="BI654" t="s">
        <v>78</v>
      </c>
      <c r="BJ654" t="s">
        <v>79</v>
      </c>
      <c r="BM654">
        <v>1</v>
      </c>
      <c r="BN654">
        <v>0</v>
      </c>
      <c r="BO654">
        <v>1</v>
      </c>
      <c r="BP654" t="s">
        <v>80</v>
      </c>
      <c r="BR654">
        <v>0</v>
      </c>
      <c r="BS654">
        <v>6</v>
      </c>
      <c r="BU654">
        <v>73535</v>
      </c>
    </row>
    <row r="655" spans="1:73" x14ac:dyDescent="0.3">
      <c r="A655" t="s">
        <v>3507</v>
      </c>
      <c r="B655">
        <v>0</v>
      </c>
      <c r="C655">
        <v>0</v>
      </c>
      <c r="D655">
        <v>1</v>
      </c>
      <c r="E655">
        <v>20401</v>
      </c>
      <c r="F655">
        <v>0</v>
      </c>
      <c r="G655">
        <v>0</v>
      </c>
      <c r="H655">
        <v>1</v>
      </c>
      <c r="I655">
        <v>20401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73535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</v>
      </c>
      <c r="BC655" s="1">
        <v>358380</v>
      </c>
      <c r="BD655" t="s">
        <v>74</v>
      </c>
      <c r="BE655" t="s">
        <v>3508</v>
      </c>
      <c r="BF655" t="s">
        <v>813</v>
      </c>
      <c r="BH655" t="s">
        <v>77</v>
      </c>
      <c r="BI655" t="s">
        <v>281</v>
      </c>
      <c r="BJ655" t="s">
        <v>79</v>
      </c>
      <c r="BM655">
        <v>1</v>
      </c>
      <c r="BN655">
        <v>2</v>
      </c>
      <c r="BO655">
        <v>3</v>
      </c>
      <c r="BP655" t="s">
        <v>514</v>
      </c>
      <c r="BR655">
        <v>0</v>
      </c>
      <c r="BS655">
        <v>0</v>
      </c>
      <c r="BU655">
        <v>114337</v>
      </c>
    </row>
    <row r="656" spans="1:73" x14ac:dyDescent="0.3">
      <c r="A656" t="s">
        <v>3509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96439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2</v>
      </c>
      <c r="BC656" s="1">
        <v>192878</v>
      </c>
      <c r="BD656" t="s">
        <v>74</v>
      </c>
      <c r="BE656" t="s">
        <v>3510</v>
      </c>
      <c r="BF656" t="s">
        <v>3511</v>
      </c>
      <c r="BH656" t="s">
        <v>77</v>
      </c>
      <c r="BI656" t="s">
        <v>574</v>
      </c>
      <c r="BJ656" t="s">
        <v>79</v>
      </c>
      <c r="BM656">
        <v>1</v>
      </c>
      <c r="BN656">
        <v>0</v>
      </c>
      <c r="BO656">
        <v>1</v>
      </c>
      <c r="BP656" t="s">
        <v>80</v>
      </c>
      <c r="BR656">
        <v>0</v>
      </c>
      <c r="BS656">
        <v>6</v>
      </c>
      <c r="BU656">
        <v>96439</v>
      </c>
    </row>
    <row r="657" spans="1:73" x14ac:dyDescent="0.3">
      <c r="A657" t="s">
        <v>3515</v>
      </c>
      <c r="B657">
        <v>5</v>
      </c>
      <c r="C657">
        <v>1336934</v>
      </c>
      <c r="D657">
        <v>7</v>
      </c>
      <c r="E657">
        <v>1668176</v>
      </c>
      <c r="F657">
        <v>0</v>
      </c>
      <c r="G657">
        <v>0</v>
      </c>
      <c r="H657">
        <v>10</v>
      </c>
      <c r="I657">
        <v>216352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20</v>
      </c>
      <c r="BC657" s="1">
        <v>9673286</v>
      </c>
      <c r="BD657" t="s">
        <v>74</v>
      </c>
      <c r="BE657" t="s">
        <v>3516</v>
      </c>
      <c r="BF657" t="s">
        <v>3517</v>
      </c>
      <c r="BH657" t="s">
        <v>136</v>
      </c>
      <c r="BI657" t="s">
        <v>137</v>
      </c>
      <c r="BJ657" t="s">
        <v>125</v>
      </c>
      <c r="BM657">
        <v>0</v>
      </c>
      <c r="BN657">
        <v>3</v>
      </c>
      <c r="BO657">
        <v>3</v>
      </c>
      <c r="BP657" t="s">
        <v>80</v>
      </c>
      <c r="BR657">
        <v>0</v>
      </c>
      <c r="BS657">
        <v>4</v>
      </c>
      <c r="BU657">
        <v>3221462</v>
      </c>
    </row>
    <row r="658" spans="1:73" x14ac:dyDescent="0.3">
      <c r="A658" t="s">
        <v>3518</v>
      </c>
      <c r="B658">
        <v>0</v>
      </c>
      <c r="C658">
        <v>0</v>
      </c>
      <c r="D658">
        <v>2</v>
      </c>
      <c r="E658">
        <v>1196000</v>
      </c>
      <c r="F658">
        <v>0</v>
      </c>
      <c r="G658">
        <v>0</v>
      </c>
      <c r="H658">
        <v>2</v>
      </c>
      <c r="I658">
        <v>40000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4</v>
      </c>
      <c r="BC658" s="1">
        <v>2392000</v>
      </c>
      <c r="BD658" t="s">
        <v>74</v>
      </c>
      <c r="BE658" t="s">
        <v>3519</v>
      </c>
      <c r="BF658" t="s">
        <v>3288</v>
      </c>
      <c r="BH658" t="s">
        <v>77</v>
      </c>
      <c r="BI658" t="s">
        <v>574</v>
      </c>
      <c r="BJ658" t="s">
        <v>79</v>
      </c>
      <c r="BM658">
        <v>0</v>
      </c>
      <c r="BN658">
        <v>2</v>
      </c>
      <c r="BO658">
        <v>2</v>
      </c>
      <c r="BP658" t="s">
        <v>80</v>
      </c>
      <c r="BR658">
        <v>0</v>
      </c>
      <c r="BS658">
        <v>6</v>
      </c>
      <c r="BU658">
        <v>1236000</v>
      </c>
    </row>
    <row r="659" spans="1:73" x14ac:dyDescent="0.3">
      <c r="A659" t="s">
        <v>3520</v>
      </c>
      <c r="B659">
        <v>0</v>
      </c>
      <c r="C659">
        <v>0</v>
      </c>
      <c r="D659">
        <v>6</v>
      </c>
      <c r="E659">
        <v>146961</v>
      </c>
      <c r="F659">
        <v>0</v>
      </c>
      <c r="G659">
        <v>0</v>
      </c>
      <c r="H659">
        <v>12</v>
      </c>
      <c r="I659">
        <v>293922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12</v>
      </c>
      <c r="BC659" s="1">
        <v>293922</v>
      </c>
      <c r="BD659" t="s">
        <v>74</v>
      </c>
      <c r="BE659" t="s">
        <v>3521</v>
      </c>
      <c r="BF659" t="s">
        <v>3229</v>
      </c>
      <c r="BH659" t="s">
        <v>77</v>
      </c>
      <c r="BI659" t="s">
        <v>593</v>
      </c>
      <c r="BJ659" t="s">
        <v>79</v>
      </c>
      <c r="BM659">
        <v>0</v>
      </c>
      <c r="BN659">
        <v>2</v>
      </c>
      <c r="BO659">
        <v>2</v>
      </c>
      <c r="BP659" t="s">
        <v>80</v>
      </c>
      <c r="BR659">
        <v>0</v>
      </c>
      <c r="BS659">
        <v>6</v>
      </c>
      <c r="BU659">
        <v>440883</v>
      </c>
    </row>
    <row r="660" spans="1:73" x14ac:dyDescent="0.3">
      <c r="A660" t="s">
        <v>3522</v>
      </c>
      <c r="B660">
        <v>0</v>
      </c>
      <c r="C660">
        <v>0</v>
      </c>
      <c r="D660">
        <v>1</v>
      </c>
      <c r="E660">
        <v>175000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 s="1">
        <v>175000</v>
      </c>
      <c r="BD660" t="s">
        <v>74</v>
      </c>
      <c r="BE660" t="s">
        <v>3523</v>
      </c>
      <c r="BF660" t="s">
        <v>3524</v>
      </c>
      <c r="BH660" t="s">
        <v>77</v>
      </c>
      <c r="BI660" t="s">
        <v>88</v>
      </c>
      <c r="BJ660" t="s">
        <v>79</v>
      </c>
      <c r="BM660">
        <v>0</v>
      </c>
      <c r="BN660">
        <v>1</v>
      </c>
      <c r="BO660">
        <v>1</v>
      </c>
      <c r="BP660" t="s">
        <v>80</v>
      </c>
      <c r="BR660">
        <v>0</v>
      </c>
      <c r="BS660">
        <v>6</v>
      </c>
      <c r="BU660">
        <v>175000</v>
      </c>
    </row>
    <row r="661" spans="1:73" x14ac:dyDescent="0.3">
      <c r="A661" t="s">
        <v>3531</v>
      </c>
      <c r="B661">
        <v>1</v>
      </c>
      <c r="C661">
        <v>363636</v>
      </c>
      <c r="D661">
        <v>13</v>
      </c>
      <c r="E661">
        <v>14037083</v>
      </c>
      <c r="F661">
        <v>0</v>
      </c>
      <c r="G661">
        <v>0</v>
      </c>
      <c r="H661">
        <v>16</v>
      </c>
      <c r="I661">
        <v>1087498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25</v>
      </c>
      <c r="BC661" s="1">
        <v>25344468</v>
      </c>
      <c r="BD661" t="s">
        <v>74</v>
      </c>
      <c r="BE661" t="s">
        <v>3532</v>
      </c>
      <c r="BF661" t="s">
        <v>3533</v>
      </c>
      <c r="BH661" t="s">
        <v>77</v>
      </c>
      <c r="BI661" t="s">
        <v>92</v>
      </c>
      <c r="BJ661" t="s">
        <v>79</v>
      </c>
      <c r="BM661">
        <v>0</v>
      </c>
      <c r="BN661">
        <v>3</v>
      </c>
      <c r="BO661">
        <v>3</v>
      </c>
      <c r="BP661" t="s">
        <v>80</v>
      </c>
      <c r="BR661">
        <v>0</v>
      </c>
      <c r="BS661">
        <v>4</v>
      </c>
      <c r="BU661">
        <v>15488217</v>
      </c>
    </row>
    <row r="662" spans="1:73" x14ac:dyDescent="0.3">
      <c r="A662" t="s">
        <v>3537</v>
      </c>
      <c r="B662">
        <v>0</v>
      </c>
      <c r="C662">
        <v>0</v>
      </c>
      <c r="D662">
        <v>1</v>
      </c>
      <c r="E662">
        <v>20000</v>
      </c>
      <c r="F662">
        <v>0</v>
      </c>
      <c r="G662">
        <v>0</v>
      </c>
      <c r="H662">
        <v>2</v>
      </c>
      <c r="I662">
        <v>40000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3</v>
      </c>
      <c r="BC662" s="1">
        <v>897143</v>
      </c>
      <c r="BD662" t="s">
        <v>74</v>
      </c>
      <c r="BE662" t="s">
        <v>3538</v>
      </c>
      <c r="BF662" t="s">
        <v>3539</v>
      </c>
      <c r="BH662" t="s">
        <v>77</v>
      </c>
      <c r="BI662" t="s">
        <v>593</v>
      </c>
      <c r="BJ662" t="s">
        <v>79</v>
      </c>
      <c r="BM662">
        <v>0</v>
      </c>
      <c r="BN662">
        <v>2</v>
      </c>
      <c r="BO662">
        <v>2</v>
      </c>
      <c r="BP662" t="s">
        <v>80</v>
      </c>
      <c r="BR662">
        <v>0</v>
      </c>
      <c r="BS662">
        <v>6</v>
      </c>
      <c r="BU662">
        <v>60000</v>
      </c>
    </row>
    <row r="663" spans="1:73" x14ac:dyDescent="0.3">
      <c r="A663" t="s">
        <v>3540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73535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 s="1">
        <v>73535</v>
      </c>
      <c r="BD663" t="s">
        <v>74</v>
      </c>
      <c r="BE663" t="s">
        <v>3541</v>
      </c>
      <c r="BF663" t="s">
        <v>3542</v>
      </c>
      <c r="BH663" t="s">
        <v>77</v>
      </c>
      <c r="BI663" t="s">
        <v>204</v>
      </c>
      <c r="BJ663" t="s">
        <v>79</v>
      </c>
      <c r="BM663">
        <v>1</v>
      </c>
      <c r="BN663">
        <v>0</v>
      </c>
      <c r="BO663">
        <v>1</v>
      </c>
      <c r="BP663" t="s">
        <v>80</v>
      </c>
      <c r="BR663">
        <v>0</v>
      </c>
      <c r="BS663">
        <v>0</v>
      </c>
      <c r="BU663">
        <v>73535</v>
      </c>
    </row>
    <row r="664" spans="1:73" x14ac:dyDescent="0.3">
      <c r="A664" t="s">
        <v>3546</v>
      </c>
      <c r="B664">
        <v>0</v>
      </c>
      <c r="C664">
        <v>0</v>
      </c>
      <c r="D664">
        <v>2</v>
      </c>
      <c r="E664">
        <v>5300000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4</v>
      </c>
      <c r="BC664" s="1">
        <v>10600000</v>
      </c>
      <c r="BD664" t="s">
        <v>74</v>
      </c>
      <c r="BE664" t="s">
        <v>3547</v>
      </c>
      <c r="BF664" t="s">
        <v>3548</v>
      </c>
      <c r="BH664" t="s">
        <v>77</v>
      </c>
      <c r="BI664" t="s">
        <v>129</v>
      </c>
      <c r="BJ664" t="s">
        <v>79</v>
      </c>
      <c r="BM664">
        <v>0</v>
      </c>
      <c r="BN664">
        <v>1</v>
      </c>
      <c r="BO664">
        <v>1</v>
      </c>
      <c r="BP664" t="s">
        <v>80</v>
      </c>
      <c r="BR664">
        <v>0</v>
      </c>
      <c r="BS664">
        <v>5</v>
      </c>
      <c r="BU664">
        <v>5300000</v>
      </c>
    </row>
    <row r="665" spans="1:73" x14ac:dyDescent="0.3">
      <c r="A665" t="s">
        <v>3554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45682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11526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4</v>
      </c>
      <c r="BC665" s="1">
        <v>114416</v>
      </c>
      <c r="BD665" t="s">
        <v>74</v>
      </c>
      <c r="BE665" t="s">
        <v>3555</v>
      </c>
      <c r="BF665" t="s">
        <v>3556</v>
      </c>
      <c r="BH665" t="s">
        <v>77</v>
      </c>
      <c r="BI665" t="s">
        <v>574</v>
      </c>
      <c r="BJ665" t="s">
        <v>79</v>
      </c>
      <c r="BM665">
        <v>2</v>
      </c>
      <c r="BN665">
        <v>0</v>
      </c>
      <c r="BO665">
        <v>2</v>
      </c>
      <c r="BP665" t="s">
        <v>80</v>
      </c>
      <c r="BR665">
        <v>0</v>
      </c>
      <c r="BS665">
        <v>6</v>
      </c>
      <c r="BU665">
        <v>57208</v>
      </c>
    </row>
    <row r="666" spans="1:73" x14ac:dyDescent="0.3">
      <c r="A666" t="s">
        <v>3557</v>
      </c>
      <c r="B666">
        <v>1</v>
      </c>
      <c r="C666">
        <v>245143</v>
      </c>
      <c r="D666">
        <v>1</v>
      </c>
      <c r="E666">
        <v>900000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3</v>
      </c>
      <c r="BC666" s="1">
        <v>2045143</v>
      </c>
      <c r="BD666" t="s">
        <v>74</v>
      </c>
      <c r="BE666" t="s">
        <v>3558</v>
      </c>
      <c r="BF666" t="s">
        <v>3559</v>
      </c>
      <c r="BH666" t="s">
        <v>136</v>
      </c>
      <c r="BI666" t="s">
        <v>439</v>
      </c>
      <c r="BJ666" t="s">
        <v>125</v>
      </c>
      <c r="BM666">
        <v>0</v>
      </c>
      <c r="BN666">
        <v>2</v>
      </c>
      <c r="BO666">
        <v>2</v>
      </c>
      <c r="BP666" t="s">
        <v>80</v>
      </c>
      <c r="BR666">
        <v>0</v>
      </c>
      <c r="BS666">
        <v>6</v>
      </c>
      <c r="BU666">
        <v>1145143</v>
      </c>
    </row>
    <row r="667" spans="1:73" x14ac:dyDescent="0.3">
      <c r="A667" t="s">
        <v>3560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19792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 s="1">
        <v>19792</v>
      </c>
      <c r="BD667" t="s">
        <v>74</v>
      </c>
      <c r="BE667" t="s">
        <v>3561</v>
      </c>
      <c r="BF667" t="s">
        <v>3562</v>
      </c>
      <c r="BH667" t="s">
        <v>77</v>
      </c>
      <c r="BI667" t="s">
        <v>593</v>
      </c>
      <c r="BJ667" t="s">
        <v>79</v>
      </c>
      <c r="BM667">
        <v>1</v>
      </c>
      <c r="BN667">
        <v>0</v>
      </c>
      <c r="BO667">
        <v>1</v>
      </c>
      <c r="BP667" t="s">
        <v>80</v>
      </c>
      <c r="BR667">
        <v>0</v>
      </c>
      <c r="BS667">
        <v>0</v>
      </c>
      <c r="BU667">
        <v>19792</v>
      </c>
    </row>
    <row r="668" spans="1:73" x14ac:dyDescent="0.3">
      <c r="A668" t="s">
        <v>3569</v>
      </c>
      <c r="B668">
        <v>0</v>
      </c>
      <c r="C668">
        <v>0</v>
      </c>
      <c r="D668">
        <v>4</v>
      </c>
      <c r="E668">
        <v>1033177</v>
      </c>
      <c r="F668">
        <v>0</v>
      </c>
      <c r="G668">
        <v>0</v>
      </c>
      <c r="H668">
        <v>6</v>
      </c>
      <c r="I668">
        <v>266354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8</v>
      </c>
      <c r="BC668" s="1">
        <v>2066354</v>
      </c>
      <c r="BD668" t="s">
        <v>74</v>
      </c>
      <c r="BE668" t="s">
        <v>3570</v>
      </c>
      <c r="BF668" t="s">
        <v>245</v>
      </c>
      <c r="BH668" t="s">
        <v>77</v>
      </c>
      <c r="BI668" t="s">
        <v>129</v>
      </c>
      <c r="BJ668" t="s">
        <v>79</v>
      </c>
      <c r="BM668">
        <v>0</v>
      </c>
      <c r="BN668">
        <v>2</v>
      </c>
      <c r="BO668">
        <v>2</v>
      </c>
      <c r="BP668" t="s">
        <v>80</v>
      </c>
      <c r="BR668">
        <v>0</v>
      </c>
      <c r="BS668">
        <v>6</v>
      </c>
      <c r="BU668">
        <v>1299531</v>
      </c>
    </row>
    <row r="669" spans="1:73" x14ac:dyDescent="0.3">
      <c r="A669" t="s">
        <v>3571</v>
      </c>
      <c r="B669">
        <v>0</v>
      </c>
      <c r="C669">
        <v>0</v>
      </c>
      <c r="D669">
        <v>4</v>
      </c>
      <c r="E669">
        <v>555294</v>
      </c>
      <c r="F669">
        <v>0</v>
      </c>
      <c r="G669">
        <v>0</v>
      </c>
      <c r="H669">
        <v>6</v>
      </c>
      <c r="I669">
        <v>135588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8</v>
      </c>
      <c r="BC669" s="1">
        <v>1110588</v>
      </c>
      <c r="BD669" t="s">
        <v>74</v>
      </c>
      <c r="BE669" t="s">
        <v>3572</v>
      </c>
      <c r="BF669" t="s">
        <v>3573</v>
      </c>
      <c r="BH669" t="s">
        <v>77</v>
      </c>
      <c r="BI669" t="s">
        <v>88</v>
      </c>
      <c r="BJ669" t="s">
        <v>79</v>
      </c>
      <c r="BM669">
        <v>0</v>
      </c>
      <c r="BN669">
        <v>2</v>
      </c>
      <c r="BO669">
        <v>2</v>
      </c>
      <c r="BP669" t="s">
        <v>80</v>
      </c>
      <c r="BR669">
        <v>0</v>
      </c>
      <c r="BS669">
        <v>6</v>
      </c>
      <c r="BU669">
        <v>690882</v>
      </c>
    </row>
    <row r="670" spans="1:73" x14ac:dyDescent="0.3">
      <c r="A670" t="s">
        <v>3574</v>
      </c>
      <c r="B670">
        <v>0</v>
      </c>
      <c r="C670">
        <v>0</v>
      </c>
      <c r="D670">
        <v>3</v>
      </c>
      <c r="E670">
        <v>328000</v>
      </c>
      <c r="F670">
        <v>0</v>
      </c>
      <c r="G670">
        <v>0</v>
      </c>
      <c r="H670">
        <v>8</v>
      </c>
      <c r="I670">
        <v>160000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10</v>
      </c>
      <c r="BC670" s="1">
        <v>736000</v>
      </c>
      <c r="BD670" t="s">
        <v>74</v>
      </c>
      <c r="BE670" t="s">
        <v>3575</v>
      </c>
      <c r="BF670" t="s">
        <v>3576</v>
      </c>
      <c r="BH670" t="s">
        <v>77</v>
      </c>
      <c r="BI670" t="s">
        <v>593</v>
      </c>
      <c r="BJ670" t="s">
        <v>79</v>
      </c>
      <c r="BM670">
        <v>0</v>
      </c>
      <c r="BN670">
        <v>2</v>
      </c>
      <c r="BO670">
        <v>2</v>
      </c>
      <c r="BP670" t="s">
        <v>80</v>
      </c>
      <c r="BR670">
        <v>0</v>
      </c>
      <c r="BS670">
        <v>6</v>
      </c>
      <c r="BU670">
        <v>488000</v>
      </c>
    </row>
    <row r="671" spans="1:73" x14ac:dyDescent="0.3">
      <c r="A671" t="s">
        <v>3583</v>
      </c>
      <c r="B671">
        <v>1</v>
      </c>
      <c r="C671">
        <v>317189</v>
      </c>
      <c r="D671">
        <v>5</v>
      </c>
      <c r="E671">
        <v>2915972</v>
      </c>
      <c r="F671">
        <v>0</v>
      </c>
      <c r="G671">
        <v>0</v>
      </c>
      <c r="H671">
        <v>10</v>
      </c>
      <c r="I671">
        <v>271944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13</v>
      </c>
      <c r="BC671" s="1">
        <v>6189133</v>
      </c>
      <c r="BD671" t="s">
        <v>74</v>
      </c>
      <c r="BE671" t="s">
        <v>3584</v>
      </c>
      <c r="BF671" t="s">
        <v>1761</v>
      </c>
      <c r="BH671" t="s">
        <v>136</v>
      </c>
      <c r="BI671" t="s">
        <v>939</v>
      </c>
      <c r="BJ671" t="s">
        <v>125</v>
      </c>
      <c r="BM671">
        <v>0</v>
      </c>
      <c r="BN671">
        <v>3</v>
      </c>
      <c r="BO671">
        <v>3</v>
      </c>
      <c r="BP671" t="s">
        <v>80</v>
      </c>
      <c r="BR671">
        <v>0</v>
      </c>
      <c r="BS671">
        <v>6</v>
      </c>
      <c r="BU671">
        <v>3505105</v>
      </c>
    </row>
    <row r="672" spans="1:73" x14ac:dyDescent="0.3">
      <c r="A672" t="s">
        <v>3589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25000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73535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2</v>
      </c>
      <c r="BC672" s="1">
        <v>98535</v>
      </c>
      <c r="BD672" t="s">
        <v>74</v>
      </c>
      <c r="BE672" t="s">
        <v>3590</v>
      </c>
      <c r="BF672" t="s">
        <v>3591</v>
      </c>
      <c r="BH672" t="s">
        <v>77</v>
      </c>
      <c r="BI672" t="s">
        <v>593</v>
      </c>
      <c r="BJ672" t="s">
        <v>79</v>
      </c>
      <c r="BM672">
        <v>1</v>
      </c>
      <c r="BN672">
        <v>1</v>
      </c>
      <c r="BO672">
        <v>2</v>
      </c>
      <c r="BP672" t="s">
        <v>80</v>
      </c>
      <c r="BR672">
        <v>0</v>
      </c>
      <c r="BS672">
        <v>6</v>
      </c>
      <c r="BU672">
        <v>98535</v>
      </c>
    </row>
    <row r="673" spans="1:73" x14ac:dyDescent="0.3">
      <c r="A673" t="s">
        <v>3592</v>
      </c>
      <c r="B673">
        <v>1</v>
      </c>
      <c r="C673">
        <v>480773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 s="1">
        <v>480773</v>
      </c>
      <c r="BD673" t="s">
        <v>74</v>
      </c>
      <c r="BE673" t="s">
        <v>3593</v>
      </c>
      <c r="BF673" t="s">
        <v>3594</v>
      </c>
      <c r="BH673" t="s">
        <v>77</v>
      </c>
      <c r="BI673" t="s">
        <v>92</v>
      </c>
      <c r="BJ673" t="s">
        <v>79</v>
      </c>
      <c r="BM673">
        <v>0</v>
      </c>
      <c r="BN673">
        <v>1</v>
      </c>
      <c r="BO673">
        <v>1</v>
      </c>
      <c r="BP673" t="s">
        <v>80</v>
      </c>
      <c r="BR673">
        <v>0</v>
      </c>
      <c r="BS673">
        <v>6</v>
      </c>
      <c r="BU673">
        <v>480773</v>
      </c>
    </row>
    <row r="674" spans="1:73" x14ac:dyDescent="0.3">
      <c r="A674" t="s">
        <v>3595</v>
      </c>
      <c r="B674">
        <v>0</v>
      </c>
      <c r="C674">
        <v>0</v>
      </c>
      <c r="D674">
        <v>1</v>
      </c>
      <c r="E674">
        <v>300000</v>
      </c>
      <c r="F674">
        <v>0</v>
      </c>
      <c r="G674">
        <v>0</v>
      </c>
      <c r="H674">
        <v>1</v>
      </c>
      <c r="I674">
        <v>20000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2</v>
      </c>
      <c r="BC674" s="1">
        <v>320000</v>
      </c>
      <c r="BD674" t="s">
        <v>74</v>
      </c>
      <c r="BE674" t="s">
        <v>3596</v>
      </c>
      <c r="BF674" t="s">
        <v>3597</v>
      </c>
      <c r="BH674" t="s">
        <v>77</v>
      </c>
      <c r="BI674" t="s">
        <v>281</v>
      </c>
      <c r="BJ674" t="s">
        <v>79</v>
      </c>
      <c r="BM674">
        <v>0</v>
      </c>
      <c r="BN674">
        <v>2</v>
      </c>
      <c r="BO674">
        <v>2</v>
      </c>
      <c r="BP674" t="s">
        <v>80</v>
      </c>
      <c r="BR674">
        <v>0</v>
      </c>
      <c r="BS674">
        <v>6</v>
      </c>
      <c r="BU674">
        <v>320000</v>
      </c>
    </row>
    <row r="675" spans="1:73" x14ac:dyDescent="0.3">
      <c r="A675" t="s">
        <v>3601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2</v>
      </c>
      <c r="I675">
        <v>40000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</v>
      </c>
      <c r="BC675" s="1">
        <v>40000</v>
      </c>
      <c r="BD675" t="s">
        <v>74</v>
      </c>
      <c r="BE675" t="s">
        <v>3602</v>
      </c>
      <c r="BF675" t="s">
        <v>3603</v>
      </c>
      <c r="BH675" t="s">
        <v>77</v>
      </c>
      <c r="BI675" t="s">
        <v>593</v>
      </c>
      <c r="BJ675" t="s">
        <v>79</v>
      </c>
      <c r="BM675">
        <v>0</v>
      </c>
      <c r="BN675">
        <v>1</v>
      </c>
      <c r="BO675">
        <v>1</v>
      </c>
      <c r="BP675" t="s">
        <v>80</v>
      </c>
      <c r="BR675">
        <v>0</v>
      </c>
      <c r="BS675">
        <v>6</v>
      </c>
      <c r="BU675">
        <v>40000</v>
      </c>
    </row>
    <row r="676" spans="1:73" x14ac:dyDescent="0.3">
      <c r="A676" t="s">
        <v>3604</v>
      </c>
      <c r="B676">
        <v>0</v>
      </c>
      <c r="C676">
        <v>0</v>
      </c>
      <c r="D676">
        <v>6</v>
      </c>
      <c r="E676">
        <v>1171109</v>
      </c>
      <c r="F676">
        <v>0</v>
      </c>
      <c r="G676">
        <v>0</v>
      </c>
      <c r="H676">
        <v>8</v>
      </c>
      <c r="I676">
        <v>262218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12</v>
      </c>
      <c r="BC676" s="1">
        <v>2342218</v>
      </c>
      <c r="BD676" t="s">
        <v>74</v>
      </c>
      <c r="BE676" t="s">
        <v>3605</v>
      </c>
      <c r="BF676" t="s">
        <v>3606</v>
      </c>
      <c r="BH676" t="s">
        <v>77</v>
      </c>
      <c r="BI676" t="s">
        <v>88</v>
      </c>
      <c r="BJ676" t="s">
        <v>79</v>
      </c>
      <c r="BM676">
        <v>0</v>
      </c>
      <c r="BN676">
        <v>2</v>
      </c>
      <c r="BO676">
        <v>2</v>
      </c>
      <c r="BP676" t="s">
        <v>80</v>
      </c>
      <c r="BR676">
        <v>0</v>
      </c>
      <c r="BS676">
        <v>6</v>
      </c>
      <c r="BU676">
        <v>1433327</v>
      </c>
    </row>
    <row r="677" spans="1:73" x14ac:dyDescent="0.3">
      <c r="A677" t="s">
        <v>3607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41480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</v>
      </c>
      <c r="BC677" s="1">
        <v>41480</v>
      </c>
      <c r="BD677" t="s">
        <v>74</v>
      </c>
      <c r="BE677" t="s">
        <v>3608</v>
      </c>
      <c r="BF677" t="s">
        <v>3609</v>
      </c>
      <c r="BH677" t="s">
        <v>77</v>
      </c>
      <c r="BI677" t="s">
        <v>720</v>
      </c>
      <c r="BJ677" t="s">
        <v>79</v>
      </c>
      <c r="BM677">
        <v>0</v>
      </c>
      <c r="BN677">
        <v>1</v>
      </c>
      <c r="BO677">
        <v>1</v>
      </c>
      <c r="BP677" t="s">
        <v>80</v>
      </c>
      <c r="BR677">
        <v>0</v>
      </c>
      <c r="BS677">
        <v>6</v>
      </c>
      <c r="BU677">
        <v>41480</v>
      </c>
    </row>
    <row r="678" spans="1:73" x14ac:dyDescent="0.3">
      <c r="A678" t="s">
        <v>3614</v>
      </c>
      <c r="B678">
        <v>1</v>
      </c>
      <c r="C678">
        <v>345644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 s="1">
        <v>345644</v>
      </c>
      <c r="BD678" t="s">
        <v>74</v>
      </c>
      <c r="BE678" t="s">
        <v>3615</v>
      </c>
      <c r="BF678" t="s">
        <v>3616</v>
      </c>
      <c r="BH678" t="s">
        <v>114</v>
      </c>
      <c r="BI678" t="s">
        <v>3617</v>
      </c>
      <c r="BJ678" t="s">
        <v>79</v>
      </c>
      <c r="BM678">
        <v>0</v>
      </c>
      <c r="BN678">
        <v>1</v>
      </c>
      <c r="BO678">
        <v>1</v>
      </c>
      <c r="BP678" t="s">
        <v>80</v>
      </c>
      <c r="BR678">
        <v>0</v>
      </c>
      <c r="BS678">
        <v>6</v>
      </c>
      <c r="BU678">
        <v>345644</v>
      </c>
    </row>
    <row r="679" spans="1:73" x14ac:dyDescent="0.3">
      <c r="A679" t="s">
        <v>3618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</v>
      </c>
      <c r="I679">
        <v>10000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3</v>
      </c>
      <c r="BC679" s="1">
        <v>210000</v>
      </c>
      <c r="BD679" t="s">
        <v>74</v>
      </c>
      <c r="BE679" t="s">
        <v>3619</v>
      </c>
      <c r="BF679" t="s">
        <v>3620</v>
      </c>
      <c r="BH679" t="s">
        <v>77</v>
      </c>
      <c r="BI679" t="s">
        <v>574</v>
      </c>
      <c r="BJ679" t="s">
        <v>79</v>
      </c>
      <c r="BM679">
        <v>0</v>
      </c>
      <c r="BN679">
        <v>1</v>
      </c>
      <c r="BO679">
        <v>1</v>
      </c>
      <c r="BP679" t="s">
        <v>80</v>
      </c>
      <c r="BR679">
        <v>0</v>
      </c>
      <c r="BS679">
        <v>6</v>
      </c>
      <c r="BU679">
        <v>10000</v>
      </c>
    </row>
    <row r="680" spans="1:73" x14ac:dyDescent="0.3">
      <c r="A680" t="s">
        <v>3630</v>
      </c>
      <c r="B680">
        <v>1</v>
      </c>
      <c r="C680">
        <v>797944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 s="1">
        <v>797944</v>
      </c>
      <c r="BD680" t="s">
        <v>74</v>
      </c>
      <c r="BE680" t="s">
        <v>3631</v>
      </c>
      <c r="BF680" t="s">
        <v>3632</v>
      </c>
      <c r="BH680" t="s">
        <v>77</v>
      </c>
      <c r="BI680" t="s">
        <v>329</v>
      </c>
      <c r="BJ680" t="s">
        <v>79</v>
      </c>
      <c r="BM680">
        <v>0</v>
      </c>
      <c r="BN680">
        <v>1</v>
      </c>
      <c r="BO680">
        <v>1</v>
      </c>
      <c r="BP680" t="s">
        <v>80</v>
      </c>
      <c r="BR680">
        <v>0</v>
      </c>
      <c r="BS680">
        <v>0</v>
      </c>
      <c r="BU680">
        <v>797944</v>
      </c>
    </row>
    <row r="681" spans="1:73" x14ac:dyDescent="0.3">
      <c r="A681" t="s">
        <v>3633</v>
      </c>
      <c r="B681">
        <v>2</v>
      </c>
      <c r="C681">
        <v>399957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</v>
      </c>
      <c r="BC681" s="1">
        <v>399957</v>
      </c>
      <c r="BD681" t="s">
        <v>74</v>
      </c>
      <c r="BE681" t="s">
        <v>3634</v>
      </c>
      <c r="BF681" t="s">
        <v>3635</v>
      </c>
      <c r="BH681" t="s">
        <v>77</v>
      </c>
      <c r="BI681" t="s">
        <v>593</v>
      </c>
      <c r="BJ681" t="s">
        <v>79</v>
      </c>
      <c r="BM681">
        <v>0</v>
      </c>
      <c r="BN681">
        <v>1</v>
      </c>
      <c r="BO681">
        <v>1</v>
      </c>
      <c r="BP681" t="s">
        <v>80</v>
      </c>
      <c r="BR681">
        <v>0</v>
      </c>
      <c r="BS681">
        <v>6</v>
      </c>
      <c r="BU681">
        <v>399957</v>
      </c>
    </row>
    <row r="682" spans="1:73" x14ac:dyDescent="0.3">
      <c r="A682" t="s">
        <v>3636</v>
      </c>
      <c r="B682">
        <v>2</v>
      </c>
      <c r="C682">
        <v>762927</v>
      </c>
      <c r="D682">
        <v>7</v>
      </c>
      <c r="E682">
        <v>902128</v>
      </c>
      <c r="F682">
        <v>0</v>
      </c>
      <c r="G682">
        <v>0</v>
      </c>
      <c r="H682">
        <v>10</v>
      </c>
      <c r="I682">
        <v>236256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490201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150000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21</v>
      </c>
      <c r="BC682" s="1">
        <v>3774050</v>
      </c>
      <c r="BD682" t="s">
        <v>74</v>
      </c>
      <c r="BE682" t="s">
        <v>3637</v>
      </c>
      <c r="BF682" t="s">
        <v>3638</v>
      </c>
      <c r="BH682" t="s">
        <v>1464</v>
      </c>
      <c r="BI682" t="s">
        <v>1465</v>
      </c>
      <c r="BJ682" t="s">
        <v>125</v>
      </c>
      <c r="BM682">
        <v>1</v>
      </c>
      <c r="BN682">
        <v>3</v>
      </c>
      <c r="BO682">
        <v>4</v>
      </c>
      <c r="BP682" t="s">
        <v>80</v>
      </c>
      <c r="BR682">
        <v>0</v>
      </c>
      <c r="BS682">
        <v>6</v>
      </c>
      <c r="BU682">
        <v>2541512</v>
      </c>
    </row>
    <row r="683" spans="1:73" x14ac:dyDescent="0.3">
      <c r="A683" t="s">
        <v>3641</v>
      </c>
      <c r="B683">
        <v>0</v>
      </c>
      <c r="C683">
        <v>0</v>
      </c>
      <c r="D683">
        <v>2</v>
      </c>
      <c r="E683">
        <v>219091</v>
      </c>
      <c r="F683">
        <v>0</v>
      </c>
      <c r="G683">
        <v>0</v>
      </c>
      <c r="H683">
        <v>2</v>
      </c>
      <c r="I683">
        <v>40000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4</v>
      </c>
      <c r="BC683" s="1">
        <v>438182</v>
      </c>
      <c r="BD683" t="s">
        <v>74</v>
      </c>
      <c r="BE683" t="s">
        <v>3642</v>
      </c>
      <c r="BF683" t="s">
        <v>3643</v>
      </c>
      <c r="BH683" t="s">
        <v>77</v>
      </c>
      <c r="BI683" t="s">
        <v>228</v>
      </c>
      <c r="BJ683" t="s">
        <v>79</v>
      </c>
      <c r="BM683">
        <v>0</v>
      </c>
      <c r="BN683">
        <v>2</v>
      </c>
      <c r="BO683">
        <v>2</v>
      </c>
      <c r="BP683" t="s">
        <v>80</v>
      </c>
      <c r="BR683">
        <v>0</v>
      </c>
      <c r="BS683">
        <v>6</v>
      </c>
      <c r="BU683">
        <v>259091</v>
      </c>
    </row>
    <row r="684" spans="1:73" x14ac:dyDescent="0.3">
      <c r="A684" t="s">
        <v>3644</v>
      </c>
      <c r="B684">
        <v>0</v>
      </c>
      <c r="C684">
        <v>0</v>
      </c>
      <c r="D684">
        <v>1</v>
      </c>
      <c r="E684">
        <v>270000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 s="1">
        <v>270000</v>
      </c>
      <c r="BD684" t="s">
        <v>74</v>
      </c>
      <c r="BE684" t="s">
        <v>3645</v>
      </c>
      <c r="BF684" t="s">
        <v>3646</v>
      </c>
      <c r="BH684" t="s">
        <v>77</v>
      </c>
      <c r="BI684" t="s">
        <v>574</v>
      </c>
      <c r="BJ684" t="s">
        <v>79</v>
      </c>
      <c r="BM684">
        <v>0</v>
      </c>
      <c r="BN684">
        <v>1</v>
      </c>
      <c r="BO684">
        <v>1</v>
      </c>
      <c r="BP684" t="s">
        <v>80</v>
      </c>
      <c r="BR684">
        <v>0</v>
      </c>
      <c r="BS684">
        <v>6</v>
      </c>
      <c r="BU684">
        <v>270000</v>
      </c>
    </row>
    <row r="685" spans="1:73" x14ac:dyDescent="0.3">
      <c r="A685" t="s">
        <v>3647</v>
      </c>
      <c r="B685">
        <v>1</v>
      </c>
      <c r="C685">
        <v>361132</v>
      </c>
      <c r="D685">
        <v>2</v>
      </c>
      <c r="E685">
        <v>360000</v>
      </c>
      <c r="F685">
        <v>0</v>
      </c>
      <c r="G685">
        <v>0</v>
      </c>
      <c r="H685">
        <v>4</v>
      </c>
      <c r="I685">
        <v>90000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7</v>
      </c>
      <c r="BC685" s="1">
        <v>1131132</v>
      </c>
      <c r="BD685" t="s">
        <v>74</v>
      </c>
      <c r="BE685" t="s">
        <v>3648</v>
      </c>
      <c r="BF685" t="s">
        <v>3649</v>
      </c>
      <c r="BH685" t="s">
        <v>77</v>
      </c>
      <c r="BI685" t="s">
        <v>92</v>
      </c>
      <c r="BJ685" t="s">
        <v>79</v>
      </c>
      <c r="BM685">
        <v>0</v>
      </c>
      <c r="BN685">
        <v>3</v>
      </c>
      <c r="BO685">
        <v>3</v>
      </c>
      <c r="BP685" t="s">
        <v>80</v>
      </c>
      <c r="BR685">
        <v>0</v>
      </c>
      <c r="BS685">
        <v>6</v>
      </c>
      <c r="BU685">
        <v>811132</v>
      </c>
    </row>
    <row r="686" spans="1:73" x14ac:dyDescent="0.3">
      <c r="A686" t="s">
        <v>3650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73535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 s="1">
        <v>73535</v>
      </c>
      <c r="BD686" t="s">
        <v>74</v>
      </c>
      <c r="BE686" t="s">
        <v>3651</v>
      </c>
      <c r="BF686" t="s">
        <v>3652</v>
      </c>
      <c r="BH686" t="s">
        <v>77</v>
      </c>
      <c r="BI686" t="s">
        <v>204</v>
      </c>
      <c r="BJ686" t="s">
        <v>79</v>
      </c>
      <c r="BM686">
        <v>1</v>
      </c>
      <c r="BN686">
        <v>0</v>
      </c>
      <c r="BO686">
        <v>1</v>
      </c>
      <c r="BP686" t="s">
        <v>80</v>
      </c>
      <c r="BR686">
        <v>0</v>
      </c>
      <c r="BS686">
        <v>0</v>
      </c>
      <c r="BU686">
        <v>73535</v>
      </c>
    </row>
    <row r="687" spans="1:73" x14ac:dyDescent="0.3">
      <c r="A687" t="s">
        <v>3656</v>
      </c>
      <c r="B687">
        <v>0</v>
      </c>
      <c r="C687">
        <v>0</v>
      </c>
      <c r="D687">
        <v>1</v>
      </c>
      <c r="E687">
        <v>270000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 s="1">
        <v>270000</v>
      </c>
      <c r="BD687" t="s">
        <v>74</v>
      </c>
      <c r="BE687" t="s">
        <v>3657</v>
      </c>
      <c r="BF687" t="s">
        <v>3658</v>
      </c>
      <c r="BH687" t="s">
        <v>77</v>
      </c>
      <c r="BI687" t="s">
        <v>574</v>
      </c>
      <c r="BJ687" t="s">
        <v>79</v>
      </c>
      <c r="BM687">
        <v>0</v>
      </c>
      <c r="BN687">
        <v>1</v>
      </c>
      <c r="BO687">
        <v>1</v>
      </c>
      <c r="BP687" t="s">
        <v>80</v>
      </c>
      <c r="BR687">
        <v>0</v>
      </c>
      <c r="BS687">
        <v>6</v>
      </c>
      <c r="BU687">
        <v>270000</v>
      </c>
    </row>
    <row r="688" spans="1:73" x14ac:dyDescent="0.3">
      <c r="A688" t="s">
        <v>3659</v>
      </c>
      <c r="B688">
        <v>1</v>
      </c>
      <c r="C688">
        <v>44545</v>
      </c>
      <c r="D688">
        <v>1</v>
      </c>
      <c r="E688">
        <v>246857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4</v>
      </c>
      <c r="BC688" s="1">
        <v>761116</v>
      </c>
      <c r="BD688" t="s">
        <v>74</v>
      </c>
      <c r="BE688" t="s">
        <v>3660</v>
      </c>
      <c r="BF688" t="s">
        <v>3661</v>
      </c>
      <c r="BH688" t="s">
        <v>136</v>
      </c>
      <c r="BI688" t="s">
        <v>191</v>
      </c>
      <c r="BJ688" t="s">
        <v>125</v>
      </c>
      <c r="BM688">
        <v>0</v>
      </c>
      <c r="BN688">
        <v>2</v>
      </c>
      <c r="BO688">
        <v>2</v>
      </c>
      <c r="BP688" t="s">
        <v>80</v>
      </c>
      <c r="BR688">
        <v>0</v>
      </c>
      <c r="BS688">
        <v>6</v>
      </c>
      <c r="BU688">
        <v>291402</v>
      </c>
    </row>
    <row r="689" spans="1:73" x14ac:dyDescent="0.3">
      <c r="A689" t="s">
        <v>3665</v>
      </c>
      <c r="B689">
        <v>4</v>
      </c>
      <c r="C689">
        <v>594886</v>
      </c>
      <c r="D689">
        <v>2</v>
      </c>
      <c r="E689">
        <v>207779</v>
      </c>
      <c r="F689">
        <v>0</v>
      </c>
      <c r="G689">
        <v>0</v>
      </c>
      <c r="H689">
        <v>11</v>
      </c>
      <c r="I689">
        <v>293326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8334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17</v>
      </c>
      <c r="BC689" s="1">
        <v>1060182</v>
      </c>
      <c r="BD689" t="s">
        <v>74</v>
      </c>
      <c r="BE689" t="s">
        <v>3666</v>
      </c>
      <c r="BF689" t="s">
        <v>3667</v>
      </c>
      <c r="BH689" t="s">
        <v>77</v>
      </c>
      <c r="BI689" t="s">
        <v>204</v>
      </c>
      <c r="BJ689" t="s">
        <v>79</v>
      </c>
      <c r="BM689">
        <v>1</v>
      </c>
      <c r="BN689">
        <v>3</v>
      </c>
      <c r="BO689">
        <v>4</v>
      </c>
      <c r="BP689" t="s">
        <v>80</v>
      </c>
      <c r="BR689">
        <v>0</v>
      </c>
      <c r="BS689">
        <v>6</v>
      </c>
      <c r="BU689">
        <v>1104325</v>
      </c>
    </row>
    <row r="690" spans="1:73" x14ac:dyDescent="0.3">
      <c r="A690" t="s">
        <v>3671</v>
      </c>
      <c r="B690">
        <v>1</v>
      </c>
      <c r="C690">
        <v>327389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57208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4</v>
      </c>
      <c r="BC690" s="1">
        <v>487382</v>
      </c>
      <c r="BD690" t="s">
        <v>74</v>
      </c>
      <c r="BE690" t="s">
        <v>3672</v>
      </c>
      <c r="BF690" t="s">
        <v>3673</v>
      </c>
      <c r="BH690" t="s">
        <v>77</v>
      </c>
      <c r="BI690" t="s">
        <v>720</v>
      </c>
      <c r="BJ690" t="s">
        <v>79</v>
      </c>
      <c r="BM690">
        <v>1</v>
      </c>
      <c r="BN690">
        <v>1</v>
      </c>
      <c r="BO690">
        <v>2</v>
      </c>
      <c r="BP690" t="s">
        <v>80</v>
      </c>
      <c r="BR690">
        <v>0</v>
      </c>
      <c r="BS690">
        <v>0</v>
      </c>
      <c r="BU690">
        <v>384597</v>
      </c>
    </row>
    <row r="691" spans="1:73" x14ac:dyDescent="0.3">
      <c r="A691" t="s">
        <v>3674</v>
      </c>
      <c r="B691">
        <v>0</v>
      </c>
      <c r="C691">
        <v>0</v>
      </c>
      <c r="D691">
        <v>8</v>
      </c>
      <c r="E691">
        <v>6304732</v>
      </c>
      <c r="F691">
        <v>0</v>
      </c>
      <c r="G691">
        <v>0</v>
      </c>
      <c r="H691">
        <v>14</v>
      </c>
      <c r="I691">
        <v>609464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333334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17</v>
      </c>
      <c r="BC691" s="1">
        <v>12942798</v>
      </c>
      <c r="BD691" t="s">
        <v>74</v>
      </c>
      <c r="BE691" t="s">
        <v>3675</v>
      </c>
      <c r="BF691" t="s">
        <v>3676</v>
      </c>
      <c r="BH691" t="s">
        <v>77</v>
      </c>
      <c r="BI691" t="s">
        <v>574</v>
      </c>
      <c r="BJ691" t="s">
        <v>79</v>
      </c>
      <c r="BM691">
        <v>1</v>
      </c>
      <c r="BN691">
        <v>2</v>
      </c>
      <c r="BO691">
        <v>3</v>
      </c>
      <c r="BP691" t="s">
        <v>80</v>
      </c>
      <c r="BR691">
        <v>0</v>
      </c>
      <c r="BS691">
        <v>5</v>
      </c>
      <c r="BU691">
        <v>7247530</v>
      </c>
    </row>
    <row r="692" spans="1:73" x14ac:dyDescent="0.3">
      <c r="A692" t="s">
        <v>3685</v>
      </c>
      <c r="B692">
        <v>1</v>
      </c>
      <c r="C692">
        <v>317273</v>
      </c>
      <c r="D692">
        <v>12</v>
      </c>
      <c r="E692">
        <v>2778660</v>
      </c>
      <c r="F692">
        <v>0</v>
      </c>
      <c r="G692">
        <v>0</v>
      </c>
      <c r="H692">
        <v>20</v>
      </c>
      <c r="I692">
        <v>457320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31666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26</v>
      </c>
      <c r="BC692" s="1">
        <v>5637925</v>
      </c>
      <c r="BD692" t="s">
        <v>74</v>
      </c>
      <c r="BE692" t="s">
        <v>3686</v>
      </c>
      <c r="BF692" t="s">
        <v>3687</v>
      </c>
      <c r="BH692" t="s">
        <v>77</v>
      </c>
      <c r="BI692" t="s">
        <v>84</v>
      </c>
      <c r="BJ692" t="s">
        <v>79</v>
      </c>
      <c r="BM692">
        <v>1</v>
      </c>
      <c r="BN692">
        <v>3</v>
      </c>
      <c r="BO692">
        <v>4</v>
      </c>
      <c r="BP692" t="s">
        <v>80</v>
      </c>
      <c r="BR692">
        <v>0</v>
      </c>
      <c r="BS692">
        <v>6</v>
      </c>
      <c r="BU692">
        <v>3584919</v>
      </c>
    </row>
    <row r="693" spans="1:73" x14ac:dyDescent="0.3">
      <c r="A693" t="s">
        <v>3691</v>
      </c>
      <c r="B693">
        <v>16</v>
      </c>
      <c r="C693">
        <v>5620680</v>
      </c>
      <c r="D693">
        <v>1</v>
      </c>
      <c r="E693">
        <v>500000</v>
      </c>
      <c r="F693">
        <v>0</v>
      </c>
      <c r="G693">
        <v>0</v>
      </c>
      <c r="H693">
        <v>1</v>
      </c>
      <c r="I693">
        <v>20000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67878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21</v>
      </c>
      <c r="BC693" s="1">
        <v>6312547</v>
      </c>
      <c r="BD693" t="s">
        <v>74</v>
      </c>
      <c r="BE693" t="s">
        <v>3692</v>
      </c>
      <c r="BF693" t="s">
        <v>3693</v>
      </c>
      <c r="BH693" t="s">
        <v>77</v>
      </c>
      <c r="BI693" t="s">
        <v>129</v>
      </c>
      <c r="BJ693" t="s">
        <v>79</v>
      </c>
      <c r="BM693">
        <v>1</v>
      </c>
      <c r="BN693">
        <v>3</v>
      </c>
      <c r="BO693">
        <v>4</v>
      </c>
      <c r="BP693" t="s">
        <v>80</v>
      </c>
      <c r="BR693">
        <v>0</v>
      </c>
      <c r="BS693">
        <v>6</v>
      </c>
      <c r="BU693">
        <v>6208558</v>
      </c>
    </row>
    <row r="694" spans="1:73" x14ac:dyDescent="0.3">
      <c r="A694" t="s">
        <v>3694</v>
      </c>
      <c r="B694">
        <v>3</v>
      </c>
      <c r="C694">
        <v>848096</v>
      </c>
      <c r="D694">
        <v>1</v>
      </c>
      <c r="E694">
        <v>116365</v>
      </c>
      <c r="F694">
        <v>0</v>
      </c>
      <c r="G694">
        <v>0</v>
      </c>
      <c r="H694">
        <v>2</v>
      </c>
      <c r="I694">
        <v>40000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96439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10</v>
      </c>
      <c r="BC694" s="1">
        <v>1333496</v>
      </c>
      <c r="BD694" t="s">
        <v>74</v>
      </c>
      <c r="BE694" t="s">
        <v>3695</v>
      </c>
      <c r="BF694" t="s">
        <v>3696</v>
      </c>
      <c r="BH694" t="s">
        <v>136</v>
      </c>
      <c r="BI694" t="s">
        <v>333</v>
      </c>
      <c r="BJ694" t="s">
        <v>125</v>
      </c>
      <c r="BM694">
        <v>1</v>
      </c>
      <c r="BN694">
        <v>3</v>
      </c>
      <c r="BO694">
        <v>4</v>
      </c>
      <c r="BP694" t="s">
        <v>80</v>
      </c>
      <c r="BR694">
        <v>0</v>
      </c>
      <c r="BS694">
        <v>6</v>
      </c>
      <c r="BU694">
        <v>1100900</v>
      </c>
    </row>
    <row r="695" spans="1:73" x14ac:dyDescent="0.3">
      <c r="A695" t="s">
        <v>3700</v>
      </c>
      <c r="B695">
        <v>0</v>
      </c>
      <c r="C695">
        <v>0</v>
      </c>
      <c r="D695">
        <v>5</v>
      </c>
      <c r="E695">
        <v>3680000</v>
      </c>
      <c r="F695">
        <v>0</v>
      </c>
      <c r="G695">
        <v>0</v>
      </c>
      <c r="H695">
        <v>8</v>
      </c>
      <c r="I695">
        <v>160000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221830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20000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14</v>
      </c>
      <c r="BC695" s="1">
        <v>7675365</v>
      </c>
      <c r="BD695" t="s">
        <v>74</v>
      </c>
      <c r="BE695" t="s">
        <v>3701</v>
      </c>
      <c r="BF695" t="s">
        <v>3702</v>
      </c>
      <c r="BH695" t="s">
        <v>77</v>
      </c>
      <c r="BI695" t="s">
        <v>84</v>
      </c>
      <c r="BJ695" t="s">
        <v>79</v>
      </c>
      <c r="BM695">
        <v>2</v>
      </c>
      <c r="BN695">
        <v>2</v>
      </c>
      <c r="BO695">
        <v>4</v>
      </c>
      <c r="BP695" t="s">
        <v>80</v>
      </c>
      <c r="BR695">
        <v>0</v>
      </c>
      <c r="BS695">
        <v>6</v>
      </c>
      <c r="BU695">
        <v>4081830</v>
      </c>
    </row>
    <row r="696" spans="1:73" x14ac:dyDescent="0.3">
      <c r="A696" t="s">
        <v>3703</v>
      </c>
      <c r="B696">
        <v>2</v>
      </c>
      <c r="C696">
        <v>457923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</v>
      </c>
      <c r="BC696" s="1">
        <v>457923</v>
      </c>
      <c r="BD696" t="s">
        <v>74</v>
      </c>
      <c r="BE696" t="s">
        <v>3704</v>
      </c>
      <c r="BF696" t="s">
        <v>3705</v>
      </c>
      <c r="BM696">
        <v>0</v>
      </c>
      <c r="BN696">
        <v>1</v>
      </c>
      <c r="BO696">
        <v>1</v>
      </c>
      <c r="BP696" t="s">
        <v>80</v>
      </c>
      <c r="BR696">
        <v>0</v>
      </c>
      <c r="BS696">
        <v>6</v>
      </c>
      <c r="BU696">
        <v>457923</v>
      </c>
    </row>
    <row r="697" spans="1:73" x14ac:dyDescent="0.3">
      <c r="A697" t="s">
        <v>3709</v>
      </c>
      <c r="B697">
        <v>0</v>
      </c>
      <c r="C697">
        <v>0</v>
      </c>
      <c r="D697">
        <v>1</v>
      </c>
      <c r="E697">
        <v>7742</v>
      </c>
      <c r="F697">
        <v>0</v>
      </c>
      <c r="G697">
        <v>0</v>
      </c>
      <c r="H697">
        <v>2</v>
      </c>
      <c r="I697">
        <v>40000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4</v>
      </c>
      <c r="BC697" s="1">
        <v>55484</v>
      </c>
      <c r="BD697" t="s">
        <v>74</v>
      </c>
      <c r="BE697" t="s">
        <v>3710</v>
      </c>
      <c r="BF697" t="s">
        <v>3711</v>
      </c>
      <c r="BH697" t="s">
        <v>77</v>
      </c>
      <c r="BI697" t="s">
        <v>92</v>
      </c>
      <c r="BJ697" t="s">
        <v>79</v>
      </c>
      <c r="BM697">
        <v>0</v>
      </c>
      <c r="BN697">
        <v>2</v>
      </c>
      <c r="BO697">
        <v>2</v>
      </c>
      <c r="BP697" t="s">
        <v>80</v>
      </c>
      <c r="BR697">
        <v>0</v>
      </c>
      <c r="BS697">
        <v>6</v>
      </c>
      <c r="BU697">
        <v>47742</v>
      </c>
    </row>
    <row r="698" spans="1:73" x14ac:dyDescent="0.3">
      <c r="A698" t="s">
        <v>3712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152120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19792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5</v>
      </c>
      <c r="BC698" s="1">
        <v>265239</v>
      </c>
      <c r="BD698" t="s">
        <v>74</v>
      </c>
      <c r="BE698" t="s">
        <v>3713</v>
      </c>
      <c r="BF698" t="s">
        <v>3714</v>
      </c>
      <c r="BH698" t="s">
        <v>77</v>
      </c>
      <c r="BI698" t="s">
        <v>78</v>
      </c>
      <c r="BJ698" t="s">
        <v>79</v>
      </c>
      <c r="BM698">
        <v>2</v>
      </c>
      <c r="BN698">
        <v>0</v>
      </c>
      <c r="BO698">
        <v>2</v>
      </c>
      <c r="BP698" t="s">
        <v>80</v>
      </c>
      <c r="BR698">
        <v>0</v>
      </c>
      <c r="BS698">
        <v>6</v>
      </c>
      <c r="BU698">
        <v>171912</v>
      </c>
    </row>
    <row r="699" spans="1:73" x14ac:dyDescent="0.3">
      <c r="A699" t="s">
        <v>3715</v>
      </c>
      <c r="B699">
        <v>1</v>
      </c>
      <c r="C699">
        <v>294390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</v>
      </c>
      <c r="BC699" s="1">
        <v>294390</v>
      </c>
      <c r="BD699" t="s">
        <v>74</v>
      </c>
      <c r="BE699" t="s">
        <v>3716</v>
      </c>
      <c r="BF699" t="s">
        <v>3717</v>
      </c>
      <c r="BH699" t="s">
        <v>77</v>
      </c>
      <c r="BI699" t="s">
        <v>281</v>
      </c>
      <c r="BJ699" t="s">
        <v>79</v>
      </c>
      <c r="BM699">
        <v>0</v>
      </c>
      <c r="BN699">
        <v>1</v>
      </c>
      <c r="BO699">
        <v>1</v>
      </c>
      <c r="BP699" t="s">
        <v>80</v>
      </c>
      <c r="BR699">
        <v>0</v>
      </c>
      <c r="BS699">
        <v>6</v>
      </c>
      <c r="BU699">
        <v>294390</v>
      </c>
    </row>
    <row r="700" spans="1:73" x14ac:dyDescent="0.3">
      <c r="A700" t="s">
        <v>3718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73535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19792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2</v>
      </c>
      <c r="BC700" s="1">
        <v>93327</v>
      </c>
      <c r="BD700" t="s">
        <v>74</v>
      </c>
      <c r="BE700" t="s">
        <v>3719</v>
      </c>
      <c r="BF700" t="s">
        <v>3720</v>
      </c>
      <c r="BH700" t="s">
        <v>77</v>
      </c>
      <c r="BI700" t="s">
        <v>88</v>
      </c>
      <c r="BJ700" t="s">
        <v>79</v>
      </c>
      <c r="BM700">
        <v>2</v>
      </c>
      <c r="BN700">
        <v>0</v>
      </c>
      <c r="BO700">
        <v>2</v>
      </c>
      <c r="BP700" t="s">
        <v>80</v>
      </c>
      <c r="BR700">
        <v>0</v>
      </c>
      <c r="BS700">
        <v>0</v>
      </c>
      <c r="BU700">
        <v>93327</v>
      </c>
    </row>
    <row r="701" spans="1:73" x14ac:dyDescent="0.3">
      <c r="A701" t="s">
        <v>3721</v>
      </c>
      <c r="B701">
        <v>1</v>
      </c>
      <c r="C701">
        <v>466408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 s="1">
        <v>466408</v>
      </c>
      <c r="BD701" t="s">
        <v>74</v>
      </c>
      <c r="BE701" t="s">
        <v>3722</v>
      </c>
      <c r="BF701" t="s">
        <v>3723</v>
      </c>
      <c r="BH701" t="s">
        <v>77</v>
      </c>
      <c r="BI701" t="s">
        <v>88</v>
      </c>
      <c r="BJ701" t="s">
        <v>79</v>
      </c>
      <c r="BM701">
        <v>0</v>
      </c>
      <c r="BN701">
        <v>1</v>
      </c>
      <c r="BO701">
        <v>1</v>
      </c>
      <c r="BP701" t="s">
        <v>80</v>
      </c>
      <c r="BR701">
        <v>0</v>
      </c>
      <c r="BS701">
        <v>6</v>
      </c>
      <c r="BU701">
        <v>466408</v>
      </c>
    </row>
    <row r="702" spans="1:73" x14ac:dyDescent="0.3">
      <c r="A702" t="s">
        <v>3727</v>
      </c>
      <c r="B702">
        <v>0</v>
      </c>
      <c r="C702">
        <v>0</v>
      </c>
      <c r="D702">
        <v>1</v>
      </c>
      <c r="E702">
        <v>193200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</v>
      </c>
      <c r="BC702" s="1">
        <v>394316</v>
      </c>
      <c r="BD702" t="s">
        <v>74</v>
      </c>
      <c r="BE702" t="s">
        <v>3728</v>
      </c>
      <c r="BF702" t="s">
        <v>3729</v>
      </c>
      <c r="BH702" t="s">
        <v>77</v>
      </c>
      <c r="BI702" t="s">
        <v>92</v>
      </c>
      <c r="BJ702" t="s">
        <v>79</v>
      </c>
      <c r="BM702">
        <v>0</v>
      </c>
      <c r="BN702">
        <v>1</v>
      </c>
      <c r="BO702">
        <v>1</v>
      </c>
      <c r="BP702" t="s">
        <v>80</v>
      </c>
      <c r="BR702">
        <v>0</v>
      </c>
      <c r="BS702">
        <v>6</v>
      </c>
      <c r="BU702">
        <v>193200</v>
      </c>
    </row>
    <row r="703" spans="1:73" x14ac:dyDescent="0.3">
      <c r="A703" t="s">
        <v>3730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20000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 s="1">
        <v>20000</v>
      </c>
      <c r="BD703" t="s">
        <v>74</v>
      </c>
      <c r="BE703" t="s">
        <v>3731</v>
      </c>
      <c r="BF703" t="s">
        <v>3732</v>
      </c>
      <c r="BH703" t="s">
        <v>77</v>
      </c>
      <c r="BI703" t="s">
        <v>204</v>
      </c>
      <c r="BJ703" t="s">
        <v>79</v>
      </c>
      <c r="BM703">
        <v>0</v>
      </c>
      <c r="BN703">
        <v>1</v>
      </c>
      <c r="BO703">
        <v>1</v>
      </c>
      <c r="BP703" t="s">
        <v>514</v>
      </c>
      <c r="BR703">
        <v>0</v>
      </c>
      <c r="BS703">
        <v>6</v>
      </c>
      <c r="BU703">
        <v>20000</v>
      </c>
    </row>
    <row r="704" spans="1:73" x14ac:dyDescent="0.3">
      <c r="A704" t="s">
        <v>3733</v>
      </c>
      <c r="B704">
        <v>9</v>
      </c>
      <c r="C704">
        <v>4649571</v>
      </c>
      <c r="D704">
        <v>5</v>
      </c>
      <c r="E704">
        <v>1761622</v>
      </c>
      <c r="F704">
        <v>0</v>
      </c>
      <c r="G704">
        <v>0</v>
      </c>
      <c r="H704">
        <v>8</v>
      </c>
      <c r="I704">
        <v>323244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19</v>
      </c>
      <c r="BC704" s="1">
        <v>8172815</v>
      </c>
      <c r="BD704" t="s">
        <v>74</v>
      </c>
      <c r="BE704" t="s">
        <v>3734</v>
      </c>
      <c r="BF704" t="s">
        <v>3735</v>
      </c>
      <c r="BH704" t="s">
        <v>1464</v>
      </c>
      <c r="BI704" t="s">
        <v>2320</v>
      </c>
      <c r="BJ704" t="s">
        <v>125</v>
      </c>
      <c r="BM704">
        <v>0</v>
      </c>
      <c r="BN704">
        <v>3</v>
      </c>
      <c r="BO704">
        <v>3</v>
      </c>
      <c r="BP704" t="s">
        <v>80</v>
      </c>
      <c r="BR704">
        <v>0</v>
      </c>
      <c r="BS704">
        <v>6</v>
      </c>
      <c r="BU704">
        <v>6734437</v>
      </c>
    </row>
    <row r="705" spans="1:73" x14ac:dyDescent="0.3">
      <c r="A705" t="s">
        <v>3736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28</v>
      </c>
      <c r="Z705">
        <v>296968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54</v>
      </c>
      <c r="BC705" s="1">
        <v>686369</v>
      </c>
      <c r="BD705" t="s">
        <v>74</v>
      </c>
      <c r="BE705" t="s">
        <v>3737</v>
      </c>
      <c r="BF705" t="s">
        <v>3738</v>
      </c>
      <c r="BH705" t="s">
        <v>77</v>
      </c>
      <c r="BI705" t="s">
        <v>574</v>
      </c>
      <c r="BJ705" t="s">
        <v>79</v>
      </c>
      <c r="BM705">
        <v>1</v>
      </c>
      <c r="BN705">
        <v>0</v>
      </c>
      <c r="BO705">
        <v>1</v>
      </c>
      <c r="BP705" t="s">
        <v>514</v>
      </c>
      <c r="BR705">
        <v>0</v>
      </c>
      <c r="BS705">
        <v>6</v>
      </c>
      <c r="BU705">
        <v>296968</v>
      </c>
    </row>
    <row r="706" spans="1:73" x14ac:dyDescent="0.3">
      <c r="A706" t="s">
        <v>3739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73535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2</v>
      </c>
      <c r="BC706" s="1">
        <v>156490</v>
      </c>
      <c r="BD706" t="s">
        <v>74</v>
      </c>
      <c r="BE706" t="s">
        <v>3740</v>
      </c>
      <c r="BF706" t="s">
        <v>3741</v>
      </c>
      <c r="BH706" t="s">
        <v>77</v>
      </c>
      <c r="BI706" t="s">
        <v>593</v>
      </c>
      <c r="BJ706" t="s">
        <v>79</v>
      </c>
      <c r="BM706">
        <v>1</v>
      </c>
      <c r="BN706">
        <v>0</v>
      </c>
      <c r="BO706">
        <v>1</v>
      </c>
      <c r="BP706" t="s">
        <v>80</v>
      </c>
      <c r="BR706">
        <v>0</v>
      </c>
      <c r="BS706">
        <v>0</v>
      </c>
      <c r="BU706">
        <v>73535</v>
      </c>
    </row>
    <row r="707" spans="1:73" x14ac:dyDescent="0.3">
      <c r="A707" t="s">
        <v>3742</v>
      </c>
      <c r="B707">
        <v>0</v>
      </c>
      <c r="C707">
        <v>0</v>
      </c>
      <c r="D707">
        <v>1</v>
      </c>
      <c r="E707">
        <v>350000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</v>
      </c>
      <c r="BC707" s="1">
        <v>700000</v>
      </c>
      <c r="BD707" t="s">
        <v>74</v>
      </c>
      <c r="BE707" t="s">
        <v>3743</v>
      </c>
      <c r="BF707" t="s">
        <v>3744</v>
      </c>
      <c r="BH707" t="s">
        <v>77</v>
      </c>
      <c r="BI707" t="s">
        <v>593</v>
      </c>
      <c r="BJ707" t="s">
        <v>79</v>
      </c>
      <c r="BM707">
        <v>0</v>
      </c>
      <c r="BN707">
        <v>1</v>
      </c>
      <c r="BO707">
        <v>1</v>
      </c>
      <c r="BP707" t="s">
        <v>80</v>
      </c>
      <c r="BR707">
        <v>0</v>
      </c>
      <c r="BS707">
        <v>6</v>
      </c>
      <c r="BU707">
        <v>350000</v>
      </c>
    </row>
    <row r="708" spans="1:73" x14ac:dyDescent="0.3">
      <c r="A708" t="s">
        <v>3745</v>
      </c>
      <c r="B708">
        <v>0</v>
      </c>
      <c r="C708">
        <v>0</v>
      </c>
      <c r="D708">
        <v>4</v>
      </c>
      <c r="E708">
        <v>1124374</v>
      </c>
      <c r="F708">
        <v>0</v>
      </c>
      <c r="G708">
        <v>0</v>
      </c>
      <c r="H708">
        <v>4</v>
      </c>
      <c r="I708">
        <v>80000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24243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9</v>
      </c>
      <c r="BC708" s="1">
        <v>1837494</v>
      </c>
      <c r="BD708" t="s">
        <v>74</v>
      </c>
      <c r="BE708" t="s">
        <v>3746</v>
      </c>
      <c r="BF708" t="s">
        <v>3747</v>
      </c>
      <c r="BH708" t="s">
        <v>77</v>
      </c>
      <c r="BI708" t="s">
        <v>84</v>
      </c>
      <c r="BJ708" t="s">
        <v>79</v>
      </c>
      <c r="BM708">
        <v>1</v>
      </c>
      <c r="BN708">
        <v>2</v>
      </c>
      <c r="BO708">
        <v>3</v>
      </c>
      <c r="BP708" t="s">
        <v>80</v>
      </c>
      <c r="BR708">
        <v>0</v>
      </c>
      <c r="BS708">
        <v>6</v>
      </c>
      <c r="BU708">
        <v>1228617</v>
      </c>
    </row>
    <row r="709" spans="1:73" x14ac:dyDescent="0.3">
      <c r="A709" t="s">
        <v>3748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78585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2</v>
      </c>
      <c r="BC709" s="1">
        <v>157170</v>
      </c>
      <c r="BD709" t="s">
        <v>74</v>
      </c>
      <c r="BE709" t="s">
        <v>3749</v>
      </c>
      <c r="BF709" t="s">
        <v>3750</v>
      </c>
      <c r="BH709" t="s">
        <v>77</v>
      </c>
      <c r="BI709" t="s">
        <v>204</v>
      </c>
      <c r="BJ709" t="s">
        <v>79</v>
      </c>
      <c r="BM709">
        <v>1</v>
      </c>
      <c r="BN709">
        <v>0</v>
      </c>
      <c r="BO709">
        <v>1</v>
      </c>
      <c r="BP709" t="s">
        <v>80</v>
      </c>
      <c r="BR709">
        <v>0</v>
      </c>
      <c r="BS709">
        <v>6</v>
      </c>
      <c r="BU709">
        <v>78585</v>
      </c>
    </row>
    <row r="710" spans="1:73" x14ac:dyDescent="0.3">
      <c r="A710" t="s">
        <v>3754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73535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 s="1">
        <v>73535</v>
      </c>
      <c r="BD710" t="s">
        <v>74</v>
      </c>
      <c r="BE710" t="s">
        <v>3755</v>
      </c>
      <c r="BF710" t="s">
        <v>3756</v>
      </c>
      <c r="BH710" t="s">
        <v>77</v>
      </c>
      <c r="BI710" t="s">
        <v>574</v>
      </c>
      <c r="BJ710" t="s">
        <v>79</v>
      </c>
      <c r="BM710">
        <v>1</v>
      </c>
      <c r="BN710">
        <v>0</v>
      </c>
      <c r="BO710">
        <v>1</v>
      </c>
      <c r="BP710" t="s">
        <v>80</v>
      </c>
      <c r="BR710">
        <v>0</v>
      </c>
      <c r="BS710">
        <v>0</v>
      </c>
      <c r="BU710">
        <v>73535</v>
      </c>
    </row>
    <row r="711" spans="1:73" x14ac:dyDescent="0.3">
      <c r="A711" t="s">
        <v>3757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73535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2</v>
      </c>
      <c r="BC711" s="1">
        <v>147070</v>
      </c>
      <c r="BD711" t="s">
        <v>74</v>
      </c>
      <c r="BE711" t="s">
        <v>3758</v>
      </c>
      <c r="BF711" t="s">
        <v>3759</v>
      </c>
      <c r="BH711" t="s">
        <v>77</v>
      </c>
      <c r="BI711" t="s">
        <v>204</v>
      </c>
      <c r="BJ711" t="s">
        <v>79</v>
      </c>
      <c r="BM711">
        <v>1</v>
      </c>
      <c r="BN711">
        <v>0</v>
      </c>
      <c r="BO711">
        <v>1</v>
      </c>
      <c r="BP711" t="s">
        <v>80</v>
      </c>
      <c r="BR711">
        <v>0</v>
      </c>
      <c r="BS711">
        <v>0</v>
      </c>
      <c r="BU711">
        <v>73535</v>
      </c>
    </row>
    <row r="712" spans="1:73" x14ac:dyDescent="0.3">
      <c r="A712" t="s">
        <v>3760</v>
      </c>
      <c r="B712">
        <v>0</v>
      </c>
      <c r="C712">
        <v>0</v>
      </c>
      <c r="D712">
        <v>4</v>
      </c>
      <c r="E712">
        <v>3070774</v>
      </c>
      <c r="F712">
        <v>0</v>
      </c>
      <c r="G712">
        <v>0</v>
      </c>
      <c r="H712">
        <v>6</v>
      </c>
      <c r="I712">
        <v>141548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8</v>
      </c>
      <c r="BC712" s="1">
        <v>6141548</v>
      </c>
      <c r="BD712" t="s">
        <v>74</v>
      </c>
      <c r="BE712" t="s">
        <v>3761</v>
      </c>
      <c r="BF712" t="s">
        <v>3735</v>
      </c>
      <c r="BH712" t="s">
        <v>77</v>
      </c>
      <c r="BI712" t="s">
        <v>574</v>
      </c>
      <c r="BJ712" t="s">
        <v>79</v>
      </c>
      <c r="BM712">
        <v>0</v>
      </c>
      <c r="BN712">
        <v>2</v>
      </c>
      <c r="BO712">
        <v>2</v>
      </c>
      <c r="BP712" t="s">
        <v>80</v>
      </c>
      <c r="BR712">
        <v>0</v>
      </c>
      <c r="BS712">
        <v>6</v>
      </c>
      <c r="BU712">
        <v>3212322</v>
      </c>
    </row>
    <row r="713" spans="1:73" x14ac:dyDescent="0.3">
      <c r="A713" t="s">
        <v>3762</v>
      </c>
      <c r="B713">
        <v>0</v>
      </c>
      <c r="C713">
        <v>0</v>
      </c>
      <c r="D713">
        <v>4</v>
      </c>
      <c r="E713">
        <v>984795</v>
      </c>
      <c r="F713">
        <v>0</v>
      </c>
      <c r="G713">
        <v>0</v>
      </c>
      <c r="H713">
        <v>6</v>
      </c>
      <c r="I713">
        <v>255304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8</v>
      </c>
      <c r="BC713" s="1">
        <v>1969590</v>
      </c>
      <c r="BD713" t="s">
        <v>74</v>
      </c>
      <c r="BE713" t="s">
        <v>3763</v>
      </c>
      <c r="BF713" t="s">
        <v>3764</v>
      </c>
      <c r="BH713" t="s">
        <v>77</v>
      </c>
      <c r="BI713" t="s">
        <v>593</v>
      </c>
      <c r="BJ713" t="s">
        <v>79</v>
      </c>
      <c r="BM713">
        <v>0</v>
      </c>
      <c r="BN713">
        <v>2</v>
      </c>
      <c r="BO713">
        <v>2</v>
      </c>
      <c r="BP713" t="s">
        <v>80</v>
      </c>
      <c r="BR713">
        <v>0</v>
      </c>
      <c r="BS713">
        <v>6</v>
      </c>
      <c r="BU713">
        <v>1240099</v>
      </c>
    </row>
    <row r="714" spans="1:73" x14ac:dyDescent="0.3">
      <c r="A714" t="s">
        <v>3768</v>
      </c>
      <c r="B714">
        <v>0</v>
      </c>
      <c r="C714">
        <v>0</v>
      </c>
      <c r="D714">
        <v>5</v>
      </c>
      <c r="E714">
        <v>1848835</v>
      </c>
      <c r="F714">
        <v>1</v>
      </c>
      <c r="G714">
        <v>9090909</v>
      </c>
      <c r="H714">
        <v>8</v>
      </c>
      <c r="I714">
        <v>269098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12</v>
      </c>
      <c r="BC714" s="1">
        <v>21879488</v>
      </c>
      <c r="BD714" t="s">
        <v>74</v>
      </c>
      <c r="BE714" t="s">
        <v>3769</v>
      </c>
      <c r="BF714" t="s">
        <v>3770</v>
      </c>
      <c r="BH714" t="s">
        <v>77</v>
      </c>
      <c r="BI714" t="s">
        <v>593</v>
      </c>
      <c r="BJ714" t="s">
        <v>79</v>
      </c>
      <c r="BM714">
        <v>0</v>
      </c>
      <c r="BN714">
        <v>3</v>
      </c>
      <c r="BO714">
        <v>3</v>
      </c>
      <c r="BP714" t="s">
        <v>80</v>
      </c>
      <c r="BR714">
        <v>0</v>
      </c>
      <c r="BS714">
        <v>4</v>
      </c>
      <c r="BU714">
        <v>11208842</v>
      </c>
    </row>
    <row r="715" spans="1:73" x14ac:dyDescent="0.3">
      <c r="A715" t="s">
        <v>3771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78585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 s="1">
        <v>78585</v>
      </c>
      <c r="BD715" t="s">
        <v>74</v>
      </c>
      <c r="BE715" t="s">
        <v>3772</v>
      </c>
      <c r="BF715" t="s">
        <v>3773</v>
      </c>
      <c r="BH715" t="s">
        <v>77</v>
      </c>
      <c r="BI715" t="s">
        <v>88</v>
      </c>
      <c r="BJ715" t="s">
        <v>79</v>
      </c>
      <c r="BM715">
        <v>1</v>
      </c>
      <c r="BN715">
        <v>0</v>
      </c>
      <c r="BO715">
        <v>1</v>
      </c>
      <c r="BP715" t="s">
        <v>80</v>
      </c>
      <c r="BR715">
        <v>0</v>
      </c>
      <c r="BS715">
        <v>0</v>
      </c>
      <c r="BU715">
        <v>78585</v>
      </c>
    </row>
    <row r="716" spans="1:73" x14ac:dyDescent="0.3">
      <c r="A716" t="s">
        <v>3774</v>
      </c>
      <c r="B716">
        <v>0</v>
      </c>
      <c r="C716">
        <v>0</v>
      </c>
      <c r="D716">
        <v>1</v>
      </c>
      <c r="E716">
        <v>350000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</v>
      </c>
      <c r="BC716" s="1">
        <v>700000</v>
      </c>
      <c r="BD716" t="s">
        <v>74</v>
      </c>
      <c r="BE716" t="s">
        <v>3775</v>
      </c>
      <c r="BF716" t="s">
        <v>3776</v>
      </c>
      <c r="BH716" t="s">
        <v>77</v>
      </c>
      <c r="BI716" t="s">
        <v>228</v>
      </c>
      <c r="BJ716" t="s">
        <v>79</v>
      </c>
      <c r="BM716">
        <v>0</v>
      </c>
      <c r="BN716">
        <v>1</v>
      </c>
      <c r="BO716">
        <v>1</v>
      </c>
      <c r="BP716" t="s">
        <v>80</v>
      </c>
      <c r="BR716">
        <v>0</v>
      </c>
      <c r="BS716">
        <v>6</v>
      </c>
      <c r="BU716">
        <v>350000</v>
      </c>
    </row>
    <row r="717" spans="1:73" x14ac:dyDescent="0.3">
      <c r="A717" t="s">
        <v>3777</v>
      </c>
      <c r="B717">
        <v>0</v>
      </c>
      <c r="C717">
        <v>0</v>
      </c>
      <c r="D717">
        <v>9</v>
      </c>
      <c r="E717">
        <v>4768927</v>
      </c>
      <c r="F717">
        <v>0</v>
      </c>
      <c r="G717">
        <v>0</v>
      </c>
      <c r="H717">
        <v>12</v>
      </c>
      <c r="I717">
        <v>823568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29334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19</v>
      </c>
      <c r="BC717" s="1">
        <v>9567188</v>
      </c>
      <c r="BD717" t="s">
        <v>74</v>
      </c>
      <c r="BE717" t="s">
        <v>3778</v>
      </c>
      <c r="BF717" t="s">
        <v>1781</v>
      </c>
      <c r="BH717" t="s">
        <v>77</v>
      </c>
      <c r="BI717" t="s">
        <v>129</v>
      </c>
      <c r="BJ717" t="s">
        <v>79</v>
      </c>
      <c r="BM717">
        <v>1</v>
      </c>
      <c r="BN717">
        <v>2</v>
      </c>
      <c r="BO717">
        <v>3</v>
      </c>
      <c r="BP717" t="s">
        <v>80</v>
      </c>
      <c r="BR717">
        <v>0</v>
      </c>
      <c r="BS717">
        <v>6</v>
      </c>
      <c r="BU717">
        <v>5621829</v>
      </c>
    </row>
    <row r="718" spans="1:73" x14ac:dyDescent="0.3">
      <c r="A718" t="s">
        <v>3779</v>
      </c>
      <c r="B718">
        <v>0</v>
      </c>
      <c r="C718">
        <v>0</v>
      </c>
      <c r="D718">
        <v>1</v>
      </c>
      <c r="E718">
        <v>350000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2</v>
      </c>
      <c r="BC718" s="1">
        <v>700000</v>
      </c>
      <c r="BD718" t="s">
        <v>74</v>
      </c>
      <c r="BE718" t="s">
        <v>3780</v>
      </c>
      <c r="BF718" t="s">
        <v>3781</v>
      </c>
      <c r="BH718" t="s">
        <v>77</v>
      </c>
      <c r="BI718" t="s">
        <v>92</v>
      </c>
      <c r="BJ718" t="s">
        <v>79</v>
      </c>
      <c r="BM718">
        <v>0</v>
      </c>
      <c r="BN718">
        <v>1</v>
      </c>
      <c r="BO718">
        <v>1</v>
      </c>
      <c r="BP718" t="s">
        <v>80</v>
      </c>
      <c r="BR718">
        <v>0</v>
      </c>
      <c r="BS718">
        <v>6</v>
      </c>
      <c r="BU718">
        <v>350000</v>
      </c>
    </row>
    <row r="719" spans="1:73" x14ac:dyDescent="0.3">
      <c r="A719" t="s">
        <v>3782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73535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 s="1">
        <v>73535</v>
      </c>
      <c r="BD719" t="s">
        <v>74</v>
      </c>
      <c r="BE719" t="s">
        <v>3783</v>
      </c>
      <c r="BF719" t="s">
        <v>3784</v>
      </c>
      <c r="BH719" t="s">
        <v>77</v>
      </c>
      <c r="BI719" t="s">
        <v>281</v>
      </c>
      <c r="BJ719" t="s">
        <v>79</v>
      </c>
      <c r="BM719">
        <v>1</v>
      </c>
      <c r="BN719">
        <v>0</v>
      </c>
      <c r="BO719">
        <v>1</v>
      </c>
      <c r="BP719" t="s">
        <v>80</v>
      </c>
      <c r="BR719">
        <v>0</v>
      </c>
      <c r="BS719">
        <v>0</v>
      </c>
      <c r="BU719">
        <v>73535</v>
      </c>
    </row>
    <row r="720" spans="1:73" x14ac:dyDescent="0.3">
      <c r="A720" t="s">
        <v>3785</v>
      </c>
      <c r="B720">
        <v>3</v>
      </c>
      <c r="C720">
        <v>575995</v>
      </c>
      <c r="D720">
        <v>3</v>
      </c>
      <c r="E720">
        <v>1840000</v>
      </c>
      <c r="F720">
        <v>0</v>
      </c>
      <c r="G720">
        <v>0</v>
      </c>
      <c r="H720">
        <v>4</v>
      </c>
      <c r="I720">
        <v>80000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9</v>
      </c>
      <c r="BC720" s="1">
        <v>4255995</v>
      </c>
      <c r="BD720" t="s">
        <v>74</v>
      </c>
      <c r="BE720" t="s">
        <v>3786</v>
      </c>
      <c r="BF720" t="s">
        <v>3787</v>
      </c>
      <c r="BH720" t="s">
        <v>77</v>
      </c>
      <c r="BI720" t="s">
        <v>129</v>
      </c>
      <c r="BJ720" t="s">
        <v>79</v>
      </c>
      <c r="BM720">
        <v>0</v>
      </c>
      <c r="BN720">
        <v>3</v>
      </c>
      <c r="BO720">
        <v>3</v>
      </c>
      <c r="BP720" t="s">
        <v>80</v>
      </c>
      <c r="BR720">
        <v>0</v>
      </c>
      <c r="BS720">
        <v>6</v>
      </c>
      <c r="BU720">
        <v>2495995</v>
      </c>
    </row>
    <row r="721" spans="1:73" x14ac:dyDescent="0.3">
      <c r="A721" t="s">
        <v>3788</v>
      </c>
      <c r="B721">
        <v>2</v>
      </c>
      <c r="C721">
        <v>276016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2</v>
      </c>
      <c r="BC721" s="1">
        <v>276016</v>
      </c>
      <c r="BD721" t="s">
        <v>74</v>
      </c>
      <c r="BE721" t="s">
        <v>3789</v>
      </c>
      <c r="BF721" t="s">
        <v>3790</v>
      </c>
      <c r="BH721" t="s">
        <v>77</v>
      </c>
      <c r="BI721" t="s">
        <v>204</v>
      </c>
      <c r="BJ721" t="s">
        <v>79</v>
      </c>
      <c r="BM721">
        <v>0</v>
      </c>
      <c r="BN721">
        <v>1</v>
      </c>
      <c r="BO721">
        <v>1</v>
      </c>
      <c r="BP721" t="s">
        <v>80</v>
      </c>
      <c r="BR721">
        <v>0</v>
      </c>
      <c r="BS721">
        <v>6</v>
      </c>
      <c r="BU721">
        <v>276016</v>
      </c>
    </row>
    <row r="722" spans="1:73" x14ac:dyDescent="0.3">
      <c r="A722" t="s">
        <v>3791</v>
      </c>
      <c r="B722">
        <v>1</v>
      </c>
      <c r="C722">
        <v>270692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  <c r="BC722" s="1">
        <v>270692</v>
      </c>
      <c r="BD722" t="s">
        <v>74</v>
      </c>
      <c r="BE722" t="s">
        <v>3792</v>
      </c>
      <c r="BF722" t="s">
        <v>3793</v>
      </c>
      <c r="BH722" t="s">
        <v>77</v>
      </c>
      <c r="BI722" t="s">
        <v>88</v>
      </c>
      <c r="BJ722" t="s">
        <v>79</v>
      </c>
      <c r="BM722">
        <v>0</v>
      </c>
      <c r="BN722">
        <v>1</v>
      </c>
      <c r="BO722">
        <v>1</v>
      </c>
      <c r="BP722" t="s">
        <v>80</v>
      </c>
      <c r="BR722">
        <v>0</v>
      </c>
      <c r="BS722">
        <v>6</v>
      </c>
      <c r="BU722">
        <v>270692</v>
      </c>
    </row>
    <row r="723" spans="1:73" x14ac:dyDescent="0.3">
      <c r="A723" t="s">
        <v>3797</v>
      </c>
      <c r="B723">
        <v>0</v>
      </c>
      <c r="C723">
        <v>0</v>
      </c>
      <c r="D723">
        <v>2</v>
      </c>
      <c r="E723">
        <v>210909</v>
      </c>
      <c r="F723">
        <v>0</v>
      </c>
      <c r="G723">
        <v>0</v>
      </c>
      <c r="H723">
        <v>2</v>
      </c>
      <c r="I723">
        <v>40000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4</v>
      </c>
      <c r="BC723" s="1">
        <v>421818</v>
      </c>
      <c r="BD723" t="s">
        <v>74</v>
      </c>
      <c r="BE723" t="s">
        <v>3798</v>
      </c>
      <c r="BF723" t="s">
        <v>3799</v>
      </c>
      <c r="BH723" t="s">
        <v>77</v>
      </c>
      <c r="BI723" t="s">
        <v>720</v>
      </c>
      <c r="BJ723" t="s">
        <v>79</v>
      </c>
      <c r="BM723">
        <v>0</v>
      </c>
      <c r="BN723">
        <v>2</v>
      </c>
      <c r="BO723">
        <v>2</v>
      </c>
      <c r="BP723" t="s">
        <v>80</v>
      </c>
      <c r="BR723">
        <v>0</v>
      </c>
      <c r="BS723">
        <v>6</v>
      </c>
      <c r="BU723">
        <v>250909</v>
      </c>
    </row>
    <row r="724" spans="1:73" x14ac:dyDescent="0.3">
      <c r="A724" t="s">
        <v>3802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19792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 s="1">
        <v>19792</v>
      </c>
      <c r="BD724" t="s">
        <v>74</v>
      </c>
      <c r="BE724" t="s">
        <v>3803</v>
      </c>
      <c r="BF724" t="s">
        <v>3804</v>
      </c>
      <c r="BH724" t="s">
        <v>77</v>
      </c>
      <c r="BI724" t="s">
        <v>92</v>
      </c>
      <c r="BJ724" t="s">
        <v>79</v>
      </c>
      <c r="BM724">
        <v>1</v>
      </c>
      <c r="BN724">
        <v>0</v>
      </c>
      <c r="BO724">
        <v>1</v>
      </c>
      <c r="BP724" t="s">
        <v>80</v>
      </c>
      <c r="BR724">
        <v>0</v>
      </c>
      <c r="BS724">
        <v>0</v>
      </c>
      <c r="BU724">
        <v>19792</v>
      </c>
    </row>
    <row r="725" spans="1:73" x14ac:dyDescent="0.3">
      <c r="A725" t="s">
        <v>3805</v>
      </c>
      <c r="B725">
        <v>5</v>
      </c>
      <c r="C725">
        <v>1260494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5</v>
      </c>
      <c r="BC725" s="1">
        <v>1260494</v>
      </c>
      <c r="BD725" t="s">
        <v>74</v>
      </c>
      <c r="BE725" t="s">
        <v>3806</v>
      </c>
      <c r="BF725" t="s">
        <v>3807</v>
      </c>
      <c r="BH725" t="s">
        <v>77</v>
      </c>
      <c r="BI725" t="s">
        <v>204</v>
      </c>
      <c r="BJ725" t="s">
        <v>79</v>
      </c>
      <c r="BM725">
        <v>0</v>
      </c>
      <c r="BN725">
        <v>1</v>
      </c>
      <c r="BO725">
        <v>1</v>
      </c>
      <c r="BP725" t="s">
        <v>80</v>
      </c>
      <c r="BR725">
        <v>0</v>
      </c>
      <c r="BS725">
        <v>6</v>
      </c>
      <c r="BU725">
        <v>1260494</v>
      </c>
    </row>
    <row r="726" spans="1:73" x14ac:dyDescent="0.3">
      <c r="A726" t="s">
        <v>3813</v>
      </c>
      <c r="B726">
        <v>9</v>
      </c>
      <c r="C726">
        <v>2985562</v>
      </c>
      <c r="D726">
        <v>3</v>
      </c>
      <c r="E726">
        <v>1240000</v>
      </c>
      <c r="F726">
        <v>0</v>
      </c>
      <c r="G726">
        <v>0</v>
      </c>
      <c r="H726">
        <v>4</v>
      </c>
      <c r="I726">
        <v>80000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15</v>
      </c>
      <c r="BC726" s="1">
        <v>5465562</v>
      </c>
      <c r="BD726" t="s">
        <v>74</v>
      </c>
      <c r="BE726" t="s">
        <v>3814</v>
      </c>
      <c r="BF726" t="s">
        <v>3815</v>
      </c>
      <c r="BH726" t="s">
        <v>136</v>
      </c>
      <c r="BI726" t="s">
        <v>191</v>
      </c>
      <c r="BJ726" t="s">
        <v>125</v>
      </c>
      <c r="BM726">
        <v>0</v>
      </c>
      <c r="BN726">
        <v>3</v>
      </c>
      <c r="BO726">
        <v>3</v>
      </c>
      <c r="BP726" t="s">
        <v>80</v>
      </c>
      <c r="BR726">
        <v>0</v>
      </c>
      <c r="BS726">
        <v>6</v>
      </c>
      <c r="BU726">
        <v>4305562</v>
      </c>
    </row>
    <row r="727" spans="1:73" x14ac:dyDescent="0.3">
      <c r="A727" t="s">
        <v>3816</v>
      </c>
      <c r="B727">
        <v>0</v>
      </c>
      <c r="C727">
        <v>0</v>
      </c>
      <c r="D727">
        <v>2</v>
      </c>
      <c r="E727">
        <v>84087</v>
      </c>
      <c r="F727">
        <v>0</v>
      </c>
      <c r="G727">
        <v>0</v>
      </c>
      <c r="H727">
        <v>1</v>
      </c>
      <c r="I727">
        <v>6667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3</v>
      </c>
      <c r="BC727" s="1">
        <v>161507</v>
      </c>
      <c r="BD727" t="s">
        <v>74</v>
      </c>
      <c r="BE727" t="s">
        <v>3817</v>
      </c>
      <c r="BF727" t="s">
        <v>3818</v>
      </c>
      <c r="BH727" t="s">
        <v>77</v>
      </c>
      <c r="BI727" t="s">
        <v>204</v>
      </c>
      <c r="BJ727" t="s">
        <v>79</v>
      </c>
      <c r="BM727">
        <v>0</v>
      </c>
      <c r="BN727">
        <v>2</v>
      </c>
      <c r="BO727">
        <v>2</v>
      </c>
      <c r="BP727" t="s">
        <v>80</v>
      </c>
      <c r="BR727">
        <v>0</v>
      </c>
      <c r="BS727">
        <v>6</v>
      </c>
      <c r="BU727">
        <v>90754</v>
      </c>
    </row>
    <row r="728" spans="1:73" x14ac:dyDescent="0.3">
      <c r="A728" t="s">
        <v>3822</v>
      </c>
      <c r="B728">
        <v>0</v>
      </c>
      <c r="C728">
        <v>0</v>
      </c>
      <c r="D728">
        <v>2</v>
      </c>
      <c r="E728">
        <v>360000</v>
      </c>
      <c r="F728">
        <v>0</v>
      </c>
      <c r="G728">
        <v>0</v>
      </c>
      <c r="H728">
        <v>2</v>
      </c>
      <c r="I728">
        <v>40000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4</v>
      </c>
      <c r="BC728" s="1">
        <v>720000</v>
      </c>
      <c r="BD728" t="s">
        <v>74</v>
      </c>
      <c r="BE728" t="s">
        <v>3823</v>
      </c>
      <c r="BF728" t="s">
        <v>3824</v>
      </c>
      <c r="BH728" t="s">
        <v>77</v>
      </c>
      <c r="BI728" t="s">
        <v>593</v>
      </c>
      <c r="BJ728" t="s">
        <v>79</v>
      </c>
      <c r="BM728">
        <v>0</v>
      </c>
      <c r="BN728">
        <v>2</v>
      </c>
      <c r="BO728">
        <v>2</v>
      </c>
      <c r="BP728" t="s">
        <v>80</v>
      </c>
      <c r="BR728">
        <v>0</v>
      </c>
      <c r="BS728">
        <v>6</v>
      </c>
      <c r="BU728">
        <v>400000</v>
      </c>
    </row>
    <row r="729" spans="1:73" x14ac:dyDescent="0.3">
      <c r="A729" t="s">
        <v>3828</v>
      </c>
      <c r="B729">
        <v>4</v>
      </c>
      <c r="C729">
        <v>1177877</v>
      </c>
      <c r="D729">
        <v>1</v>
      </c>
      <c r="E729">
        <v>1600000</v>
      </c>
      <c r="F729">
        <v>0</v>
      </c>
      <c r="G729">
        <v>0</v>
      </c>
      <c r="H729">
        <v>3</v>
      </c>
      <c r="I729">
        <v>60000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8</v>
      </c>
      <c r="BC729" s="1">
        <v>2837877</v>
      </c>
      <c r="BD729" t="s">
        <v>74</v>
      </c>
      <c r="BE729" t="s">
        <v>3829</v>
      </c>
      <c r="BF729" t="s">
        <v>3830</v>
      </c>
      <c r="BH729" t="s">
        <v>77</v>
      </c>
      <c r="BI729" t="s">
        <v>574</v>
      </c>
      <c r="BJ729" t="s">
        <v>79</v>
      </c>
      <c r="BM729">
        <v>0</v>
      </c>
      <c r="BN729">
        <v>3</v>
      </c>
      <c r="BO729">
        <v>3</v>
      </c>
      <c r="BP729" t="s">
        <v>80</v>
      </c>
      <c r="BR729">
        <v>0</v>
      </c>
      <c r="BS729">
        <v>6</v>
      </c>
      <c r="BU729">
        <v>2837877</v>
      </c>
    </row>
    <row r="730" spans="1:73" x14ac:dyDescent="0.3">
      <c r="A730" t="s">
        <v>3831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73535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</v>
      </c>
      <c r="BC730" s="1">
        <v>147070</v>
      </c>
      <c r="BD730" t="s">
        <v>74</v>
      </c>
      <c r="BE730" t="s">
        <v>3832</v>
      </c>
      <c r="BF730" t="s">
        <v>3833</v>
      </c>
      <c r="BH730" t="s">
        <v>77</v>
      </c>
      <c r="BI730" t="s">
        <v>204</v>
      </c>
      <c r="BJ730" t="s">
        <v>79</v>
      </c>
      <c r="BM730">
        <v>1</v>
      </c>
      <c r="BN730">
        <v>0</v>
      </c>
      <c r="BO730">
        <v>1</v>
      </c>
      <c r="BP730" t="s">
        <v>80</v>
      </c>
      <c r="BR730">
        <v>0</v>
      </c>
      <c r="BS730">
        <v>6</v>
      </c>
      <c r="BU730">
        <v>73535</v>
      </c>
    </row>
    <row r="731" spans="1:73" x14ac:dyDescent="0.3">
      <c r="A731" t="s">
        <v>3840</v>
      </c>
      <c r="B731">
        <v>0</v>
      </c>
      <c r="C731">
        <v>0</v>
      </c>
      <c r="D731">
        <v>3</v>
      </c>
      <c r="E731">
        <v>9794179</v>
      </c>
      <c r="F731">
        <v>0</v>
      </c>
      <c r="G731">
        <v>0</v>
      </c>
      <c r="H731">
        <v>2</v>
      </c>
      <c r="I731">
        <v>1048358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1337000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8</v>
      </c>
      <c r="BC731" s="1">
        <v>22420929</v>
      </c>
      <c r="BD731" t="s">
        <v>74</v>
      </c>
      <c r="BE731" t="s">
        <v>3841</v>
      </c>
      <c r="BF731" t="s">
        <v>3842</v>
      </c>
      <c r="BH731" t="s">
        <v>77</v>
      </c>
      <c r="BI731" t="s">
        <v>84</v>
      </c>
      <c r="BJ731" t="s">
        <v>79</v>
      </c>
      <c r="BM731">
        <v>0</v>
      </c>
      <c r="BN731">
        <v>3</v>
      </c>
      <c r="BO731">
        <v>3</v>
      </c>
      <c r="BP731" t="s">
        <v>80</v>
      </c>
      <c r="BR731">
        <v>0</v>
      </c>
      <c r="BS731">
        <v>4</v>
      </c>
      <c r="BU731">
        <v>12179537</v>
      </c>
    </row>
    <row r="732" spans="1:73" x14ac:dyDescent="0.3">
      <c r="A732" t="s">
        <v>3843</v>
      </c>
      <c r="B732">
        <v>0</v>
      </c>
      <c r="C732">
        <v>0</v>
      </c>
      <c r="D732">
        <v>4</v>
      </c>
      <c r="E732">
        <v>223636</v>
      </c>
      <c r="F732">
        <v>0</v>
      </c>
      <c r="G732">
        <v>0</v>
      </c>
      <c r="H732">
        <v>6</v>
      </c>
      <c r="I732">
        <v>120000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8</v>
      </c>
      <c r="BC732" s="1">
        <v>447272</v>
      </c>
      <c r="BD732" t="s">
        <v>74</v>
      </c>
      <c r="BE732" t="s">
        <v>3844</v>
      </c>
      <c r="BF732" t="s">
        <v>3845</v>
      </c>
      <c r="BH732" t="s">
        <v>77</v>
      </c>
      <c r="BI732" t="s">
        <v>593</v>
      </c>
      <c r="BJ732" t="s">
        <v>79</v>
      </c>
      <c r="BM732">
        <v>0</v>
      </c>
      <c r="BN732">
        <v>2</v>
      </c>
      <c r="BO732">
        <v>2</v>
      </c>
      <c r="BP732" t="s">
        <v>80</v>
      </c>
      <c r="BR732">
        <v>0</v>
      </c>
      <c r="BS732">
        <v>6</v>
      </c>
      <c r="BU732">
        <v>343636</v>
      </c>
    </row>
    <row r="733" spans="1:73" x14ac:dyDescent="0.3">
      <c r="A733" t="s">
        <v>3846</v>
      </c>
      <c r="B733">
        <v>0</v>
      </c>
      <c r="C733">
        <v>0</v>
      </c>
      <c r="D733">
        <v>3</v>
      </c>
      <c r="E733">
        <v>2111818</v>
      </c>
      <c r="F733">
        <v>0</v>
      </c>
      <c r="G733">
        <v>0</v>
      </c>
      <c r="H733">
        <v>8</v>
      </c>
      <c r="I733">
        <v>147896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11</v>
      </c>
      <c r="BC733" s="1">
        <v>2259714</v>
      </c>
      <c r="BD733" t="s">
        <v>74</v>
      </c>
      <c r="BE733" t="s">
        <v>3847</v>
      </c>
      <c r="BF733" t="s">
        <v>3848</v>
      </c>
      <c r="BH733" t="s">
        <v>77</v>
      </c>
      <c r="BI733" t="s">
        <v>574</v>
      </c>
      <c r="BJ733" t="s">
        <v>79</v>
      </c>
      <c r="BM733">
        <v>0</v>
      </c>
      <c r="BN733">
        <v>2</v>
      </c>
      <c r="BO733">
        <v>2</v>
      </c>
      <c r="BP733" t="s">
        <v>514</v>
      </c>
      <c r="BR733">
        <v>0</v>
      </c>
      <c r="BS733">
        <v>6</v>
      </c>
      <c r="BU733">
        <v>2259714</v>
      </c>
    </row>
    <row r="734" spans="1:73" x14ac:dyDescent="0.3">
      <c r="A734" t="s">
        <v>3852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73535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2</v>
      </c>
      <c r="BC734" s="1">
        <v>147070</v>
      </c>
      <c r="BD734" t="s">
        <v>74</v>
      </c>
      <c r="BE734" t="s">
        <v>3853</v>
      </c>
      <c r="BF734" t="s">
        <v>3854</v>
      </c>
      <c r="BH734" t="s">
        <v>77</v>
      </c>
      <c r="BI734" t="s">
        <v>228</v>
      </c>
      <c r="BJ734" t="s">
        <v>79</v>
      </c>
      <c r="BM734">
        <v>1</v>
      </c>
      <c r="BN734">
        <v>0</v>
      </c>
      <c r="BO734">
        <v>1</v>
      </c>
      <c r="BP734" t="s">
        <v>80</v>
      </c>
      <c r="BR734">
        <v>0</v>
      </c>
      <c r="BS734">
        <v>0</v>
      </c>
      <c r="BU734">
        <v>73535</v>
      </c>
    </row>
    <row r="735" spans="1:73" x14ac:dyDescent="0.3">
      <c r="A735" t="s">
        <v>3858</v>
      </c>
      <c r="B735">
        <v>0</v>
      </c>
      <c r="C735">
        <v>0</v>
      </c>
      <c r="D735">
        <v>1</v>
      </c>
      <c r="E735">
        <v>350000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82993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3</v>
      </c>
      <c r="BC735" s="1">
        <v>515986</v>
      </c>
      <c r="BD735" t="s">
        <v>74</v>
      </c>
      <c r="BE735" t="s">
        <v>3859</v>
      </c>
      <c r="BF735" t="s">
        <v>3860</v>
      </c>
      <c r="BH735" t="s">
        <v>77</v>
      </c>
      <c r="BI735" t="s">
        <v>593</v>
      </c>
      <c r="BJ735" t="s">
        <v>79</v>
      </c>
      <c r="BM735">
        <v>1</v>
      </c>
      <c r="BN735">
        <v>1</v>
      </c>
      <c r="BO735">
        <v>2</v>
      </c>
      <c r="BP735" t="s">
        <v>80</v>
      </c>
      <c r="BR735">
        <v>0</v>
      </c>
      <c r="BS735">
        <v>6</v>
      </c>
      <c r="BU735">
        <v>432993</v>
      </c>
    </row>
    <row r="736" spans="1:73" x14ac:dyDescent="0.3">
      <c r="A736" t="s">
        <v>3861</v>
      </c>
      <c r="B736">
        <v>1</v>
      </c>
      <c r="C736">
        <v>266275</v>
      </c>
      <c r="D736">
        <v>6</v>
      </c>
      <c r="E736">
        <v>1423400</v>
      </c>
      <c r="F736">
        <v>0</v>
      </c>
      <c r="G736">
        <v>0</v>
      </c>
      <c r="H736">
        <v>6</v>
      </c>
      <c r="I736">
        <v>244728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15</v>
      </c>
      <c r="BC736" s="1">
        <v>3163075</v>
      </c>
      <c r="BD736" t="s">
        <v>74</v>
      </c>
      <c r="BE736" t="s">
        <v>3862</v>
      </c>
      <c r="BF736" t="s">
        <v>3863</v>
      </c>
      <c r="BH736" t="s">
        <v>136</v>
      </c>
      <c r="BI736" t="s">
        <v>191</v>
      </c>
      <c r="BJ736" t="s">
        <v>125</v>
      </c>
      <c r="BM736">
        <v>0</v>
      </c>
      <c r="BN736">
        <v>3</v>
      </c>
      <c r="BO736">
        <v>3</v>
      </c>
      <c r="BP736" t="s">
        <v>80</v>
      </c>
      <c r="BR736">
        <v>0</v>
      </c>
      <c r="BS736">
        <v>6</v>
      </c>
      <c r="BU736">
        <v>1934403</v>
      </c>
    </row>
    <row r="737" spans="1:73" x14ac:dyDescent="0.3">
      <c r="A737" t="s">
        <v>3864</v>
      </c>
      <c r="B737">
        <v>0</v>
      </c>
      <c r="C737">
        <v>0</v>
      </c>
      <c r="D737">
        <v>1</v>
      </c>
      <c r="E737">
        <v>24000</v>
      </c>
      <c r="F737">
        <v>0</v>
      </c>
      <c r="G737">
        <v>0</v>
      </c>
      <c r="H737">
        <v>1</v>
      </c>
      <c r="I737">
        <v>37316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</v>
      </c>
      <c r="BC737" s="1">
        <v>61316</v>
      </c>
      <c r="BD737" t="s">
        <v>74</v>
      </c>
      <c r="BE737" t="s">
        <v>3865</v>
      </c>
      <c r="BF737" t="s">
        <v>3866</v>
      </c>
      <c r="BH737" t="s">
        <v>77</v>
      </c>
      <c r="BI737" t="s">
        <v>593</v>
      </c>
      <c r="BJ737" t="s">
        <v>79</v>
      </c>
      <c r="BM737">
        <v>0</v>
      </c>
      <c r="BN737">
        <v>2</v>
      </c>
      <c r="BO737">
        <v>2</v>
      </c>
      <c r="BP737" t="s">
        <v>80</v>
      </c>
      <c r="BR737">
        <v>0</v>
      </c>
      <c r="BS737">
        <v>6</v>
      </c>
      <c r="BU737">
        <v>61316</v>
      </c>
    </row>
    <row r="738" spans="1:73" x14ac:dyDescent="0.3">
      <c r="A738" t="s">
        <v>3867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96439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C738" s="1">
        <v>96439</v>
      </c>
      <c r="BD738" t="s">
        <v>74</v>
      </c>
      <c r="BE738" t="s">
        <v>3868</v>
      </c>
      <c r="BF738" t="s">
        <v>3869</v>
      </c>
      <c r="BH738" t="s">
        <v>77</v>
      </c>
      <c r="BI738" t="s">
        <v>88</v>
      </c>
      <c r="BJ738" t="s">
        <v>79</v>
      </c>
      <c r="BM738">
        <v>1</v>
      </c>
      <c r="BN738">
        <v>0</v>
      </c>
      <c r="BO738">
        <v>1</v>
      </c>
      <c r="BP738" t="s">
        <v>80</v>
      </c>
      <c r="BR738">
        <v>0</v>
      </c>
      <c r="BS738">
        <v>6</v>
      </c>
      <c r="BU738">
        <v>96439</v>
      </c>
    </row>
    <row r="739" spans="1:73" x14ac:dyDescent="0.3">
      <c r="A739" t="s">
        <v>3870</v>
      </c>
      <c r="B739">
        <v>0</v>
      </c>
      <c r="C739">
        <v>0</v>
      </c>
      <c r="D739">
        <v>11</v>
      </c>
      <c r="E739">
        <v>3699700</v>
      </c>
      <c r="F739">
        <v>0</v>
      </c>
      <c r="G739">
        <v>0</v>
      </c>
      <c r="H739">
        <v>16</v>
      </c>
      <c r="I739">
        <v>343400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22</v>
      </c>
      <c r="BC739" s="1">
        <v>7399400</v>
      </c>
      <c r="BD739" t="s">
        <v>74</v>
      </c>
      <c r="BE739" t="s">
        <v>3871</v>
      </c>
      <c r="BF739" t="s">
        <v>3687</v>
      </c>
      <c r="BH739" t="s">
        <v>77</v>
      </c>
      <c r="BI739" t="s">
        <v>92</v>
      </c>
      <c r="BJ739" t="s">
        <v>79</v>
      </c>
      <c r="BM739">
        <v>0</v>
      </c>
      <c r="BN739">
        <v>2</v>
      </c>
      <c r="BO739">
        <v>2</v>
      </c>
      <c r="BP739" t="s">
        <v>80</v>
      </c>
      <c r="BR739">
        <v>0</v>
      </c>
      <c r="BS739">
        <v>6</v>
      </c>
      <c r="BU739">
        <v>4043100</v>
      </c>
    </row>
    <row r="740" spans="1:73" x14ac:dyDescent="0.3">
      <c r="A740" t="s">
        <v>3878</v>
      </c>
      <c r="B740">
        <v>0</v>
      </c>
      <c r="C740">
        <v>0</v>
      </c>
      <c r="D740">
        <v>4</v>
      </c>
      <c r="E740">
        <v>2616588</v>
      </c>
      <c r="F740">
        <v>0</v>
      </c>
      <c r="G740">
        <v>0</v>
      </c>
      <c r="H740">
        <v>6</v>
      </c>
      <c r="I740">
        <v>193176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73535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20000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11</v>
      </c>
      <c r="BC740" s="1">
        <v>5400246</v>
      </c>
      <c r="BD740" t="s">
        <v>74</v>
      </c>
      <c r="BE740" t="s">
        <v>3879</v>
      </c>
      <c r="BF740" t="s">
        <v>3880</v>
      </c>
      <c r="BH740" t="s">
        <v>77</v>
      </c>
      <c r="BI740" t="s">
        <v>593</v>
      </c>
      <c r="BJ740" t="s">
        <v>79</v>
      </c>
      <c r="BM740">
        <v>2</v>
      </c>
      <c r="BN740">
        <v>2</v>
      </c>
      <c r="BO740">
        <v>4</v>
      </c>
      <c r="BP740" t="s">
        <v>80</v>
      </c>
      <c r="BR740">
        <v>0</v>
      </c>
      <c r="BS740">
        <v>6</v>
      </c>
      <c r="BU740">
        <v>2903299</v>
      </c>
    </row>
    <row r="741" spans="1:73" x14ac:dyDescent="0.3">
      <c r="A741" t="s">
        <v>3887</v>
      </c>
      <c r="B741">
        <v>0</v>
      </c>
      <c r="C741">
        <v>0</v>
      </c>
      <c r="D741">
        <v>1</v>
      </c>
      <c r="E741">
        <v>184000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2</v>
      </c>
      <c r="BC741" s="1">
        <v>368000</v>
      </c>
      <c r="BD741" t="s">
        <v>74</v>
      </c>
      <c r="BE741" t="s">
        <v>3888</v>
      </c>
      <c r="BF741" t="s">
        <v>3889</v>
      </c>
      <c r="BH741" t="s">
        <v>77</v>
      </c>
      <c r="BI741" t="s">
        <v>92</v>
      </c>
      <c r="BJ741" t="s">
        <v>79</v>
      </c>
      <c r="BM741">
        <v>0</v>
      </c>
      <c r="BN741">
        <v>1</v>
      </c>
      <c r="BO741">
        <v>1</v>
      </c>
      <c r="BP741" t="s">
        <v>80</v>
      </c>
      <c r="BR741">
        <v>0</v>
      </c>
      <c r="BS741">
        <v>6</v>
      </c>
      <c r="BU741">
        <v>184000</v>
      </c>
    </row>
    <row r="742" spans="1:73" x14ac:dyDescent="0.3">
      <c r="A742" t="s">
        <v>3893</v>
      </c>
      <c r="B742">
        <v>1</v>
      </c>
      <c r="C742">
        <v>775149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25000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2</v>
      </c>
      <c r="BC742" s="1">
        <v>800149</v>
      </c>
      <c r="BD742" t="s">
        <v>74</v>
      </c>
      <c r="BE742" t="s">
        <v>3894</v>
      </c>
      <c r="BF742" t="s">
        <v>3895</v>
      </c>
      <c r="BH742" t="s">
        <v>77</v>
      </c>
      <c r="BI742" t="s">
        <v>88</v>
      </c>
      <c r="BJ742" t="s">
        <v>79</v>
      </c>
      <c r="BM742">
        <v>0</v>
      </c>
      <c r="BN742">
        <v>2</v>
      </c>
      <c r="BO742">
        <v>2</v>
      </c>
      <c r="BP742" t="s">
        <v>80</v>
      </c>
      <c r="BR742">
        <v>0</v>
      </c>
      <c r="BS742">
        <v>6</v>
      </c>
      <c r="BU742">
        <v>800149</v>
      </c>
    </row>
    <row r="743" spans="1:73" x14ac:dyDescent="0.3">
      <c r="A743" t="s">
        <v>3896</v>
      </c>
      <c r="B743">
        <v>0</v>
      </c>
      <c r="C743">
        <v>0</v>
      </c>
      <c r="D743">
        <v>5</v>
      </c>
      <c r="E743">
        <v>1458586</v>
      </c>
      <c r="F743">
        <v>0</v>
      </c>
      <c r="G743">
        <v>0</v>
      </c>
      <c r="H743">
        <v>6</v>
      </c>
      <c r="I743">
        <v>146262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10</v>
      </c>
      <c r="BC743" s="1">
        <v>2917172</v>
      </c>
      <c r="BD743" t="s">
        <v>74</v>
      </c>
      <c r="BE743" t="s">
        <v>3897</v>
      </c>
      <c r="BF743" t="s">
        <v>3898</v>
      </c>
      <c r="BH743" t="s">
        <v>77</v>
      </c>
      <c r="BI743" t="s">
        <v>129</v>
      </c>
      <c r="BJ743" t="s">
        <v>79</v>
      </c>
      <c r="BM743">
        <v>0</v>
      </c>
      <c r="BN743">
        <v>2</v>
      </c>
      <c r="BO743">
        <v>2</v>
      </c>
      <c r="BP743" t="s">
        <v>80</v>
      </c>
      <c r="BR743">
        <v>0</v>
      </c>
      <c r="BS743">
        <v>6</v>
      </c>
      <c r="BU743">
        <v>1604848</v>
      </c>
    </row>
    <row r="744" spans="1:73" x14ac:dyDescent="0.3">
      <c r="A744" t="s">
        <v>3899</v>
      </c>
      <c r="B744">
        <v>0</v>
      </c>
      <c r="C744">
        <v>1923636</v>
      </c>
      <c r="D744">
        <v>3</v>
      </c>
      <c r="E744">
        <v>230909</v>
      </c>
      <c r="F744">
        <v>0</v>
      </c>
      <c r="G744">
        <v>0</v>
      </c>
      <c r="H744">
        <v>4</v>
      </c>
      <c r="I744">
        <v>80000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73535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19792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9</v>
      </c>
      <c r="BC744" s="1">
        <v>2498573</v>
      </c>
      <c r="BD744" t="s">
        <v>74</v>
      </c>
      <c r="BE744" t="s">
        <v>3900</v>
      </c>
      <c r="BF744" t="s">
        <v>3901</v>
      </c>
      <c r="BH744" t="s">
        <v>77</v>
      </c>
      <c r="BI744" t="s">
        <v>593</v>
      </c>
      <c r="BJ744" t="s">
        <v>79</v>
      </c>
      <c r="BM744">
        <v>2</v>
      </c>
      <c r="BN744">
        <v>2</v>
      </c>
      <c r="BO744">
        <v>4</v>
      </c>
      <c r="BP744" t="s">
        <v>80</v>
      </c>
      <c r="BR744">
        <v>0</v>
      </c>
      <c r="BS744">
        <v>6</v>
      </c>
      <c r="BU744">
        <v>2327872</v>
      </c>
    </row>
    <row r="745" spans="1:73" x14ac:dyDescent="0.3">
      <c r="A745" t="s">
        <v>3904</v>
      </c>
      <c r="B745">
        <v>0</v>
      </c>
      <c r="C745">
        <v>0</v>
      </c>
      <c r="D745">
        <v>1</v>
      </c>
      <c r="E745">
        <v>350000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80000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</v>
      </c>
      <c r="BC745" s="1">
        <v>430000</v>
      </c>
      <c r="BD745" t="s">
        <v>74</v>
      </c>
      <c r="BE745" t="s">
        <v>3905</v>
      </c>
      <c r="BF745" t="s">
        <v>3906</v>
      </c>
      <c r="BH745" t="s">
        <v>77</v>
      </c>
      <c r="BI745" t="s">
        <v>204</v>
      </c>
      <c r="BJ745" t="s">
        <v>79</v>
      </c>
      <c r="BM745">
        <v>0</v>
      </c>
      <c r="BN745">
        <v>2</v>
      </c>
      <c r="BO745">
        <v>2</v>
      </c>
      <c r="BP745" t="s">
        <v>80</v>
      </c>
      <c r="BR745">
        <v>0</v>
      </c>
      <c r="BS745">
        <v>6</v>
      </c>
      <c r="BU745">
        <v>430000</v>
      </c>
    </row>
    <row r="746" spans="1:73" x14ac:dyDescent="0.3">
      <c r="A746" t="s">
        <v>3913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19792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 s="1">
        <v>19792</v>
      </c>
      <c r="BD746" t="s">
        <v>74</v>
      </c>
      <c r="BE746" t="s">
        <v>3914</v>
      </c>
      <c r="BF746" t="s">
        <v>3915</v>
      </c>
      <c r="BH746" t="s">
        <v>77</v>
      </c>
      <c r="BI746" t="s">
        <v>204</v>
      </c>
      <c r="BJ746" t="s">
        <v>79</v>
      </c>
      <c r="BM746">
        <v>1</v>
      </c>
      <c r="BN746">
        <v>0</v>
      </c>
      <c r="BO746">
        <v>1</v>
      </c>
      <c r="BP746" t="s">
        <v>80</v>
      </c>
      <c r="BR746">
        <v>0</v>
      </c>
      <c r="BS746">
        <v>0</v>
      </c>
      <c r="BU746">
        <v>19792</v>
      </c>
    </row>
    <row r="747" spans="1:73" x14ac:dyDescent="0.3">
      <c r="A747" t="s">
        <v>3919</v>
      </c>
      <c r="B747">
        <v>0</v>
      </c>
      <c r="C747">
        <v>0</v>
      </c>
      <c r="D747">
        <v>1</v>
      </c>
      <c r="E747">
        <v>202182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2</v>
      </c>
      <c r="BC747" s="1">
        <v>404364</v>
      </c>
      <c r="BD747" t="s">
        <v>74</v>
      </c>
      <c r="BE747" t="s">
        <v>3920</v>
      </c>
      <c r="BF747" t="s">
        <v>3921</v>
      </c>
      <c r="BH747" t="s">
        <v>77</v>
      </c>
      <c r="BI747" t="s">
        <v>204</v>
      </c>
      <c r="BJ747" t="s">
        <v>79</v>
      </c>
      <c r="BM747">
        <v>0</v>
      </c>
      <c r="BN747">
        <v>1</v>
      </c>
      <c r="BO747">
        <v>1</v>
      </c>
      <c r="BP747" t="s">
        <v>80</v>
      </c>
      <c r="BR747">
        <v>0</v>
      </c>
      <c r="BS747">
        <v>6</v>
      </c>
      <c r="BU747">
        <v>202182</v>
      </c>
    </row>
    <row r="748" spans="1:73" x14ac:dyDescent="0.3">
      <c r="A748" t="s">
        <v>3922</v>
      </c>
      <c r="B748">
        <v>0</v>
      </c>
      <c r="C748">
        <v>0</v>
      </c>
      <c r="D748">
        <v>2</v>
      </c>
      <c r="E748">
        <v>1236364</v>
      </c>
      <c r="F748">
        <v>0</v>
      </c>
      <c r="G748">
        <v>0</v>
      </c>
      <c r="H748">
        <v>1</v>
      </c>
      <c r="I748">
        <v>47173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3</v>
      </c>
      <c r="BC748" s="1">
        <v>1283537</v>
      </c>
      <c r="BD748" t="s">
        <v>74</v>
      </c>
      <c r="BE748" t="s">
        <v>3923</v>
      </c>
      <c r="BF748" t="s">
        <v>3924</v>
      </c>
      <c r="BH748" t="s">
        <v>77</v>
      </c>
      <c r="BI748" t="s">
        <v>574</v>
      </c>
      <c r="BJ748" t="s">
        <v>79</v>
      </c>
      <c r="BM748">
        <v>0</v>
      </c>
      <c r="BN748">
        <v>2</v>
      </c>
      <c r="BO748">
        <v>2</v>
      </c>
      <c r="BP748" t="s">
        <v>80</v>
      </c>
      <c r="BR748">
        <v>0</v>
      </c>
      <c r="BS748">
        <v>6</v>
      </c>
      <c r="BU748">
        <v>1283537</v>
      </c>
    </row>
    <row r="749" spans="1:73" x14ac:dyDescent="0.3">
      <c r="A749" t="s">
        <v>3928</v>
      </c>
      <c r="B749">
        <v>0</v>
      </c>
      <c r="C749">
        <v>0</v>
      </c>
      <c r="D749">
        <v>2</v>
      </c>
      <c r="E749">
        <v>2270000</v>
      </c>
      <c r="F749">
        <v>0</v>
      </c>
      <c r="G749">
        <v>0</v>
      </c>
      <c r="H749">
        <v>2</v>
      </c>
      <c r="I749">
        <v>40000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</v>
      </c>
      <c r="BC749" s="1">
        <v>4540000</v>
      </c>
      <c r="BD749" t="s">
        <v>74</v>
      </c>
      <c r="BE749" t="s">
        <v>3929</v>
      </c>
      <c r="BF749" t="s">
        <v>3930</v>
      </c>
      <c r="BH749" t="s">
        <v>77</v>
      </c>
      <c r="BI749" t="s">
        <v>129</v>
      </c>
      <c r="BJ749" t="s">
        <v>79</v>
      </c>
      <c r="BM749">
        <v>0</v>
      </c>
      <c r="BN749">
        <v>2</v>
      </c>
      <c r="BO749">
        <v>2</v>
      </c>
      <c r="BP749" t="s">
        <v>80</v>
      </c>
      <c r="BR749">
        <v>0</v>
      </c>
      <c r="BS749">
        <v>6</v>
      </c>
      <c r="BU749">
        <v>2310000</v>
      </c>
    </row>
    <row r="750" spans="1:73" x14ac:dyDescent="0.3">
      <c r="A750" t="s">
        <v>3931</v>
      </c>
      <c r="B750">
        <v>0</v>
      </c>
      <c r="C750">
        <v>118182</v>
      </c>
      <c r="D750">
        <v>3</v>
      </c>
      <c r="E750">
        <v>194545</v>
      </c>
      <c r="F750">
        <v>0</v>
      </c>
      <c r="G750">
        <v>0</v>
      </c>
      <c r="H750">
        <v>7</v>
      </c>
      <c r="I750">
        <v>342006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9</v>
      </c>
      <c r="BC750" s="1">
        <v>769278</v>
      </c>
      <c r="BD750" t="s">
        <v>74</v>
      </c>
      <c r="BE750" t="s">
        <v>3932</v>
      </c>
      <c r="BF750" t="s">
        <v>3933</v>
      </c>
      <c r="BH750" t="s">
        <v>77</v>
      </c>
      <c r="BI750" t="s">
        <v>593</v>
      </c>
      <c r="BJ750" t="s">
        <v>79</v>
      </c>
      <c r="BM750">
        <v>0</v>
      </c>
      <c r="BN750">
        <v>2</v>
      </c>
      <c r="BO750">
        <v>2</v>
      </c>
      <c r="BP750" t="s">
        <v>80</v>
      </c>
      <c r="BR750">
        <v>0</v>
      </c>
      <c r="BS750">
        <v>6</v>
      </c>
      <c r="BU750">
        <v>654733</v>
      </c>
    </row>
    <row r="751" spans="1:73" x14ac:dyDescent="0.3">
      <c r="A751" t="s">
        <v>3934</v>
      </c>
      <c r="B751">
        <v>0</v>
      </c>
      <c r="C751">
        <v>0</v>
      </c>
      <c r="D751">
        <v>5</v>
      </c>
      <c r="E751">
        <v>242002</v>
      </c>
      <c r="F751">
        <v>0</v>
      </c>
      <c r="G751">
        <v>0</v>
      </c>
      <c r="H751">
        <v>8</v>
      </c>
      <c r="I751">
        <v>203486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10</v>
      </c>
      <c r="BC751" s="1">
        <v>484004</v>
      </c>
      <c r="BD751" t="s">
        <v>74</v>
      </c>
      <c r="BE751" t="s">
        <v>3935</v>
      </c>
      <c r="BF751" t="s">
        <v>3936</v>
      </c>
      <c r="BH751" t="s">
        <v>77</v>
      </c>
      <c r="BI751" t="s">
        <v>129</v>
      </c>
      <c r="BJ751" t="s">
        <v>79</v>
      </c>
      <c r="BM751">
        <v>0</v>
      </c>
      <c r="BN751">
        <v>2</v>
      </c>
      <c r="BO751">
        <v>2</v>
      </c>
      <c r="BP751" t="s">
        <v>80</v>
      </c>
      <c r="BR751">
        <v>0</v>
      </c>
      <c r="BS751">
        <v>6</v>
      </c>
      <c r="BU751">
        <v>445488</v>
      </c>
    </row>
    <row r="752" spans="1:73" x14ac:dyDescent="0.3">
      <c r="A752" t="s">
        <v>3937</v>
      </c>
      <c r="B752">
        <v>0</v>
      </c>
      <c r="C752">
        <v>0</v>
      </c>
      <c r="D752">
        <v>1</v>
      </c>
      <c r="E752">
        <v>700000</v>
      </c>
      <c r="F752">
        <v>0</v>
      </c>
      <c r="G752">
        <v>0</v>
      </c>
      <c r="H752">
        <v>2</v>
      </c>
      <c r="I752">
        <v>42480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3</v>
      </c>
      <c r="BC752" s="1">
        <v>742480</v>
      </c>
      <c r="BD752" t="s">
        <v>74</v>
      </c>
      <c r="BE752" t="s">
        <v>3938</v>
      </c>
      <c r="BF752" t="s">
        <v>3939</v>
      </c>
      <c r="BH752" t="s">
        <v>77</v>
      </c>
      <c r="BI752" t="s">
        <v>228</v>
      </c>
      <c r="BJ752" t="s">
        <v>79</v>
      </c>
      <c r="BM752">
        <v>0</v>
      </c>
      <c r="BN752">
        <v>2</v>
      </c>
      <c r="BO752">
        <v>2</v>
      </c>
      <c r="BP752" t="s">
        <v>80</v>
      </c>
      <c r="BR752">
        <v>0</v>
      </c>
      <c r="BS752">
        <v>6</v>
      </c>
      <c r="BU752">
        <v>742480</v>
      </c>
    </row>
    <row r="753" spans="1:73" x14ac:dyDescent="0.3">
      <c r="A753" t="s">
        <v>3943</v>
      </c>
      <c r="B753">
        <v>0</v>
      </c>
      <c r="C753">
        <v>0</v>
      </c>
      <c r="D753">
        <v>4</v>
      </c>
      <c r="E753">
        <v>1683282</v>
      </c>
      <c r="F753">
        <v>0</v>
      </c>
      <c r="G753">
        <v>0</v>
      </c>
      <c r="H753">
        <v>6</v>
      </c>
      <c r="I753">
        <v>166564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8</v>
      </c>
      <c r="BC753" s="1">
        <v>3366564</v>
      </c>
      <c r="BD753" t="s">
        <v>74</v>
      </c>
      <c r="BE753" t="s">
        <v>3944</v>
      </c>
      <c r="BF753" t="s">
        <v>3945</v>
      </c>
      <c r="BH753" t="s">
        <v>77</v>
      </c>
      <c r="BI753" t="s">
        <v>593</v>
      </c>
      <c r="BJ753" t="s">
        <v>79</v>
      </c>
      <c r="BM753">
        <v>0</v>
      </c>
      <c r="BN753">
        <v>2</v>
      </c>
      <c r="BO753">
        <v>2</v>
      </c>
      <c r="BP753" t="s">
        <v>80</v>
      </c>
      <c r="BR753">
        <v>0</v>
      </c>
      <c r="BS753">
        <v>6</v>
      </c>
      <c r="BU753">
        <v>1849846</v>
      </c>
    </row>
    <row r="754" spans="1:73" x14ac:dyDescent="0.3">
      <c r="A754" t="s">
        <v>3946</v>
      </c>
      <c r="B754">
        <v>0</v>
      </c>
      <c r="C754">
        <v>0</v>
      </c>
      <c r="D754">
        <v>4</v>
      </c>
      <c r="E754">
        <v>3006452</v>
      </c>
      <c r="F754">
        <v>0</v>
      </c>
      <c r="G754">
        <v>0</v>
      </c>
      <c r="H754">
        <v>6</v>
      </c>
      <c r="I754">
        <v>412904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8</v>
      </c>
      <c r="BC754" s="1">
        <v>6012904</v>
      </c>
      <c r="BD754" t="s">
        <v>74</v>
      </c>
      <c r="BE754" t="s">
        <v>3947</v>
      </c>
      <c r="BF754" t="s">
        <v>3948</v>
      </c>
      <c r="BH754" t="s">
        <v>77</v>
      </c>
      <c r="BI754" t="s">
        <v>574</v>
      </c>
      <c r="BJ754" t="s">
        <v>79</v>
      </c>
      <c r="BM754">
        <v>0</v>
      </c>
      <c r="BN754">
        <v>2</v>
      </c>
      <c r="BO754">
        <v>2</v>
      </c>
      <c r="BP754" t="s">
        <v>80</v>
      </c>
      <c r="BR754">
        <v>0</v>
      </c>
      <c r="BS754">
        <v>6</v>
      </c>
      <c r="BU754">
        <v>3419356</v>
      </c>
    </row>
    <row r="755" spans="1:73" x14ac:dyDescent="0.3">
      <c r="A755" t="s">
        <v>3952</v>
      </c>
      <c r="B755">
        <v>0</v>
      </c>
      <c r="C755">
        <v>0</v>
      </c>
      <c r="D755">
        <v>1</v>
      </c>
      <c r="E755">
        <v>350000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73535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5</v>
      </c>
      <c r="BC755" s="1">
        <v>866862</v>
      </c>
      <c r="BD755" t="s">
        <v>74</v>
      </c>
      <c r="BE755" t="s">
        <v>3953</v>
      </c>
      <c r="BF755" t="s">
        <v>3954</v>
      </c>
      <c r="BH755" t="s">
        <v>77</v>
      </c>
      <c r="BI755" t="s">
        <v>92</v>
      </c>
      <c r="BJ755" t="s">
        <v>79</v>
      </c>
      <c r="BM755">
        <v>1</v>
      </c>
      <c r="BN755">
        <v>1</v>
      </c>
      <c r="BO755">
        <v>2</v>
      </c>
      <c r="BP755" t="s">
        <v>80</v>
      </c>
      <c r="BR755">
        <v>0</v>
      </c>
      <c r="BS755">
        <v>6</v>
      </c>
      <c r="BU755">
        <v>423535</v>
      </c>
    </row>
    <row r="756" spans="1:73" x14ac:dyDescent="0.3">
      <c r="A756" t="s">
        <v>3958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73535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</v>
      </c>
      <c r="BC756" s="1">
        <v>147070</v>
      </c>
      <c r="BD756" t="s">
        <v>74</v>
      </c>
      <c r="BE756" t="s">
        <v>3959</v>
      </c>
      <c r="BF756" t="s">
        <v>3960</v>
      </c>
      <c r="BH756" t="s">
        <v>77</v>
      </c>
      <c r="BI756" t="s">
        <v>593</v>
      </c>
      <c r="BJ756" t="s">
        <v>79</v>
      </c>
      <c r="BM756">
        <v>1</v>
      </c>
      <c r="BN756">
        <v>0</v>
      </c>
      <c r="BO756">
        <v>1</v>
      </c>
      <c r="BP756" t="s">
        <v>80</v>
      </c>
      <c r="BR756">
        <v>0</v>
      </c>
      <c r="BS756">
        <v>6</v>
      </c>
      <c r="BU756">
        <v>73535</v>
      </c>
    </row>
    <row r="757" spans="1:73" x14ac:dyDescent="0.3">
      <c r="A757" t="s">
        <v>3970</v>
      </c>
      <c r="B757">
        <v>0</v>
      </c>
      <c r="C757">
        <v>0</v>
      </c>
      <c r="D757">
        <v>1</v>
      </c>
      <c r="E757">
        <v>231428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 s="1">
        <v>231428</v>
      </c>
      <c r="BD757" t="s">
        <v>74</v>
      </c>
      <c r="BE757" t="s">
        <v>3971</v>
      </c>
      <c r="BF757" t="s">
        <v>3972</v>
      </c>
      <c r="BH757" t="s">
        <v>77</v>
      </c>
      <c r="BI757" t="s">
        <v>92</v>
      </c>
      <c r="BJ757" t="s">
        <v>79</v>
      </c>
      <c r="BM757">
        <v>0</v>
      </c>
      <c r="BN757">
        <v>1</v>
      </c>
      <c r="BO757">
        <v>1</v>
      </c>
      <c r="BP757" t="s">
        <v>80</v>
      </c>
      <c r="BR757">
        <v>0</v>
      </c>
      <c r="BS757">
        <v>6</v>
      </c>
      <c r="BU757">
        <v>231428</v>
      </c>
    </row>
    <row r="758" spans="1:73" x14ac:dyDescent="0.3">
      <c r="A758" t="s">
        <v>3973</v>
      </c>
      <c r="B758">
        <v>0</v>
      </c>
      <c r="C758">
        <v>0</v>
      </c>
      <c r="D758">
        <v>2</v>
      </c>
      <c r="E758">
        <v>540000</v>
      </c>
      <c r="F758">
        <v>0</v>
      </c>
      <c r="G758">
        <v>0</v>
      </c>
      <c r="H758">
        <v>6</v>
      </c>
      <c r="I758">
        <v>90000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73535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57208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14</v>
      </c>
      <c r="BC758" s="1">
        <v>1174070</v>
      </c>
      <c r="BD758" t="s">
        <v>74</v>
      </c>
      <c r="BE758" t="s">
        <v>3974</v>
      </c>
      <c r="BF758" t="s">
        <v>3142</v>
      </c>
      <c r="BH758" t="s">
        <v>77</v>
      </c>
      <c r="BI758" t="s">
        <v>593</v>
      </c>
      <c r="BJ758" t="s">
        <v>79</v>
      </c>
      <c r="BM758">
        <v>2</v>
      </c>
      <c r="BN758">
        <v>2</v>
      </c>
      <c r="BO758">
        <v>4</v>
      </c>
      <c r="BP758" t="s">
        <v>514</v>
      </c>
      <c r="BR758">
        <v>0</v>
      </c>
      <c r="BS758">
        <v>6</v>
      </c>
      <c r="BU758">
        <v>760743</v>
      </c>
    </row>
    <row r="759" spans="1:73" x14ac:dyDescent="0.3">
      <c r="A759" t="s">
        <v>3984</v>
      </c>
      <c r="B759">
        <v>0</v>
      </c>
      <c r="C759">
        <v>1654546</v>
      </c>
      <c r="D759">
        <v>1</v>
      </c>
      <c r="E759">
        <v>170909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2</v>
      </c>
      <c r="BC759" s="1">
        <v>1996364</v>
      </c>
      <c r="BD759" t="s">
        <v>74</v>
      </c>
      <c r="BE759" t="s">
        <v>3985</v>
      </c>
      <c r="BF759" t="s">
        <v>3986</v>
      </c>
      <c r="BH759" t="s">
        <v>77</v>
      </c>
      <c r="BI759" t="s">
        <v>92</v>
      </c>
      <c r="BJ759" t="s">
        <v>79</v>
      </c>
      <c r="BM759">
        <v>0</v>
      </c>
      <c r="BN759">
        <v>1</v>
      </c>
      <c r="BO759">
        <v>1</v>
      </c>
      <c r="BP759" t="s">
        <v>80</v>
      </c>
      <c r="BR759">
        <v>0</v>
      </c>
      <c r="BS759">
        <v>6</v>
      </c>
      <c r="BU759">
        <v>1825455</v>
      </c>
    </row>
    <row r="760" spans="1:73" x14ac:dyDescent="0.3">
      <c r="A760" t="s">
        <v>3987</v>
      </c>
      <c r="B760">
        <v>1</v>
      </c>
      <c r="C760">
        <v>325677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57208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4</v>
      </c>
      <c r="BC760" s="1">
        <v>440093</v>
      </c>
      <c r="BD760" t="s">
        <v>74</v>
      </c>
      <c r="BE760" t="s">
        <v>3988</v>
      </c>
      <c r="BF760" t="s">
        <v>3989</v>
      </c>
      <c r="BH760" t="s">
        <v>77</v>
      </c>
      <c r="BI760" t="s">
        <v>92</v>
      </c>
      <c r="BJ760" t="s">
        <v>79</v>
      </c>
      <c r="BM760">
        <v>1</v>
      </c>
      <c r="BN760">
        <v>1</v>
      </c>
      <c r="BO760">
        <v>2</v>
      </c>
      <c r="BP760" t="s">
        <v>80</v>
      </c>
      <c r="BR760">
        <v>0</v>
      </c>
      <c r="BS760">
        <v>6</v>
      </c>
      <c r="BU760">
        <v>382885</v>
      </c>
    </row>
    <row r="761" spans="1:73" x14ac:dyDescent="0.3">
      <c r="A761" t="s">
        <v>3998</v>
      </c>
      <c r="B761">
        <v>0</v>
      </c>
      <c r="C761">
        <v>0</v>
      </c>
      <c r="D761">
        <v>1</v>
      </c>
      <c r="E761">
        <v>192000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</v>
      </c>
      <c r="BC761" s="1">
        <v>192000</v>
      </c>
      <c r="BD761" t="s">
        <v>74</v>
      </c>
      <c r="BE761" t="s">
        <v>3999</v>
      </c>
      <c r="BF761" t="s">
        <v>4000</v>
      </c>
      <c r="BH761" t="s">
        <v>77</v>
      </c>
      <c r="BI761" t="s">
        <v>739</v>
      </c>
      <c r="BJ761" t="s">
        <v>79</v>
      </c>
      <c r="BM761">
        <v>0</v>
      </c>
      <c r="BN761">
        <v>1</v>
      </c>
      <c r="BO761">
        <v>1</v>
      </c>
      <c r="BP761" t="s">
        <v>80</v>
      </c>
      <c r="BR761">
        <v>0</v>
      </c>
      <c r="BS761">
        <v>6</v>
      </c>
      <c r="BU761">
        <v>192000</v>
      </c>
    </row>
    <row r="762" spans="1:73" x14ac:dyDescent="0.3">
      <c r="A762" t="s">
        <v>4001</v>
      </c>
      <c r="B762">
        <v>0</v>
      </c>
      <c r="C762">
        <v>0</v>
      </c>
      <c r="D762">
        <v>1</v>
      </c>
      <c r="E762">
        <v>500000</v>
      </c>
      <c r="F762">
        <v>0</v>
      </c>
      <c r="G762">
        <v>0</v>
      </c>
      <c r="H762">
        <v>1</v>
      </c>
      <c r="I762">
        <v>20000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2</v>
      </c>
      <c r="BC762" s="1">
        <v>520000</v>
      </c>
      <c r="BD762" t="s">
        <v>74</v>
      </c>
      <c r="BE762" t="s">
        <v>4002</v>
      </c>
      <c r="BF762" t="s">
        <v>3150</v>
      </c>
      <c r="BH762" t="s">
        <v>77</v>
      </c>
      <c r="BI762" t="s">
        <v>281</v>
      </c>
      <c r="BJ762" t="s">
        <v>79</v>
      </c>
      <c r="BM762">
        <v>0</v>
      </c>
      <c r="BN762">
        <v>2</v>
      </c>
      <c r="BO762">
        <v>2</v>
      </c>
      <c r="BP762" t="s">
        <v>80</v>
      </c>
      <c r="BR762">
        <v>0</v>
      </c>
      <c r="BS762">
        <v>6</v>
      </c>
      <c r="BU762">
        <v>520000</v>
      </c>
    </row>
    <row r="763" spans="1:73" x14ac:dyDescent="0.3">
      <c r="A763" t="s">
        <v>4003</v>
      </c>
      <c r="B763">
        <v>3</v>
      </c>
      <c r="C763">
        <v>883840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3</v>
      </c>
      <c r="BC763" s="1">
        <v>883840</v>
      </c>
      <c r="BD763" t="s">
        <v>74</v>
      </c>
      <c r="BE763" t="s">
        <v>4004</v>
      </c>
      <c r="BF763" t="s">
        <v>4005</v>
      </c>
      <c r="BH763" t="s">
        <v>77</v>
      </c>
      <c r="BI763" t="s">
        <v>574</v>
      </c>
      <c r="BJ763" t="s">
        <v>79</v>
      </c>
      <c r="BM763">
        <v>0</v>
      </c>
      <c r="BN763">
        <v>1</v>
      </c>
      <c r="BO763">
        <v>1</v>
      </c>
      <c r="BP763" t="s">
        <v>80</v>
      </c>
      <c r="BR763">
        <v>0</v>
      </c>
      <c r="BS763">
        <v>6</v>
      </c>
      <c r="BU763">
        <v>883840</v>
      </c>
    </row>
    <row r="764" spans="1:73" x14ac:dyDescent="0.3">
      <c r="A764" t="s">
        <v>4006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40000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</v>
      </c>
      <c r="BC764" s="1">
        <v>40000</v>
      </c>
      <c r="BD764" t="s">
        <v>74</v>
      </c>
      <c r="BE764" t="s">
        <v>4007</v>
      </c>
      <c r="BF764" t="s">
        <v>4008</v>
      </c>
      <c r="BH764" t="s">
        <v>77</v>
      </c>
      <c r="BI764" t="s">
        <v>88</v>
      </c>
      <c r="BJ764" t="s">
        <v>79</v>
      </c>
      <c r="BM764">
        <v>0</v>
      </c>
      <c r="BN764">
        <v>1</v>
      </c>
      <c r="BO764">
        <v>1</v>
      </c>
      <c r="BP764" t="s">
        <v>80</v>
      </c>
      <c r="BR764">
        <v>0</v>
      </c>
      <c r="BS764">
        <v>6</v>
      </c>
      <c r="BU764">
        <v>40000</v>
      </c>
    </row>
    <row r="765" spans="1:73" x14ac:dyDescent="0.3">
      <c r="A765" t="s">
        <v>4015</v>
      </c>
      <c r="B765">
        <v>0</v>
      </c>
      <c r="C765">
        <v>0</v>
      </c>
      <c r="D765">
        <v>1</v>
      </c>
      <c r="E765">
        <v>400000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 s="1">
        <v>400000</v>
      </c>
      <c r="BD765" t="s">
        <v>74</v>
      </c>
      <c r="BE765" t="s">
        <v>4016</v>
      </c>
      <c r="BF765" t="s">
        <v>3939</v>
      </c>
      <c r="BH765" t="s">
        <v>77</v>
      </c>
      <c r="BI765" t="s">
        <v>228</v>
      </c>
      <c r="BJ765" t="s">
        <v>79</v>
      </c>
      <c r="BM765">
        <v>0</v>
      </c>
      <c r="BN765">
        <v>1</v>
      </c>
      <c r="BO765">
        <v>1</v>
      </c>
      <c r="BP765" t="s">
        <v>80</v>
      </c>
      <c r="BR765">
        <v>0</v>
      </c>
      <c r="BS765">
        <v>6</v>
      </c>
      <c r="BU765">
        <v>400000</v>
      </c>
    </row>
    <row r="766" spans="1:73" x14ac:dyDescent="0.3">
      <c r="A766" t="s">
        <v>4019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73535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2</v>
      </c>
      <c r="BC766" s="1">
        <v>147070</v>
      </c>
      <c r="BD766" t="s">
        <v>74</v>
      </c>
      <c r="BE766" t="s">
        <v>4020</v>
      </c>
      <c r="BF766" t="s">
        <v>4021</v>
      </c>
      <c r="BH766" t="s">
        <v>77</v>
      </c>
      <c r="BI766" t="s">
        <v>92</v>
      </c>
      <c r="BJ766" t="s">
        <v>79</v>
      </c>
      <c r="BM766">
        <v>1</v>
      </c>
      <c r="BN766">
        <v>0</v>
      </c>
      <c r="BO766">
        <v>1</v>
      </c>
      <c r="BP766" t="s">
        <v>80</v>
      </c>
      <c r="BR766">
        <v>0</v>
      </c>
      <c r="BS766">
        <v>6</v>
      </c>
      <c r="BU766">
        <v>73535</v>
      </c>
    </row>
    <row r="767" spans="1:73" x14ac:dyDescent="0.3">
      <c r="A767" t="s">
        <v>4025</v>
      </c>
      <c r="B767">
        <v>0</v>
      </c>
      <c r="C767">
        <v>0</v>
      </c>
      <c r="D767">
        <v>1</v>
      </c>
      <c r="E767">
        <v>8800000</v>
      </c>
      <c r="F767">
        <v>0</v>
      </c>
      <c r="G767">
        <v>0</v>
      </c>
      <c r="H767">
        <v>3</v>
      </c>
      <c r="I767">
        <v>103899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48693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19640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7</v>
      </c>
      <c r="BC767" s="1">
        <v>9400803</v>
      </c>
      <c r="BD767" t="s">
        <v>74</v>
      </c>
      <c r="BE767" t="s">
        <v>4026</v>
      </c>
      <c r="BF767" t="s">
        <v>4027</v>
      </c>
      <c r="BH767" t="s">
        <v>77</v>
      </c>
      <c r="BI767" t="s">
        <v>92</v>
      </c>
      <c r="BJ767" t="s">
        <v>79</v>
      </c>
      <c r="BM767">
        <v>2</v>
      </c>
      <c r="BN767">
        <v>2</v>
      </c>
      <c r="BO767">
        <v>4</v>
      </c>
      <c r="BP767" t="s">
        <v>80</v>
      </c>
      <c r="BR767">
        <v>0</v>
      </c>
      <c r="BS767">
        <v>5</v>
      </c>
      <c r="BU767">
        <v>8972232</v>
      </c>
    </row>
    <row r="768" spans="1:73" x14ac:dyDescent="0.3">
      <c r="A768" t="s">
        <v>4031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2</v>
      </c>
      <c r="I768">
        <v>50000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2</v>
      </c>
      <c r="BC768" s="1">
        <v>50000</v>
      </c>
      <c r="BD768" t="s">
        <v>74</v>
      </c>
      <c r="BE768" t="s">
        <v>4032</v>
      </c>
      <c r="BF768" t="s">
        <v>4033</v>
      </c>
      <c r="BH768" t="s">
        <v>77</v>
      </c>
      <c r="BI768" t="s">
        <v>78</v>
      </c>
      <c r="BJ768" t="s">
        <v>79</v>
      </c>
      <c r="BM768">
        <v>0</v>
      </c>
      <c r="BN768">
        <v>1</v>
      </c>
      <c r="BO768">
        <v>1</v>
      </c>
      <c r="BP768" t="s">
        <v>80</v>
      </c>
      <c r="BR768">
        <v>0</v>
      </c>
      <c r="BS768">
        <v>6</v>
      </c>
      <c r="BU768">
        <v>50000</v>
      </c>
    </row>
    <row r="769" spans="1:73" x14ac:dyDescent="0.3">
      <c r="A769" t="s">
        <v>4034</v>
      </c>
      <c r="B769">
        <v>0</v>
      </c>
      <c r="C769">
        <v>0</v>
      </c>
      <c r="D769">
        <v>1</v>
      </c>
      <c r="E769">
        <v>500000</v>
      </c>
      <c r="F769">
        <v>0</v>
      </c>
      <c r="G769">
        <v>0</v>
      </c>
      <c r="H769">
        <v>2</v>
      </c>
      <c r="I769">
        <v>40000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3</v>
      </c>
      <c r="BC769" s="1">
        <v>540000</v>
      </c>
      <c r="BD769" t="s">
        <v>74</v>
      </c>
      <c r="BE769" t="s">
        <v>4035</v>
      </c>
      <c r="BF769" t="s">
        <v>3781</v>
      </c>
      <c r="BH769" t="s">
        <v>77</v>
      </c>
      <c r="BI769" t="s">
        <v>92</v>
      </c>
      <c r="BJ769" t="s">
        <v>79</v>
      </c>
      <c r="BM769">
        <v>0</v>
      </c>
      <c r="BN769">
        <v>2</v>
      </c>
      <c r="BO769">
        <v>2</v>
      </c>
      <c r="BP769" t="s">
        <v>80</v>
      </c>
      <c r="BR769">
        <v>0</v>
      </c>
      <c r="BS769">
        <v>6</v>
      </c>
      <c r="BU769">
        <v>540000</v>
      </c>
    </row>
    <row r="770" spans="1:73" x14ac:dyDescent="0.3">
      <c r="A770" t="s">
        <v>4036</v>
      </c>
      <c r="B770">
        <v>0</v>
      </c>
      <c r="C770">
        <v>0</v>
      </c>
      <c r="D770">
        <v>4</v>
      </c>
      <c r="E770">
        <v>394545</v>
      </c>
      <c r="F770">
        <v>0</v>
      </c>
      <c r="G770">
        <v>0</v>
      </c>
      <c r="H770">
        <v>4</v>
      </c>
      <c r="I770">
        <v>80000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8</v>
      </c>
      <c r="BC770" s="1">
        <v>789090</v>
      </c>
      <c r="BD770" t="s">
        <v>74</v>
      </c>
      <c r="BE770" t="s">
        <v>4037</v>
      </c>
      <c r="BF770" t="s">
        <v>4038</v>
      </c>
      <c r="BH770" t="s">
        <v>77</v>
      </c>
      <c r="BI770" t="s">
        <v>204</v>
      </c>
      <c r="BJ770" t="s">
        <v>79</v>
      </c>
      <c r="BM770">
        <v>0</v>
      </c>
      <c r="BN770">
        <v>2</v>
      </c>
      <c r="BO770">
        <v>2</v>
      </c>
      <c r="BP770" t="s">
        <v>80</v>
      </c>
      <c r="BR770">
        <v>0</v>
      </c>
      <c r="BS770">
        <v>6</v>
      </c>
      <c r="BU770">
        <v>474545</v>
      </c>
    </row>
    <row r="771" spans="1:73" x14ac:dyDescent="0.3">
      <c r="A771" t="s">
        <v>4039</v>
      </c>
      <c r="B771">
        <v>1</v>
      </c>
      <c r="C771">
        <v>257908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 s="1">
        <v>257908</v>
      </c>
      <c r="BD771" t="s">
        <v>74</v>
      </c>
      <c r="BE771" t="s">
        <v>4040</v>
      </c>
      <c r="BF771" t="s">
        <v>4041</v>
      </c>
      <c r="BH771" t="s">
        <v>77</v>
      </c>
      <c r="BI771" t="s">
        <v>88</v>
      </c>
      <c r="BJ771" t="s">
        <v>79</v>
      </c>
      <c r="BM771">
        <v>0</v>
      </c>
      <c r="BN771">
        <v>1</v>
      </c>
      <c r="BO771">
        <v>1</v>
      </c>
      <c r="BP771" t="s">
        <v>80</v>
      </c>
      <c r="BR771">
        <v>0</v>
      </c>
      <c r="BS771">
        <v>6</v>
      </c>
      <c r="BU771">
        <v>257908</v>
      </c>
    </row>
    <row r="772" spans="1:73" x14ac:dyDescent="0.3">
      <c r="A772" t="s">
        <v>4042</v>
      </c>
      <c r="B772">
        <v>5</v>
      </c>
      <c r="C772">
        <v>715848</v>
      </c>
      <c r="D772">
        <v>5</v>
      </c>
      <c r="E772">
        <v>2246364</v>
      </c>
      <c r="F772">
        <v>0</v>
      </c>
      <c r="G772">
        <v>0</v>
      </c>
      <c r="H772">
        <v>6</v>
      </c>
      <c r="I772">
        <v>172728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14</v>
      </c>
      <c r="BC772" s="1">
        <v>4128576</v>
      </c>
      <c r="BD772" t="s">
        <v>74</v>
      </c>
      <c r="BE772" t="s">
        <v>4043</v>
      </c>
      <c r="BF772" t="s">
        <v>4044</v>
      </c>
      <c r="BH772" t="s">
        <v>136</v>
      </c>
      <c r="BI772" t="s">
        <v>191</v>
      </c>
      <c r="BJ772" t="s">
        <v>125</v>
      </c>
      <c r="BM772">
        <v>0</v>
      </c>
      <c r="BN772">
        <v>3</v>
      </c>
      <c r="BO772">
        <v>3</v>
      </c>
      <c r="BP772" t="s">
        <v>80</v>
      </c>
      <c r="BR772">
        <v>0</v>
      </c>
      <c r="BS772">
        <v>6</v>
      </c>
      <c r="BU772">
        <v>3134940</v>
      </c>
    </row>
    <row r="773" spans="1:73" x14ac:dyDescent="0.3">
      <c r="A773" t="s">
        <v>4045</v>
      </c>
      <c r="B773">
        <v>0</v>
      </c>
      <c r="C773">
        <v>0</v>
      </c>
      <c r="D773">
        <v>3</v>
      </c>
      <c r="E773">
        <v>270400</v>
      </c>
      <c r="F773">
        <v>0</v>
      </c>
      <c r="G773">
        <v>0</v>
      </c>
      <c r="H773">
        <v>4</v>
      </c>
      <c r="I773">
        <v>80000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73535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19792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10</v>
      </c>
      <c r="BC773" s="1">
        <v>727454</v>
      </c>
      <c r="BD773" t="s">
        <v>74</v>
      </c>
      <c r="BE773" t="s">
        <v>4046</v>
      </c>
      <c r="BF773" t="s">
        <v>4047</v>
      </c>
      <c r="BH773" t="s">
        <v>77</v>
      </c>
      <c r="BI773" t="s">
        <v>92</v>
      </c>
      <c r="BJ773" t="s">
        <v>79</v>
      </c>
      <c r="BM773">
        <v>2</v>
      </c>
      <c r="BN773">
        <v>2</v>
      </c>
      <c r="BO773">
        <v>4</v>
      </c>
      <c r="BP773" t="s">
        <v>80</v>
      </c>
      <c r="BR773">
        <v>0</v>
      </c>
      <c r="BS773">
        <v>6</v>
      </c>
      <c r="BU773">
        <v>443727</v>
      </c>
    </row>
    <row r="774" spans="1:73" x14ac:dyDescent="0.3">
      <c r="A774" t="s">
        <v>4048</v>
      </c>
      <c r="B774">
        <v>4</v>
      </c>
      <c r="C774">
        <v>1193951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20000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6</v>
      </c>
      <c r="BC774" s="1">
        <v>1233951</v>
      </c>
      <c r="BD774" t="s">
        <v>74</v>
      </c>
      <c r="BE774" t="s">
        <v>4049</v>
      </c>
      <c r="BF774" t="s">
        <v>4050</v>
      </c>
      <c r="BH774" t="s">
        <v>77</v>
      </c>
      <c r="BI774" t="s">
        <v>92</v>
      </c>
      <c r="BJ774" t="s">
        <v>79</v>
      </c>
      <c r="BM774">
        <v>1</v>
      </c>
      <c r="BN774">
        <v>1</v>
      </c>
      <c r="BO774">
        <v>2</v>
      </c>
      <c r="BP774" t="s">
        <v>80</v>
      </c>
      <c r="BR774">
        <v>0</v>
      </c>
      <c r="BS774">
        <v>6</v>
      </c>
      <c r="BU774">
        <v>1213951</v>
      </c>
    </row>
    <row r="775" spans="1:73" x14ac:dyDescent="0.3">
      <c r="A775" t="s">
        <v>4051</v>
      </c>
      <c r="B775">
        <v>0</v>
      </c>
      <c r="C775">
        <v>0</v>
      </c>
      <c r="D775">
        <v>3</v>
      </c>
      <c r="E775">
        <v>283562</v>
      </c>
      <c r="F775">
        <v>0</v>
      </c>
      <c r="G775">
        <v>0</v>
      </c>
      <c r="H775">
        <v>4</v>
      </c>
      <c r="I775">
        <v>148942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6</v>
      </c>
      <c r="BC775" s="1">
        <v>567124</v>
      </c>
      <c r="BD775" t="s">
        <v>74</v>
      </c>
      <c r="BE775" t="s">
        <v>4052</v>
      </c>
      <c r="BF775" t="s">
        <v>4053</v>
      </c>
      <c r="BH775" t="s">
        <v>77</v>
      </c>
      <c r="BI775" t="s">
        <v>88</v>
      </c>
      <c r="BJ775" t="s">
        <v>79</v>
      </c>
      <c r="BM775">
        <v>0</v>
      </c>
      <c r="BN775">
        <v>2</v>
      </c>
      <c r="BO775">
        <v>2</v>
      </c>
      <c r="BP775" t="s">
        <v>80</v>
      </c>
      <c r="BR775">
        <v>0</v>
      </c>
      <c r="BS775">
        <v>6</v>
      </c>
      <c r="BU775">
        <v>432504</v>
      </c>
    </row>
    <row r="776" spans="1:73" x14ac:dyDescent="0.3">
      <c r="A776" t="s">
        <v>4057</v>
      </c>
      <c r="B776">
        <v>1</v>
      </c>
      <c r="C776">
        <v>520815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 s="1">
        <v>520815</v>
      </c>
      <c r="BD776" t="s">
        <v>74</v>
      </c>
      <c r="BE776" t="s">
        <v>4058</v>
      </c>
      <c r="BF776" t="s">
        <v>4059</v>
      </c>
      <c r="BH776" t="s">
        <v>77</v>
      </c>
      <c r="BI776" t="s">
        <v>88</v>
      </c>
      <c r="BJ776" t="s">
        <v>79</v>
      </c>
      <c r="BM776">
        <v>0</v>
      </c>
      <c r="BN776">
        <v>1</v>
      </c>
      <c r="BO776">
        <v>1</v>
      </c>
      <c r="BP776" t="s">
        <v>80</v>
      </c>
      <c r="BR776">
        <v>0</v>
      </c>
      <c r="BS776">
        <v>6</v>
      </c>
      <c r="BU776">
        <v>520815</v>
      </c>
    </row>
    <row r="777" spans="1:73" x14ac:dyDescent="0.3">
      <c r="A777" t="s">
        <v>4063</v>
      </c>
      <c r="B777">
        <v>0</v>
      </c>
      <c r="C777">
        <v>0</v>
      </c>
      <c r="D777">
        <v>1</v>
      </c>
      <c r="E777">
        <v>20000</v>
      </c>
      <c r="F777">
        <v>0</v>
      </c>
      <c r="G777">
        <v>0</v>
      </c>
      <c r="H777">
        <v>1</v>
      </c>
      <c r="I777">
        <v>20000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73535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3</v>
      </c>
      <c r="BC777" s="1">
        <v>167070</v>
      </c>
      <c r="BD777" t="s">
        <v>74</v>
      </c>
      <c r="BE777" t="s">
        <v>4064</v>
      </c>
      <c r="BF777" t="s">
        <v>4065</v>
      </c>
      <c r="BH777" t="s">
        <v>77</v>
      </c>
      <c r="BI777" t="s">
        <v>78</v>
      </c>
      <c r="BJ777" t="s">
        <v>79</v>
      </c>
      <c r="BM777">
        <v>1</v>
      </c>
      <c r="BN777">
        <v>2</v>
      </c>
      <c r="BO777">
        <v>3</v>
      </c>
      <c r="BP777" t="s">
        <v>80</v>
      </c>
      <c r="BR777">
        <v>0</v>
      </c>
      <c r="BS777">
        <v>6</v>
      </c>
      <c r="BU777">
        <v>113535</v>
      </c>
    </row>
    <row r="778" spans="1:73" x14ac:dyDescent="0.3">
      <c r="A778" t="s">
        <v>4066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19792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 s="1">
        <v>19792</v>
      </c>
      <c r="BD778" t="s">
        <v>74</v>
      </c>
      <c r="BE778" t="s">
        <v>4067</v>
      </c>
      <c r="BF778" t="s">
        <v>4068</v>
      </c>
      <c r="BH778" t="s">
        <v>77</v>
      </c>
      <c r="BI778" t="s">
        <v>593</v>
      </c>
      <c r="BJ778" t="s">
        <v>79</v>
      </c>
      <c r="BM778">
        <v>1</v>
      </c>
      <c r="BN778">
        <v>0</v>
      </c>
      <c r="BO778">
        <v>1</v>
      </c>
      <c r="BP778" t="s">
        <v>80</v>
      </c>
      <c r="BR778">
        <v>0</v>
      </c>
      <c r="BS778">
        <v>0</v>
      </c>
      <c r="BU778">
        <v>19792</v>
      </c>
    </row>
    <row r="779" spans="1:73" x14ac:dyDescent="0.3">
      <c r="A779" t="s">
        <v>4069</v>
      </c>
      <c r="B779">
        <v>0</v>
      </c>
      <c r="C779">
        <v>0</v>
      </c>
      <c r="D779">
        <v>1</v>
      </c>
      <c r="E779">
        <v>200000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18182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4</v>
      </c>
      <c r="BC779" s="1">
        <v>436364</v>
      </c>
      <c r="BD779" t="s">
        <v>74</v>
      </c>
      <c r="BE779" t="s">
        <v>4070</v>
      </c>
      <c r="BF779" t="s">
        <v>4071</v>
      </c>
      <c r="BH779" t="s">
        <v>77</v>
      </c>
      <c r="BI779" t="s">
        <v>281</v>
      </c>
      <c r="BJ779" t="s">
        <v>79</v>
      </c>
      <c r="BM779">
        <v>0</v>
      </c>
      <c r="BN779">
        <v>2</v>
      </c>
      <c r="BO779">
        <v>2</v>
      </c>
      <c r="BP779" t="s">
        <v>80</v>
      </c>
      <c r="BR779">
        <v>0</v>
      </c>
      <c r="BS779">
        <v>6</v>
      </c>
      <c r="BU779">
        <v>218182</v>
      </c>
    </row>
    <row r="780" spans="1:73" x14ac:dyDescent="0.3">
      <c r="A780" t="s">
        <v>4077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73535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 s="1">
        <v>73535</v>
      </c>
      <c r="BD780" t="s">
        <v>74</v>
      </c>
      <c r="BE780" t="s">
        <v>4078</v>
      </c>
      <c r="BF780" t="s">
        <v>4079</v>
      </c>
      <c r="BH780" t="s">
        <v>77</v>
      </c>
      <c r="BI780" t="s">
        <v>204</v>
      </c>
      <c r="BJ780" t="s">
        <v>79</v>
      </c>
      <c r="BM780">
        <v>1</v>
      </c>
      <c r="BN780">
        <v>0</v>
      </c>
      <c r="BO780">
        <v>1</v>
      </c>
      <c r="BP780" t="s">
        <v>80</v>
      </c>
      <c r="BR780">
        <v>0</v>
      </c>
      <c r="BS780">
        <v>0</v>
      </c>
      <c r="BU780">
        <v>73535</v>
      </c>
    </row>
    <row r="781" spans="1:73" x14ac:dyDescent="0.3">
      <c r="A781" t="s">
        <v>4083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9697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2</v>
      </c>
      <c r="BC781" s="1">
        <v>19394</v>
      </c>
      <c r="BD781" t="s">
        <v>74</v>
      </c>
      <c r="BE781" t="s">
        <v>4084</v>
      </c>
      <c r="BF781" t="s">
        <v>4085</v>
      </c>
      <c r="BH781" t="s">
        <v>77</v>
      </c>
      <c r="BI781" t="s">
        <v>78</v>
      </c>
      <c r="BJ781" t="s">
        <v>79</v>
      </c>
      <c r="BM781">
        <v>1</v>
      </c>
      <c r="BN781">
        <v>0</v>
      </c>
      <c r="BO781">
        <v>1</v>
      </c>
      <c r="BP781" t="s">
        <v>80</v>
      </c>
      <c r="BR781">
        <v>0</v>
      </c>
      <c r="BS781">
        <v>0</v>
      </c>
      <c r="BU781">
        <v>9697</v>
      </c>
    </row>
    <row r="782" spans="1:73" x14ac:dyDescent="0.3">
      <c r="A782" t="s">
        <v>4086</v>
      </c>
      <c r="B782">
        <v>0</v>
      </c>
      <c r="C782">
        <v>0</v>
      </c>
      <c r="D782">
        <v>6</v>
      </c>
      <c r="E782">
        <v>4560559</v>
      </c>
      <c r="F782">
        <v>0</v>
      </c>
      <c r="G782">
        <v>0</v>
      </c>
      <c r="H782">
        <v>8</v>
      </c>
      <c r="I782">
        <v>206832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375000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14</v>
      </c>
      <c r="BC782" s="1">
        <v>9871118</v>
      </c>
      <c r="BD782" t="s">
        <v>74</v>
      </c>
      <c r="BE782" t="s">
        <v>4087</v>
      </c>
      <c r="BF782" t="s">
        <v>4088</v>
      </c>
      <c r="BH782" t="s">
        <v>77</v>
      </c>
      <c r="BI782" t="s">
        <v>92</v>
      </c>
      <c r="BJ782" t="s">
        <v>79</v>
      </c>
      <c r="BM782">
        <v>1</v>
      </c>
      <c r="BN782">
        <v>2</v>
      </c>
      <c r="BO782">
        <v>3</v>
      </c>
      <c r="BP782" t="s">
        <v>80</v>
      </c>
      <c r="BR782">
        <v>0</v>
      </c>
      <c r="BS782">
        <v>5</v>
      </c>
      <c r="BU782">
        <v>5142391</v>
      </c>
    </row>
    <row r="783" spans="1:73" x14ac:dyDescent="0.3">
      <c r="A783" t="s">
        <v>4101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73535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19792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3</v>
      </c>
      <c r="BC783" s="1">
        <v>166862</v>
      </c>
      <c r="BD783" t="s">
        <v>74</v>
      </c>
      <c r="BE783" t="s">
        <v>4102</v>
      </c>
      <c r="BF783" t="s">
        <v>4103</v>
      </c>
      <c r="BH783" t="s">
        <v>77</v>
      </c>
      <c r="BI783" t="s">
        <v>593</v>
      </c>
      <c r="BJ783" t="s">
        <v>79</v>
      </c>
      <c r="BM783">
        <v>2</v>
      </c>
      <c r="BN783">
        <v>0</v>
      </c>
      <c r="BO783">
        <v>2</v>
      </c>
      <c r="BP783" t="s">
        <v>80</v>
      </c>
      <c r="BR783">
        <v>0</v>
      </c>
      <c r="BS783">
        <v>6</v>
      </c>
      <c r="BU783">
        <v>93327</v>
      </c>
    </row>
    <row r="784" spans="1:73" x14ac:dyDescent="0.3">
      <c r="A784" t="s">
        <v>4104</v>
      </c>
      <c r="B784">
        <v>0</v>
      </c>
      <c r="C784">
        <v>0</v>
      </c>
      <c r="D784">
        <v>1</v>
      </c>
      <c r="E784">
        <v>285600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43523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4394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6</v>
      </c>
      <c r="BC784" s="1">
        <v>667034</v>
      </c>
      <c r="BD784" t="s">
        <v>74</v>
      </c>
      <c r="BE784" t="s">
        <v>4105</v>
      </c>
      <c r="BF784" t="s">
        <v>4106</v>
      </c>
      <c r="BH784" t="s">
        <v>77</v>
      </c>
      <c r="BI784" t="s">
        <v>204</v>
      </c>
      <c r="BJ784" t="s">
        <v>79</v>
      </c>
      <c r="BM784">
        <v>2</v>
      </c>
      <c r="BN784">
        <v>1</v>
      </c>
      <c r="BO784">
        <v>3</v>
      </c>
      <c r="BP784" t="s">
        <v>80</v>
      </c>
      <c r="BR784">
        <v>0</v>
      </c>
      <c r="BS784">
        <v>6</v>
      </c>
      <c r="BU784">
        <v>333517</v>
      </c>
    </row>
    <row r="785" spans="1:73" x14ac:dyDescent="0.3">
      <c r="A785" t="s">
        <v>4110</v>
      </c>
      <c r="B785">
        <v>0</v>
      </c>
      <c r="C785">
        <v>0</v>
      </c>
      <c r="D785">
        <v>4</v>
      </c>
      <c r="E785">
        <v>1040000</v>
      </c>
      <c r="F785">
        <v>0</v>
      </c>
      <c r="G785">
        <v>0</v>
      </c>
      <c r="H785">
        <v>4</v>
      </c>
      <c r="I785">
        <v>80000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8</v>
      </c>
      <c r="BC785" s="1">
        <v>2080000</v>
      </c>
      <c r="BD785" t="s">
        <v>74</v>
      </c>
      <c r="BE785" t="s">
        <v>4111</v>
      </c>
      <c r="BF785" t="s">
        <v>4112</v>
      </c>
      <c r="BH785" t="s">
        <v>77</v>
      </c>
      <c r="BI785" t="s">
        <v>84</v>
      </c>
      <c r="BJ785" t="s">
        <v>79</v>
      </c>
      <c r="BM785">
        <v>0</v>
      </c>
      <c r="BN785">
        <v>2</v>
      </c>
      <c r="BO785">
        <v>2</v>
      </c>
      <c r="BP785" t="s">
        <v>80</v>
      </c>
      <c r="BR785">
        <v>0</v>
      </c>
      <c r="BS785">
        <v>6</v>
      </c>
      <c r="BU785">
        <v>1120000</v>
      </c>
    </row>
    <row r="786" spans="1:73" x14ac:dyDescent="0.3">
      <c r="A786" t="s">
        <v>4113</v>
      </c>
      <c r="B786">
        <v>0</v>
      </c>
      <c r="C786">
        <v>126764</v>
      </c>
      <c r="D786">
        <v>1</v>
      </c>
      <c r="E786">
        <v>164182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2</v>
      </c>
      <c r="BC786" s="1">
        <v>455128</v>
      </c>
      <c r="BD786" t="s">
        <v>74</v>
      </c>
      <c r="BE786" t="s">
        <v>4114</v>
      </c>
      <c r="BF786" t="s">
        <v>4115</v>
      </c>
      <c r="BH786" t="s">
        <v>77</v>
      </c>
      <c r="BI786" t="s">
        <v>228</v>
      </c>
      <c r="BJ786" t="s">
        <v>79</v>
      </c>
      <c r="BM786">
        <v>0</v>
      </c>
      <c r="BN786">
        <v>1</v>
      </c>
      <c r="BO786">
        <v>1</v>
      </c>
      <c r="BP786" t="s">
        <v>80</v>
      </c>
      <c r="BR786">
        <v>0</v>
      </c>
      <c r="BS786">
        <v>6</v>
      </c>
      <c r="BU786">
        <v>290946</v>
      </c>
    </row>
    <row r="787" spans="1:73" x14ac:dyDescent="0.3">
      <c r="A787" t="s">
        <v>4116</v>
      </c>
      <c r="B787">
        <v>0</v>
      </c>
      <c r="C787">
        <v>0</v>
      </c>
      <c r="D787">
        <v>1</v>
      </c>
      <c r="E787">
        <v>230000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 s="1">
        <v>230000</v>
      </c>
      <c r="BD787" t="s">
        <v>74</v>
      </c>
      <c r="BE787" t="s">
        <v>4117</v>
      </c>
      <c r="BF787" t="s">
        <v>4118</v>
      </c>
      <c r="BH787" t="s">
        <v>77</v>
      </c>
      <c r="BI787" t="s">
        <v>593</v>
      </c>
      <c r="BJ787" t="s">
        <v>79</v>
      </c>
      <c r="BM787">
        <v>0</v>
      </c>
      <c r="BN787">
        <v>1</v>
      </c>
      <c r="BO787">
        <v>1</v>
      </c>
      <c r="BP787" t="s">
        <v>80</v>
      </c>
      <c r="BR787">
        <v>0</v>
      </c>
      <c r="BS787">
        <v>6</v>
      </c>
      <c r="BU787">
        <v>230000</v>
      </c>
    </row>
    <row r="788" spans="1:73" x14ac:dyDescent="0.3">
      <c r="A788" t="s">
        <v>4122</v>
      </c>
      <c r="B788">
        <v>0</v>
      </c>
      <c r="C788">
        <v>0</v>
      </c>
      <c r="D788">
        <v>2</v>
      </c>
      <c r="E788">
        <v>294286</v>
      </c>
      <c r="F788">
        <v>0</v>
      </c>
      <c r="G788">
        <v>0</v>
      </c>
      <c r="H788">
        <v>2</v>
      </c>
      <c r="I788">
        <v>40000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3</v>
      </c>
      <c r="BC788" s="1">
        <v>314286</v>
      </c>
      <c r="BD788" t="s">
        <v>74</v>
      </c>
      <c r="BE788" t="s">
        <v>4123</v>
      </c>
      <c r="BF788" t="s">
        <v>4124</v>
      </c>
      <c r="BH788" t="s">
        <v>77</v>
      </c>
      <c r="BI788" t="s">
        <v>593</v>
      </c>
      <c r="BJ788" t="s">
        <v>79</v>
      </c>
      <c r="BM788">
        <v>0</v>
      </c>
      <c r="BN788">
        <v>2</v>
      </c>
      <c r="BO788">
        <v>2</v>
      </c>
      <c r="BP788" t="s">
        <v>80</v>
      </c>
      <c r="BR788">
        <v>0</v>
      </c>
      <c r="BS788">
        <v>6</v>
      </c>
      <c r="BU788">
        <v>334286</v>
      </c>
    </row>
    <row r="789" spans="1:73" x14ac:dyDescent="0.3">
      <c r="A789" t="s">
        <v>4131</v>
      </c>
      <c r="B789">
        <v>0</v>
      </c>
      <c r="C789">
        <v>0</v>
      </c>
      <c r="D789">
        <v>3</v>
      </c>
      <c r="E789">
        <v>2475663</v>
      </c>
      <c r="F789">
        <v>0</v>
      </c>
      <c r="G789">
        <v>0</v>
      </c>
      <c r="H789">
        <v>4</v>
      </c>
      <c r="I789">
        <v>151326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6</v>
      </c>
      <c r="BC789" s="1">
        <v>4951326</v>
      </c>
      <c r="BD789" t="s">
        <v>74</v>
      </c>
      <c r="BE789" t="s">
        <v>4132</v>
      </c>
      <c r="BF789" t="s">
        <v>4133</v>
      </c>
      <c r="BH789" t="s">
        <v>77</v>
      </c>
      <c r="BI789" t="s">
        <v>84</v>
      </c>
      <c r="BJ789" t="s">
        <v>79</v>
      </c>
      <c r="BM789">
        <v>0</v>
      </c>
      <c r="BN789">
        <v>2</v>
      </c>
      <c r="BO789">
        <v>2</v>
      </c>
      <c r="BP789" t="s">
        <v>80</v>
      </c>
      <c r="BR789">
        <v>0</v>
      </c>
      <c r="BS789">
        <v>6</v>
      </c>
      <c r="BU789">
        <v>2626989</v>
      </c>
    </row>
    <row r="790" spans="1:73" x14ac:dyDescent="0.3">
      <c r="A790" t="s">
        <v>4134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73535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2</v>
      </c>
      <c r="BC790" s="1">
        <v>147070</v>
      </c>
      <c r="BD790" t="s">
        <v>74</v>
      </c>
      <c r="BE790" t="s">
        <v>4135</v>
      </c>
      <c r="BF790" t="s">
        <v>4136</v>
      </c>
      <c r="BH790" t="s">
        <v>77</v>
      </c>
      <c r="BI790" t="s">
        <v>574</v>
      </c>
      <c r="BJ790" t="s">
        <v>79</v>
      </c>
      <c r="BM790">
        <v>1</v>
      </c>
      <c r="BN790">
        <v>0</v>
      </c>
      <c r="BO790">
        <v>1</v>
      </c>
      <c r="BP790" t="s">
        <v>80</v>
      </c>
      <c r="BR790">
        <v>0</v>
      </c>
      <c r="BS790">
        <v>6</v>
      </c>
      <c r="BU790">
        <v>73535</v>
      </c>
    </row>
    <row r="791" spans="1:73" x14ac:dyDescent="0.3">
      <c r="A791" t="s">
        <v>4137</v>
      </c>
      <c r="B791">
        <v>0</v>
      </c>
      <c r="C791">
        <v>807927</v>
      </c>
      <c r="D791">
        <v>16</v>
      </c>
      <c r="E791">
        <v>3028827</v>
      </c>
      <c r="F791">
        <v>0</v>
      </c>
      <c r="G791">
        <v>0</v>
      </c>
      <c r="H791">
        <v>26</v>
      </c>
      <c r="I791">
        <v>576926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31</v>
      </c>
      <c r="BC791" s="1">
        <v>6705217</v>
      </c>
      <c r="BD791" t="s">
        <v>74</v>
      </c>
      <c r="BE791" t="s">
        <v>4138</v>
      </c>
      <c r="BF791" t="s">
        <v>4139</v>
      </c>
      <c r="BH791" t="s">
        <v>77</v>
      </c>
      <c r="BI791" t="s">
        <v>593</v>
      </c>
      <c r="BJ791" t="s">
        <v>79</v>
      </c>
      <c r="BM791">
        <v>0</v>
      </c>
      <c r="BN791">
        <v>2</v>
      </c>
      <c r="BO791">
        <v>2</v>
      </c>
      <c r="BP791" t="s">
        <v>80</v>
      </c>
      <c r="BR791">
        <v>0</v>
      </c>
      <c r="BS791">
        <v>6</v>
      </c>
      <c r="BU791">
        <v>4413680</v>
      </c>
    </row>
    <row r="792" spans="1:73" x14ac:dyDescent="0.3">
      <c r="A792" t="s">
        <v>4140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73535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2</v>
      </c>
      <c r="BC792" s="1">
        <v>147070</v>
      </c>
      <c r="BD792" t="s">
        <v>74</v>
      </c>
      <c r="BE792" t="s">
        <v>4141</v>
      </c>
      <c r="BF792" t="s">
        <v>4142</v>
      </c>
      <c r="BH792" t="s">
        <v>77</v>
      </c>
      <c r="BI792" t="s">
        <v>92</v>
      </c>
      <c r="BJ792" t="s">
        <v>79</v>
      </c>
      <c r="BM792">
        <v>1</v>
      </c>
      <c r="BN792">
        <v>0</v>
      </c>
      <c r="BO792">
        <v>1</v>
      </c>
      <c r="BP792" t="s">
        <v>80</v>
      </c>
      <c r="BR792">
        <v>0</v>
      </c>
      <c r="BS792">
        <v>6</v>
      </c>
      <c r="BU792">
        <v>73535</v>
      </c>
    </row>
    <row r="793" spans="1:73" x14ac:dyDescent="0.3">
      <c r="A793" t="s">
        <v>4143</v>
      </c>
      <c r="B793">
        <v>0</v>
      </c>
      <c r="C793">
        <v>0</v>
      </c>
      <c r="D793">
        <v>2</v>
      </c>
      <c r="E793">
        <v>5625771</v>
      </c>
      <c r="F793">
        <v>0</v>
      </c>
      <c r="G793">
        <v>0</v>
      </c>
      <c r="H793">
        <v>2</v>
      </c>
      <c r="I793">
        <v>51542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4</v>
      </c>
      <c r="BC793" s="1">
        <v>11251542</v>
      </c>
      <c r="BD793" t="s">
        <v>74</v>
      </c>
      <c r="BE793" t="s">
        <v>4144</v>
      </c>
      <c r="BF793" t="s">
        <v>4145</v>
      </c>
      <c r="BH793" t="s">
        <v>77</v>
      </c>
      <c r="BI793" t="s">
        <v>593</v>
      </c>
      <c r="BJ793" t="s">
        <v>79</v>
      </c>
      <c r="BM793">
        <v>0</v>
      </c>
      <c r="BN793">
        <v>2</v>
      </c>
      <c r="BO793">
        <v>2</v>
      </c>
      <c r="BP793" t="s">
        <v>80</v>
      </c>
      <c r="BR793">
        <v>0</v>
      </c>
      <c r="BS793">
        <v>5</v>
      </c>
      <c r="BU793">
        <v>5677313</v>
      </c>
    </row>
    <row r="794" spans="1:73" x14ac:dyDescent="0.3">
      <c r="A794" t="s">
        <v>4146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57208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2</v>
      </c>
      <c r="BC794" s="1">
        <v>140201</v>
      </c>
      <c r="BD794" t="s">
        <v>74</v>
      </c>
      <c r="BE794" t="s">
        <v>4147</v>
      </c>
      <c r="BF794" t="s">
        <v>4148</v>
      </c>
      <c r="BH794" t="s">
        <v>77</v>
      </c>
      <c r="BI794" t="s">
        <v>88</v>
      </c>
      <c r="BJ794" t="s">
        <v>79</v>
      </c>
      <c r="BM794">
        <v>1</v>
      </c>
      <c r="BN794">
        <v>0</v>
      </c>
      <c r="BO794">
        <v>1</v>
      </c>
      <c r="BP794" t="s">
        <v>80</v>
      </c>
      <c r="BR794">
        <v>0</v>
      </c>
      <c r="BS794">
        <v>0</v>
      </c>
      <c r="BU794">
        <v>57208</v>
      </c>
    </row>
    <row r="795" spans="1:73" x14ac:dyDescent="0.3">
      <c r="A795" t="s">
        <v>4152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73535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19792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3</v>
      </c>
      <c r="BC795" s="1">
        <v>166862</v>
      </c>
      <c r="BD795" t="s">
        <v>74</v>
      </c>
      <c r="BE795" t="s">
        <v>4153</v>
      </c>
      <c r="BF795" t="s">
        <v>4154</v>
      </c>
      <c r="BH795" t="s">
        <v>77</v>
      </c>
      <c r="BI795" t="s">
        <v>92</v>
      </c>
      <c r="BJ795" t="s">
        <v>79</v>
      </c>
      <c r="BM795">
        <v>2</v>
      </c>
      <c r="BN795">
        <v>0</v>
      </c>
      <c r="BO795">
        <v>2</v>
      </c>
      <c r="BP795" t="s">
        <v>80</v>
      </c>
      <c r="BR795">
        <v>0</v>
      </c>
      <c r="BS795">
        <v>6</v>
      </c>
      <c r="BU795">
        <v>93327</v>
      </c>
    </row>
    <row r="796" spans="1:73" x14ac:dyDescent="0.3">
      <c r="A796" t="s">
        <v>4155</v>
      </c>
      <c r="B796">
        <v>1</v>
      </c>
      <c r="C796">
        <v>606494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96439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3</v>
      </c>
      <c r="BC796" s="1">
        <v>799372</v>
      </c>
      <c r="BD796" t="s">
        <v>74</v>
      </c>
      <c r="BE796" t="s">
        <v>4156</v>
      </c>
      <c r="BF796" t="s">
        <v>4157</v>
      </c>
      <c r="BH796" t="s">
        <v>77</v>
      </c>
      <c r="BI796" t="s">
        <v>92</v>
      </c>
      <c r="BJ796" t="s">
        <v>79</v>
      </c>
      <c r="BM796">
        <v>1</v>
      </c>
      <c r="BN796">
        <v>1</v>
      </c>
      <c r="BO796">
        <v>2</v>
      </c>
      <c r="BP796" t="s">
        <v>80</v>
      </c>
      <c r="BR796">
        <v>0</v>
      </c>
      <c r="BS796">
        <v>6</v>
      </c>
      <c r="BU796">
        <v>702933</v>
      </c>
    </row>
    <row r="797" spans="1:73" x14ac:dyDescent="0.3">
      <c r="A797" t="s">
        <v>4158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220605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4</v>
      </c>
      <c r="BC797" s="1">
        <v>441210</v>
      </c>
      <c r="BD797" t="s">
        <v>74</v>
      </c>
      <c r="BE797" t="s">
        <v>4159</v>
      </c>
      <c r="BF797" t="s">
        <v>4160</v>
      </c>
      <c r="BH797" t="s">
        <v>77</v>
      </c>
      <c r="BI797" t="s">
        <v>593</v>
      </c>
      <c r="BJ797" t="s">
        <v>79</v>
      </c>
      <c r="BM797">
        <v>1</v>
      </c>
      <c r="BN797">
        <v>0</v>
      </c>
      <c r="BO797">
        <v>1</v>
      </c>
      <c r="BP797" t="s">
        <v>80</v>
      </c>
      <c r="BR797">
        <v>0</v>
      </c>
      <c r="BS797">
        <v>6</v>
      </c>
      <c r="BU797">
        <v>220605</v>
      </c>
    </row>
    <row r="798" spans="1:73" x14ac:dyDescent="0.3">
      <c r="A798" t="s">
        <v>4161</v>
      </c>
      <c r="B798">
        <v>0</v>
      </c>
      <c r="C798">
        <v>0</v>
      </c>
      <c r="D798">
        <v>1</v>
      </c>
      <c r="E798">
        <v>230400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2</v>
      </c>
      <c r="BC798" s="1">
        <v>460800</v>
      </c>
      <c r="BD798" t="s">
        <v>74</v>
      </c>
      <c r="BE798" t="s">
        <v>4162</v>
      </c>
      <c r="BF798" t="s">
        <v>4163</v>
      </c>
      <c r="BH798" t="s">
        <v>77</v>
      </c>
      <c r="BI798" t="s">
        <v>88</v>
      </c>
      <c r="BJ798" t="s">
        <v>79</v>
      </c>
      <c r="BM798">
        <v>0</v>
      </c>
      <c r="BN798">
        <v>1</v>
      </c>
      <c r="BO798">
        <v>1</v>
      </c>
      <c r="BP798" t="s">
        <v>80</v>
      </c>
      <c r="BR798">
        <v>0</v>
      </c>
      <c r="BS798">
        <v>6</v>
      </c>
      <c r="BU798">
        <v>230400</v>
      </c>
    </row>
    <row r="799" spans="1:73" x14ac:dyDescent="0.3">
      <c r="A799" t="s">
        <v>4170</v>
      </c>
      <c r="B799">
        <v>0</v>
      </c>
      <c r="C799">
        <v>0</v>
      </c>
      <c r="D799">
        <v>3</v>
      </c>
      <c r="E799">
        <v>823536</v>
      </c>
      <c r="F799">
        <v>0</v>
      </c>
      <c r="G799">
        <v>0</v>
      </c>
      <c r="H799">
        <v>2</v>
      </c>
      <c r="I799">
        <v>45936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5</v>
      </c>
      <c r="BC799" s="1">
        <v>2099058</v>
      </c>
      <c r="BD799" t="s">
        <v>74</v>
      </c>
      <c r="BE799" t="s">
        <v>4171</v>
      </c>
      <c r="BF799" t="s">
        <v>4172</v>
      </c>
      <c r="BH799" t="s">
        <v>77</v>
      </c>
      <c r="BI799" t="s">
        <v>593</v>
      </c>
      <c r="BJ799" t="s">
        <v>79</v>
      </c>
      <c r="BM799">
        <v>0</v>
      </c>
      <c r="BN799">
        <v>2</v>
      </c>
      <c r="BO799">
        <v>2</v>
      </c>
      <c r="BP799" t="s">
        <v>80</v>
      </c>
      <c r="BR799">
        <v>0</v>
      </c>
      <c r="BS799">
        <v>6</v>
      </c>
      <c r="BU799">
        <v>869472</v>
      </c>
    </row>
    <row r="800" spans="1:73" x14ac:dyDescent="0.3">
      <c r="A800" t="s">
        <v>4176</v>
      </c>
      <c r="B800">
        <v>0</v>
      </c>
      <c r="C800">
        <v>0</v>
      </c>
      <c r="D800">
        <v>3</v>
      </c>
      <c r="E800">
        <v>1040000</v>
      </c>
      <c r="F800">
        <v>0</v>
      </c>
      <c r="G800">
        <v>0</v>
      </c>
      <c r="H800">
        <v>4</v>
      </c>
      <c r="I800">
        <v>80000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6</v>
      </c>
      <c r="BC800" s="1">
        <v>2080000</v>
      </c>
      <c r="BD800" t="s">
        <v>74</v>
      </c>
      <c r="BE800" t="s">
        <v>4177</v>
      </c>
      <c r="BF800" t="s">
        <v>3229</v>
      </c>
      <c r="BH800" t="s">
        <v>77</v>
      </c>
      <c r="BI800" t="s">
        <v>593</v>
      </c>
      <c r="BJ800" t="s">
        <v>79</v>
      </c>
      <c r="BM800">
        <v>0</v>
      </c>
      <c r="BN800">
        <v>2</v>
      </c>
      <c r="BO800">
        <v>2</v>
      </c>
      <c r="BP800" t="s">
        <v>80</v>
      </c>
      <c r="BR800">
        <v>0</v>
      </c>
      <c r="BS800">
        <v>6</v>
      </c>
      <c r="BU800">
        <v>1120000</v>
      </c>
    </row>
    <row r="801" spans="1:73" x14ac:dyDescent="0.3">
      <c r="A801" t="s">
        <v>4178</v>
      </c>
      <c r="B801">
        <v>0</v>
      </c>
      <c r="C801">
        <v>0</v>
      </c>
      <c r="D801">
        <v>1</v>
      </c>
      <c r="E801">
        <v>350000</v>
      </c>
      <c r="F801">
        <v>0</v>
      </c>
      <c r="G801">
        <v>0</v>
      </c>
      <c r="H801">
        <v>1</v>
      </c>
      <c r="I801">
        <v>20000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73535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5</v>
      </c>
      <c r="BC801" s="1">
        <v>867070</v>
      </c>
      <c r="BD801" t="s">
        <v>74</v>
      </c>
      <c r="BE801" t="s">
        <v>4179</v>
      </c>
      <c r="BF801" t="s">
        <v>4180</v>
      </c>
      <c r="BH801" t="s">
        <v>77</v>
      </c>
      <c r="BI801" t="s">
        <v>92</v>
      </c>
      <c r="BJ801" t="s">
        <v>79</v>
      </c>
      <c r="BM801">
        <v>1</v>
      </c>
      <c r="BN801">
        <v>2</v>
      </c>
      <c r="BO801">
        <v>3</v>
      </c>
      <c r="BP801" t="s">
        <v>80</v>
      </c>
      <c r="BR801">
        <v>0</v>
      </c>
      <c r="BS801">
        <v>6</v>
      </c>
      <c r="BU801">
        <v>443535</v>
      </c>
    </row>
    <row r="802" spans="1:73" x14ac:dyDescent="0.3">
      <c r="A802" t="s">
        <v>4181</v>
      </c>
      <c r="B802">
        <v>0</v>
      </c>
      <c r="C802">
        <v>0</v>
      </c>
      <c r="D802">
        <v>1</v>
      </c>
      <c r="E802">
        <v>114000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36000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2</v>
      </c>
      <c r="BC802" s="1">
        <v>150000</v>
      </c>
      <c r="BD802" t="s">
        <v>74</v>
      </c>
      <c r="BE802" t="s">
        <v>4182</v>
      </c>
      <c r="BF802" t="s">
        <v>4183</v>
      </c>
      <c r="BH802" t="s">
        <v>77</v>
      </c>
      <c r="BI802" t="s">
        <v>204</v>
      </c>
      <c r="BJ802" t="s">
        <v>79</v>
      </c>
      <c r="BM802">
        <v>0</v>
      </c>
      <c r="BN802">
        <v>2</v>
      </c>
      <c r="BO802">
        <v>2</v>
      </c>
      <c r="BP802" t="s">
        <v>80</v>
      </c>
      <c r="BR802">
        <v>0</v>
      </c>
      <c r="BS802">
        <v>6</v>
      </c>
      <c r="BU802">
        <v>150000</v>
      </c>
    </row>
    <row r="803" spans="1:73" x14ac:dyDescent="0.3">
      <c r="A803" t="s">
        <v>4195</v>
      </c>
      <c r="B803">
        <v>0</v>
      </c>
      <c r="C803">
        <v>0</v>
      </c>
      <c r="D803">
        <v>1</v>
      </c>
      <c r="E803">
        <v>230000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 s="1">
        <v>230000</v>
      </c>
      <c r="BD803" t="s">
        <v>74</v>
      </c>
      <c r="BE803" t="s">
        <v>4196</v>
      </c>
      <c r="BF803" t="s">
        <v>4197</v>
      </c>
      <c r="BH803" t="s">
        <v>77</v>
      </c>
      <c r="BI803" t="s">
        <v>84</v>
      </c>
      <c r="BJ803" t="s">
        <v>79</v>
      </c>
      <c r="BM803">
        <v>0</v>
      </c>
      <c r="BN803">
        <v>1</v>
      </c>
      <c r="BO803">
        <v>1</v>
      </c>
      <c r="BP803" t="s">
        <v>80</v>
      </c>
      <c r="BR803">
        <v>0</v>
      </c>
      <c r="BS803">
        <v>6</v>
      </c>
      <c r="BU803">
        <v>230000</v>
      </c>
    </row>
    <row r="804" spans="1:73" x14ac:dyDescent="0.3">
      <c r="A804" t="s">
        <v>4201</v>
      </c>
      <c r="B804">
        <v>0</v>
      </c>
      <c r="C804">
        <v>0</v>
      </c>
      <c r="D804">
        <v>3</v>
      </c>
      <c r="E804">
        <v>1046053</v>
      </c>
      <c r="F804">
        <v>0</v>
      </c>
      <c r="G804">
        <v>0</v>
      </c>
      <c r="H804">
        <v>4</v>
      </c>
      <c r="I804">
        <v>92106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6</v>
      </c>
      <c r="BC804" s="1">
        <v>2092106</v>
      </c>
      <c r="BD804" t="s">
        <v>74</v>
      </c>
      <c r="BE804" t="s">
        <v>4202</v>
      </c>
      <c r="BF804" t="s">
        <v>3229</v>
      </c>
      <c r="BH804" t="s">
        <v>77</v>
      </c>
      <c r="BI804" t="s">
        <v>593</v>
      </c>
      <c r="BJ804" t="s">
        <v>79</v>
      </c>
      <c r="BM804">
        <v>0</v>
      </c>
      <c r="BN804">
        <v>2</v>
      </c>
      <c r="BO804">
        <v>2</v>
      </c>
      <c r="BP804" t="s">
        <v>80</v>
      </c>
      <c r="BR804">
        <v>0</v>
      </c>
      <c r="BS804">
        <v>6</v>
      </c>
      <c r="BU804">
        <v>1138159</v>
      </c>
    </row>
    <row r="805" spans="1:73" x14ac:dyDescent="0.3">
      <c r="A805" t="s">
        <v>4203</v>
      </c>
      <c r="B805">
        <v>0</v>
      </c>
      <c r="C805">
        <v>0</v>
      </c>
      <c r="D805">
        <v>7</v>
      </c>
      <c r="E805">
        <v>2672212</v>
      </c>
      <c r="F805">
        <v>0</v>
      </c>
      <c r="G805">
        <v>0</v>
      </c>
      <c r="H805">
        <v>8</v>
      </c>
      <c r="I805">
        <v>240424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14</v>
      </c>
      <c r="BC805" s="1">
        <v>5344424</v>
      </c>
      <c r="BD805" t="s">
        <v>74</v>
      </c>
      <c r="BE805" t="s">
        <v>4204</v>
      </c>
      <c r="BF805" t="s">
        <v>4205</v>
      </c>
      <c r="BH805" t="s">
        <v>77</v>
      </c>
      <c r="BI805" t="s">
        <v>593</v>
      </c>
      <c r="BJ805" t="s">
        <v>79</v>
      </c>
      <c r="BM805">
        <v>0</v>
      </c>
      <c r="BN805">
        <v>2</v>
      </c>
      <c r="BO805">
        <v>2</v>
      </c>
      <c r="BP805" t="s">
        <v>80</v>
      </c>
      <c r="BR805">
        <v>0</v>
      </c>
      <c r="BS805">
        <v>6</v>
      </c>
      <c r="BU805">
        <v>2912636</v>
      </c>
    </row>
    <row r="806" spans="1:73" x14ac:dyDescent="0.3">
      <c r="A806" t="s">
        <v>4206</v>
      </c>
      <c r="B806">
        <v>1</v>
      </c>
      <c r="C806">
        <v>241526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 s="1">
        <v>241526</v>
      </c>
      <c r="BD806" t="s">
        <v>74</v>
      </c>
      <c r="BE806" t="s">
        <v>4207</v>
      </c>
      <c r="BF806" t="s">
        <v>4208</v>
      </c>
      <c r="BH806" t="s">
        <v>77</v>
      </c>
      <c r="BI806" t="s">
        <v>593</v>
      </c>
      <c r="BJ806" t="s">
        <v>79</v>
      </c>
      <c r="BM806">
        <v>0</v>
      </c>
      <c r="BN806">
        <v>1</v>
      </c>
      <c r="BO806">
        <v>1</v>
      </c>
      <c r="BP806" t="s">
        <v>80</v>
      </c>
      <c r="BR806">
        <v>0</v>
      </c>
      <c r="BS806">
        <v>6</v>
      </c>
      <c r="BU806">
        <v>241526</v>
      </c>
    </row>
    <row r="807" spans="1:73" x14ac:dyDescent="0.3">
      <c r="A807" t="s">
        <v>4209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73535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2</v>
      </c>
      <c r="BC807" s="1">
        <v>147070</v>
      </c>
      <c r="BD807" t="s">
        <v>74</v>
      </c>
      <c r="BE807" t="s">
        <v>4210</v>
      </c>
      <c r="BF807" t="s">
        <v>4211</v>
      </c>
      <c r="BH807" t="s">
        <v>77</v>
      </c>
      <c r="BI807" t="s">
        <v>281</v>
      </c>
      <c r="BJ807" t="s">
        <v>79</v>
      </c>
      <c r="BM807">
        <v>1</v>
      </c>
      <c r="BN807">
        <v>0</v>
      </c>
      <c r="BO807">
        <v>1</v>
      </c>
      <c r="BP807" t="s">
        <v>80</v>
      </c>
      <c r="BR807">
        <v>0</v>
      </c>
      <c r="BS807">
        <v>6</v>
      </c>
      <c r="BU807">
        <v>73535</v>
      </c>
    </row>
    <row r="808" spans="1:73" x14ac:dyDescent="0.3">
      <c r="A808" t="s">
        <v>4212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73535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 s="1">
        <v>73535</v>
      </c>
      <c r="BD808" t="s">
        <v>74</v>
      </c>
      <c r="BE808" t="s">
        <v>4213</v>
      </c>
      <c r="BF808" t="s">
        <v>4214</v>
      </c>
      <c r="BH808" t="s">
        <v>77</v>
      </c>
      <c r="BI808" t="s">
        <v>204</v>
      </c>
      <c r="BJ808" t="s">
        <v>79</v>
      </c>
      <c r="BM808">
        <v>1</v>
      </c>
      <c r="BN808">
        <v>0</v>
      </c>
      <c r="BO808">
        <v>1</v>
      </c>
      <c r="BP808" t="s">
        <v>80</v>
      </c>
      <c r="BR808">
        <v>0</v>
      </c>
      <c r="BS808">
        <v>0</v>
      </c>
      <c r="BU808">
        <v>73535</v>
      </c>
    </row>
    <row r="809" spans="1:73" x14ac:dyDescent="0.3">
      <c r="A809" t="s">
        <v>4220</v>
      </c>
      <c r="B809">
        <v>5</v>
      </c>
      <c r="C809">
        <v>813305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6</v>
      </c>
      <c r="BC809" s="1">
        <v>1405306</v>
      </c>
      <c r="BD809" t="s">
        <v>74</v>
      </c>
      <c r="BE809" t="s">
        <v>4221</v>
      </c>
      <c r="BF809" t="s">
        <v>4222</v>
      </c>
      <c r="BH809" t="s">
        <v>123</v>
      </c>
      <c r="BI809" t="s">
        <v>325</v>
      </c>
      <c r="BJ809" t="s">
        <v>125</v>
      </c>
      <c r="BM809">
        <v>0</v>
      </c>
      <c r="BN809">
        <v>1</v>
      </c>
      <c r="BO809">
        <v>1</v>
      </c>
      <c r="BP809" t="s">
        <v>80</v>
      </c>
      <c r="BR809">
        <v>0</v>
      </c>
      <c r="BS809">
        <v>6</v>
      </c>
      <c r="BU809">
        <v>813305</v>
      </c>
    </row>
    <row r="810" spans="1:73" x14ac:dyDescent="0.3">
      <c r="A810" t="s">
        <v>4232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96439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</v>
      </c>
      <c r="BC810" s="1">
        <v>339665</v>
      </c>
      <c r="BD810" t="s">
        <v>74</v>
      </c>
      <c r="BE810" t="s">
        <v>4233</v>
      </c>
      <c r="BF810" t="s">
        <v>4234</v>
      </c>
      <c r="BH810" t="s">
        <v>77</v>
      </c>
      <c r="BI810" t="s">
        <v>204</v>
      </c>
      <c r="BJ810" t="s">
        <v>79</v>
      </c>
      <c r="BM810">
        <v>1</v>
      </c>
      <c r="BN810">
        <v>0</v>
      </c>
      <c r="BO810">
        <v>1</v>
      </c>
      <c r="BP810" t="s">
        <v>80</v>
      </c>
      <c r="BR810">
        <v>0</v>
      </c>
      <c r="BS810">
        <v>6</v>
      </c>
      <c r="BU810">
        <v>96439</v>
      </c>
    </row>
    <row r="811" spans="1:73" x14ac:dyDescent="0.3">
      <c r="A811" t="s">
        <v>4238</v>
      </c>
      <c r="B811">
        <v>1</v>
      </c>
      <c r="C811">
        <v>459409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73535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</v>
      </c>
      <c r="BC811" s="1">
        <v>1035050</v>
      </c>
      <c r="BD811" t="s">
        <v>74</v>
      </c>
      <c r="BE811" t="s">
        <v>4239</v>
      </c>
      <c r="BF811" t="s">
        <v>4240</v>
      </c>
      <c r="BH811" t="s">
        <v>77</v>
      </c>
      <c r="BI811" t="s">
        <v>593</v>
      </c>
      <c r="BJ811" t="s">
        <v>79</v>
      </c>
      <c r="BM811">
        <v>1</v>
      </c>
      <c r="BN811">
        <v>1</v>
      </c>
      <c r="BO811">
        <v>2</v>
      </c>
      <c r="BP811" t="s">
        <v>80</v>
      </c>
      <c r="BR811">
        <v>0</v>
      </c>
      <c r="BS811">
        <v>6</v>
      </c>
      <c r="BU811">
        <v>532944</v>
      </c>
    </row>
    <row r="812" spans="1:73" x14ac:dyDescent="0.3">
      <c r="A812" t="s">
        <v>4241</v>
      </c>
      <c r="B812">
        <v>3</v>
      </c>
      <c r="C812">
        <v>564832</v>
      </c>
      <c r="D812">
        <v>3</v>
      </c>
      <c r="E812">
        <v>907677</v>
      </c>
      <c r="F812">
        <v>0</v>
      </c>
      <c r="G812">
        <v>0</v>
      </c>
      <c r="H812">
        <v>6</v>
      </c>
      <c r="I812">
        <v>175354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11</v>
      </c>
      <c r="BC812" s="1">
        <v>2420186</v>
      </c>
      <c r="BD812" t="s">
        <v>74</v>
      </c>
      <c r="BE812" t="s">
        <v>4242</v>
      </c>
      <c r="BF812" t="s">
        <v>4243</v>
      </c>
      <c r="BH812" t="s">
        <v>1464</v>
      </c>
      <c r="BI812" t="s">
        <v>2929</v>
      </c>
      <c r="BJ812" t="s">
        <v>125</v>
      </c>
      <c r="BM812">
        <v>0</v>
      </c>
      <c r="BN812">
        <v>3</v>
      </c>
      <c r="BO812">
        <v>3</v>
      </c>
      <c r="BP812" t="s">
        <v>80</v>
      </c>
      <c r="BR812">
        <v>0</v>
      </c>
      <c r="BS812">
        <v>6</v>
      </c>
      <c r="BU812">
        <v>1647863</v>
      </c>
    </row>
    <row r="813" spans="1:73" x14ac:dyDescent="0.3">
      <c r="A813" t="s">
        <v>4252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96439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2</v>
      </c>
      <c r="BC813" s="1">
        <v>192878</v>
      </c>
      <c r="BD813" t="s">
        <v>74</v>
      </c>
      <c r="BE813" t="s">
        <v>4253</v>
      </c>
      <c r="BF813" t="s">
        <v>4254</v>
      </c>
      <c r="BH813" t="s">
        <v>77</v>
      </c>
      <c r="BI813" t="s">
        <v>92</v>
      </c>
      <c r="BJ813" t="s">
        <v>79</v>
      </c>
      <c r="BM813">
        <v>1</v>
      </c>
      <c r="BN813">
        <v>0</v>
      </c>
      <c r="BO813">
        <v>1</v>
      </c>
      <c r="BP813" t="s">
        <v>80</v>
      </c>
      <c r="BR813">
        <v>0</v>
      </c>
      <c r="BS813">
        <v>6</v>
      </c>
      <c r="BU813">
        <v>96439</v>
      </c>
    </row>
    <row r="814" spans="1:73" x14ac:dyDescent="0.3">
      <c r="A814" t="s">
        <v>4255</v>
      </c>
      <c r="B814">
        <v>1</v>
      </c>
      <c r="C814">
        <v>483481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</v>
      </c>
      <c r="BC814" s="1">
        <v>483481</v>
      </c>
      <c r="BD814" t="s">
        <v>74</v>
      </c>
      <c r="BE814" t="s">
        <v>4256</v>
      </c>
      <c r="BF814" t="s">
        <v>4257</v>
      </c>
      <c r="BH814" t="s">
        <v>77</v>
      </c>
      <c r="BI814" t="s">
        <v>281</v>
      </c>
      <c r="BJ814" t="s">
        <v>79</v>
      </c>
      <c r="BM814">
        <v>0</v>
      </c>
      <c r="BN814">
        <v>1</v>
      </c>
      <c r="BO814">
        <v>1</v>
      </c>
      <c r="BP814" t="s">
        <v>80</v>
      </c>
      <c r="BR814">
        <v>0</v>
      </c>
      <c r="BS814">
        <v>6</v>
      </c>
      <c r="BU814">
        <v>483481</v>
      </c>
    </row>
    <row r="815" spans="1:73" x14ac:dyDescent="0.3">
      <c r="A815" t="s">
        <v>4258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39584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3</v>
      </c>
      <c r="BC815" s="1">
        <v>113119</v>
      </c>
      <c r="BD815" t="s">
        <v>74</v>
      </c>
      <c r="BE815" t="s">
        <v>4259</v>
      </c>
      <c r="BF815" t="s">
        <v>4260</v>
      </c>
      <c r="BH815" t="s">
        <v>77</v>
      </c>
      <c r="BI815" t="s">
        <v>78</v>
      </c>
      <c r="BJ815" t="s">
        <v>79</v>
      </c>
      <c r="BM815">
        <v>1</v>
      </c>
      <c r="BN815">
        <v>0</v>
      </c>
      <c r="BO815">
        <v>1</v>
      </c>
      <c r="BP815" t="s">
        <v>80</v>
      </c>
      <c r="BR815">
        <v>0</v>
      </c>
      <c r="BS815">
        <v>6</v>
      </c>
      <c r="BU815">
        <v>39584</v>
      </c>
    </row>
    <row r="816" spans="1:73" x14ac:dyDescent="0.3">
      <c r="A816" t="s">
        <v>4267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73535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2</v>
      </c>
      <c r="BC816" s="1">
        <v>147070</v>
      </c>
      <c r="BD816" t="s">
        <v>74</v>
      </c>
      <c r="BE816" t="s">
        <v>4268</v>
      </c>
      <c r="BF816" t="s">
        <v>4269</v>
      </c>
      <c r="BH816" t="s">
        <v>77</v>
      </c>
      <c r="BI816" t="s">
        <v>88</v>
      </c>
      <c r="BJ816" t="s">
        <v>79</v>
      </c>
      <c r="BM816">
        <v>1</v>
      </c>
      <c r="BN816">
        <v>0</v>
      </c>
      <c r="BO816">
        <v>1</v>
      </c>
      <c r="BP816" t="s">
        <v>80</v>
      </c>
      <c r="BR816">
        <v>0</v>
      </c>
      <c r="BS816">
        <v>6</v>
      </c>
      <c r="BU816">
        <v>73535</v>
      </c>
    </row>
    <row r="817" spans="1:73" x14ac:dyDescent="0.3">
      <c r="A817" t="s">
        <v>4270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73535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</v>
      </c>
      <c r="BC817" s="1">
        <v>147070</v>
      </c>
      <c r="BD817" t="s">
        <v>74</v>
      </c>
      <c r="BE817" t="s">
        <v>4271</v>
      </c>
      <c r="BF817" t="s">
        <v>4272</v>
      </c>
      <c r="BH817" t="s">
        <v>77</v>
      </c>
      <c r="BI817" t="s">
        <v>92</v>
      </c>
      <c r="BJ817" t="s">
        <v>79</v>
      </c>
      <c r="BM817">
        <v>1</v>
      </c>
      <c r="BN817">
        <v>0</v>
      </c>
      <c r="BO817">
        <v>1</v>
      </c>
      <c r="BP817" t="s">
        <v>80</v>
      </c>
      <c r="BR817">
        <v>0</v>
      </c>
      <c r="BS817">
        <v>0</v>
      </c>
      <c r="BU817">
        <v>73535</v>
      </c>
    </row>
    <row r="818" spans="1:73" x14ac:dyDescent="0.3">
      <c r="A818" t="s">
        <v>4273</v>
      </c>
      <c r="B818">
        <v>1</v>
      </c>
      <c r="C818">
        <v>783073</v>
      </c>
      <c r="D818">
        <v>1</v>
      </c>
      <c r="E818">
        <v>163636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2</v>
      </c>
      <c r="BC818" s="1">
        <v>946709</v>
      </c>
      <c r="BD818" t="s">
        <v>74</v>
      </c>
      <c r="BE818" t="s">
        <v>4274</v>
      </c>
      <c r="BF818" t="s">
        <v>4275</v>
      </c>
      <c r="BH818" t="s">
        <v>77</v>
      </c>
      <c r="BI818" t="s">
        <v>92</v>
      </c>
      <c r="BJ818" t="s">
        <v>79</v>
      </c>
      <c r="BM818">
        <v>0</v>
      </c>
      <c r="BN818">
        <v>2</v>
      </c>
      <c r="BO818">
        <v>2</v>
      </c>
      <c r="BP818" t="s">
        <v>80</v>
      </c>
      <c r="BR818">
        <v>0</v>
      </c>
      <c r="BS818">
        <v>6</v>
      </c>
      <c r="BU818">
        <v>946709</v>
      </c>
    </row>
    <row r="819" spans="1:73" x14ac:dyDescent="0.3">
      <c r="A819" t="s">
        <v>4276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19792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</v>
      </c>
      <c r="BC819" s="1">
        <v>19792</v>
      </c>
      <c r="BD819" t="s">
        <v>74</v>
      </c>
      <c r="BE819" t="s">
        <v>4277</v>
      </c>
      <c r="BF819" t="s">
        <v>4278</v>
      </c>
      <c r="BH819" t="s">
        <v>77</v>
      </c>
      <c r="BI819" t="s">
        <v>593</v>
      </c>
      <c r="BJ819" t="s">
        <v>79</v>
      </c>
      <c r="BM819">
        <v>1</v>
      </c>
      <c r="BN819">
        <v>0</v>
      </c>
      <c r="BO819">
        <v>1</v>
      </c>
      <c r="BP819" t="s">
        <v>80</v>
      </c>
      <c r="BR819">
        <v>0</v>
      </c>
      <c r="BS819">
        <v>6</v>
      </c>
      <c r="BU819">
        <v>19792</v>
      </c>
    </row>
    <row r="820" spans="1:73" x14ac:dyDescent="0.3">
      <c r="A820" t="s">
        <v>4296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73535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2</v>
      </c>
      <c r="BC820" s="1">
        <v>147070</v>
      </c>
      <c r="BD820" t="s">
        <v>74</v>
      </c>
      <c r="BE820" t="s">
        <v>4297</v>
      </c>
      <c r="BF820" t="s">
        <v>4298</v>
      </c>
      <c r="BH820" t="s">
        <v>77</v>
      </c>
      <c r="BI820" t="s">
        <v>92</v>
      </c>
      <c r="BJ820" t="s">
        <v>79</v>
      </c>
      <c r="BM820">
        <v>1</v>
      </c>
      <c r="BN820">
        <v>0</v>
      </c>
      <c r="BO820">
        <v>1</v>
      </c>
      <c r="BP820" t="s">
        <v>80</v>
      </c>
      <c r="BR820">
        <v>0</v>
      </c>
      <c r="BS820">
        <v>6</v>
      </c>
      <c r="BU820">
        <v>73535</v>
      </c>
    </row>
    <row r="821" spans="1:73" x14ac:dyDescent="0.3">
      <c r="A821" t="s">
        <v>4302</v>
      </c>
      <c r="B821">
        <v>0</v>
      </c>
      <c r="C821">
        <v>0</v>
      </c>
      <c r="D821">
        <v>2</v>
      </c>
      <c r="E821">
        <v>2420000</v>
      </c>
      <c r="F821">
        <v>0</v>
      </c>
      <c r="G821">
        <v>0</v>
      </c>
      <c r="H821">
        <v>2</v>
      </c>
      <c r="I821">
        <v>40000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4</v>
      </c>
      <c r="BC821" s="1">
        <v>4840000</v>
      </c>
      <c r="BD821" t="s">
        <v>74</v>
      </c>
      <c r="BE821" t="s">
        <v>4303</v>
      </c>
      <c r="BF821" t="s">
        <v>4304</v>
      </c>
      <c r="BH821" t="s">
        <v>77</v>
      </c>
      <c r="BI821" t="s">
        <v>92</v>
      </c>
      <c r="BJ821" t="s">
        <v>79</v>
      </c>
      <c r="BM821">
        <v>0</v>
      </c>
      <c r="BN821">
        <v>2</v>
      </c>
      <c r="BO821">
        <v>2</v>
      </c>
      <c r="BP821" t="s">
        <v>80</v>
      </c>
      <c r="BR821">
        <v>0</v>
      </c>
      <c r="BS821">
        <v>6</v>
      </c>
      <c r="BU821">
        <v>2460000</v>
      </c>
    </row>
    <row r="822" spans="1:73" x14ac:dyDescent="0.3">
      <c r="A822" t="s">
        <v>4307</v>
      </c>
      <c r="B822">
        <v>0</v>
      </c>
      <c r="C822">
        <v>0</v>
      </c>
      <c r="D822">
        <v>4</v>
      </c>
      <c r="E822">
        <v>278199</v>
      </c>
      <c r="F822">
        <v>0</v>
      </c>
      <c r="G822">
        <v>0</v>
      </c>
      <c r="H822">
        <v>6</v>
      </c>
      <c r="I822">
        <v>220398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8</v>
      </c>
      <c r="BC822" s="1">
        <v>556398</v>
      </c>
      <c r="BD822" t="s">
        <v>74</v>
      </c>
      <c r="BE822" t="s">
        <v>4308</v>
      </c>
      <c r="BF822" t="s">
        <v>4309</v>
      </c>
      <c r="BH822" t="s">
        <v>77</v>
      </c>
      <c r="BI822" t="s">
        <v>129</v>
      </c>
      <c r="BJ822" t="s">
        <v>79</v>
      </c>
      <c r="BM822">
        <v>0</v>
      </c>
      <c r="BN822">
        <v>2</v>
      </c>
      <c r="BO822">
        <v>2</v>
      </c>
      <c r="BP822" t="s">
        <v>80</v>
      </c>
      <c r="BR822">
        <v>0</v>
      </c>
      <c r="BS822">
        <v>6</v>
      </c>
      <c r="BU822">
        <v>498597</v>
      </c>
    </row>
    <row r="823" spans="1:73" x14ac:dyDescent="0.3">
      <c r="A823" t="s">
        <v>4313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73535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2</v>
      </c>
      <c r="BC823" s="1">
        <v>147070</v>
      </c>
      <c r="BD823" t="s">
        <v>74</v>
      </c>
      <c r="BE823" t="s">
        <v>4314</v>
      </c>
      <c r="BF823" t="s">
        <v>4315</v>
      </c>
      <c r="BH823" t="s">
        <v>77</v>
      </c>
      <c r="BI823" t="s">
        <v>92</v>
      </c>
      <c r="BJ823" t="s">
        <v>79</v>
      </c>
      <c r="BM823">
        <v>1</v>
      </c>
      <c r="BN823">
        <v>0</v>
      </c>
      <c r="BO823">
        <v>1</v>
      </c>
      <c r="BP823" t="s">
        <v>80</v>
      </c>
      <c r="BR823">
        <v>0</v>
      </c>
      <c r="BS823">
        <v>6</v>
      </c>
      <c r="BU823">
        <v>73535</v>
      </c>
    </row>
    <row r="824" spans="1:73" x14ac:dyDescent="0.3">
      <c r="A824" t="s">
        <v>4316</v>
      </c>
      <c r="B824">
        <v>0</v>
      </c>
      <c r="C824">
        <v>1389818</v>
      </c>
      <c r="D824">
        <v>6</v>
      </c>
      <c r="E824">
        <v>1076426</v>
      </c>
      <c r="F824">
        <v>0</v>
      </c>
      <c r="G824">
        <v>0</v>
      </c>
      <c r="H824">
        <v>8</v>
      </c>
      <c r="I824">
        <v>185724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12</v>
      </c>
      <c r="BC824" s="1">
        <v>3542670</v>
      </c>
      <c r="BD824" t="s">
        <v>74</v>
      </c>
      <c r="BE824" t="s">
        <v>4317</v>
      </c>
      <c r="BF824" t="s">
        <v>4318</v>
      </c>
      <c r="BH824" t="s">
        <v>77</v>
      </c>
      <c r="BI824" t="s">
        <v>92</v>
      </c>
      <c r="BJ824" t="s">
        <v>79</v>
      </c>
      <c r="BM824">
        <v>0</v>
      </c>
      <c r="BN824">
        <v>2</v>
      </c>
      <c r="BO824">
        <v>2</v>
      </c>
      <c r="BP824" t="s">
        <v>80</v>
      </c>
      <c r="BR824">
        <v>0</v>
      </c>
      <c r="BS824">
        <v>6</v>
      </c>
      <c r="BU824">
        <v>2651968</v>
      </c>
    </row>
    <row r="825" spans="1:73" x14ac:dyDescent="0.3">
      <c r="A825" t="s">
        <v>4322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73535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</v>
      </c>
      <c r="BC825" s="1">
        <v>73535</v>
      </c>
      <c r="BD825" t="s">
        <v>74</v>
      </c>
      <c r="BE825" t="s">
        <v>4323</v>
      </c>
      <c r="BF825" t="s">
        <v>4324</v>
      </c>
      <c r="BH825" t="s">
        <v>77</v>
      </c>
      <c r="BI825" t="s">
        <v>204</v>
      </c>
      <c r="BJ825" t="s">
        <v>79</v>
      </c>
      <c r="BM825">
        <v>1</v>
      </c>
      <c r="BN825">
        <v>0</v>
      </c>
      <c r="BO825">
        <v>1</v>
      </c>
      <c r="BP825" t="s">
        <v>80</v>
      </c>
      <c r="BR825">
        <v>0</v>
      </c>
      <c r="BS825">
        <v>6</v>
      </c>
      <c r="BU825">
        <v>73535</v>
      </c>
    </row>
    <row r="826" spans="1:73" x14ac:dyDescent="0.3">
      <c r="A826" t="s">
        <v>4325</v>
      </c>
      <c r="B826">
        <v>0</v>
      </c>
      <c r="C826">
        <v>0</v>
      </c>
      <c r="D826">
        <v>3</v>
      </c>
      <c r="E826">
        <v>758558</v>
      </c>
      <c r="F826">
        <v>0</v>
      </c>
      <c r="G826">
        <v>0</v>
      </c>
      <c r="H826">
        <v>4</v>
      </c>
      <c r="I826">
        <v>179974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6</v>
      </c>
      <c r="BC826" s="1">
        <v>1517116</v>
      </c>
      <c r="BD826" t="s">
        <v>74</v>
      </c>
      <c r="BE826" t="s">
        <v>4326</v>
      </c>
      <c r="BF826" t="s">
        <v>4327</v>
      </c>
      <c r="BH826" t="s">
        <v>77</v>
      </c>
      <c r="BI826" t="s">
        <v>593</v>
      </c>
      <c r="BJ826" t="s">
        <v>79</v>
      </c>
      <c r="BM826">
        <v>0</v>
      </c>
      <c r="BN826">
        <v>2</v>
      </c>
      <c r="BO826">
        <v>2</v>
      </c>
      <c r="BP826" t="s">
        <v>80</v>
      </c>
      <c r="BR826">
        <v>0</v>
      </c>
      <c r="BS826">
        <v>6</v>
      </c>
      <c r="BU826">
        <v>938532</v>
      </c>
    </row>
    <row r="827" spans="1:73" x14ac:dyDescent="0.3">
      <c r="A827" t="s">
        <v>4331</v>
      </c>
      <c r="B827">
        <v>0</v>
      </c>
      <c r="C827">
        <v>0</v>
      </c>
      <c r="D827">
        <v>4</v>
      </c>
      <c r="E827">
        <v>840000</v>
      </c>
      <c r="F827">
        <v>0</v>
      </c>
      <c r="G827">
        <v>0</v>
      </c>
      <c r="H827">
        <v>6</v>
      </c>
      <c r="I827">
        <v>120000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8</v>
      </c>
      <c r="BC827" s="1">
        <v>1680000</v>
      </c>
      <c r="BD827" t="s">
        <v>74</v>
      </c>
      <c r="BE827" t="s">
        <v>4332</v>
      </c>
      <c r="BF827" t="s">
        <v>4333</v>
      </c>
      <c r="BH827" t="s">
        <v>77</v>
      </c>
      <c r="BI827" t="s">
        <v>593</v>
      </c>
      <c r="BJ827" t="s">
        <v>79</v>
      </c>
      <c r="BM827">
        <v>0</v>
      </c>
      <c r="BN827">
        <v>2</v>
      </c>
      <c r="BO827">
        <v>2</v>
      </c>
      <c r="BP827" t="s">
        <v>80</v>
      </c>
      <c r="BR827">
        <v>0</v>
      </c>
      <c r="BS827">
        <v>6</v>
      </c>
      <c r="BU827">
        <v>960000</v>
      </c>
    </row>
    <row r="828" spans="1:73" x14ac:dyDescent="0.3">
      <c r="A828" t="s">
        <v>4334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78585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 s="1">
        <v>78585</v>
      </c>
      <c r="BD828" t="s">
        <v>74</v>
      </c>
      <c r="BE828" t="s">
        <v>4335</v>
      </c>
      <c r="BF828" t="s">
        <v>4336</v>
      </c>
      <c r="BH828" t="s">
        <v>77</v>
      </c>
      <c r="BI828" t="s">
        <v>92</v>
      </c>
      <c r="BJ828" t="s">
        <v>79</v>
      </c>
      <c r="BM828">
        <v>1</v>
      </c>
      <c r="BN828">
        <v>0</v>
      </c>
      <c r="BO828">
        <v>1</v>
      </c>
      <c r="BP828" t="s">
        <v>80</v>
      </c>
      <c r="BR828">
        <v>0</v>
      </c>
      <c r="BS828">
        <v>0</v>
      </c>
      <c r="BU828">
        <v>78585</v>
      </c>
    </row>
    <row r="829" spans="1:73" x14ac:dyDescent="0.3">
      <c r="A829" t="s">
        <v>4337</v>
      </c>
      <c r="B829">
        <v>1</v>
      </c>
      <c r="C829">
        <v>475760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 s="1">
        <v>475760</v>
      </c>
      <c r="BD829" t="s">
        <v>74</v>
      </c>
      <c r="BE829" t="s">
        <v>4338</v>
      </c>
      <c r="BF829" t="s">
        <v>4339</v>
      </c>
      <c r="BH829" t="s">
        <v>77</v>
      </c>
      <c r="BI829" t="s">
        <v>593</v>
      </c>
      <c r="BJ829" t="s">
        <v>79</v>
      </c>
      <c r="BM829">
        <v>0</v>
      </c>
      <c r="BN829">
        <v>1</v>
      </c>
      <c r="BO829">
        <v>1</v>
      </c>
      <c r="BP829" t="s">
        <v>80</v>
      </c>
      <c r="BR829">
        <v>0</v>
      </c>
      <c r="BS829">
        <v>6</v>
      </c>
      <c r="BU829">
        <v>475760</v>
      </c>
    </row>
    <row r="830" spans="1:73" x14ac:dyDescent="0.3">
      <c r="A830" t="s">
        <v>4345</v>
      </c>
      <c r="B830">
        <v>1</v>
      </c>
      <c r="C830">
        <v>372671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43523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4394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3</v>
      </c>
      <c r="BC830" s="1">
        <v>420588</v>
      </c>
      <c r="BD830" t="s">
        <v>74</v>
      </c>
      <c r="BE830" t="s">
        <v>4346</v>
      </c>
      <c r="BF830" t="s">
        <v>4347</v>
      </c>
      <c r="BH830" t="s">
        <v>77</v>
      </c>
      <c r="BI830" t="s">
        <v>593</v>
      </c>
      <c r="BJ830" t="s">
        <v>79</v>
      </c>
      <c r="BM830">
        <v>2</v>
      </c>
      <c r="BN830">
        <v>1</v>
      </c>
      <c r="BO830">
        <v>3</v>
      </c>
      <c r="BP830" t="s">
        <v>80</v>
      </c>
      <c r="BR830">
        <v>0</v>
      </c>
      <c r="BS830">
        <v>6</v>
      </c>
      <c r="BU830">
        <v>420588</v>
      </c>
    </row>
    <row r="831" spans="1:73" x14ac:dyDescent="0.3">
      <c r="A831" t="s">
        <v>4348</v>
      </c>
      <c r="B831">
        <v>0</v>
      </c>
      <c r="C831">
        <v>0</v>
      </c>
      <c r="D831">
        <v>1</v>
      </c>
      <c r="E831">
        <v>390000</v>
      </c>
      <c r="F831">
        <v>0</v>
      </c>
      <c r="G831">
        <v>0</v>
      </c>
      <c r="H831">
        <v>3</v>
      </c>
      <c r="I831">
        <v>126974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80000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5</v>
      </c>
      <c r="BC831" s="1">
        <v>596974</v>
      </c>
      <c r="BD831" t="s">
        <v>74</v>
      </c>
      <c r="BE831" t="s">
        <v>4349</v>
      </c>
      <c r="BF831" t="s">
        <v>1310</v>
      </c>
      <c r="BH831" t="s">
        <v>77</v>
      </c>
      <c r="BI831" t="s">
        <v>204</v>
      </c>
      <c r="BJ831" t="s">
        <v>79</v>
      </c>
      <c r="BM831">
        <v>0</v>
      </c>
      <c r="BN831">
        <v>3</v>
      </c>
      <c r="BO831">
        <v>3</v>
      </c>
      <c r="BP831" t="s">
        <v>514</v>
      </c>
      <c r="BR831">
        <v>0</v>
      </c>
      <c r="BS831">
        <v>6</v>
      </c>
      <c r="BU831">
        <v>596974</v>
      </c>
    </row>
    <row r="832" spans="1:73" x14ac:dyDescent="0.3">
      <c r="A832" t="s">
        <v>4350</v>
      </c>
      <c r="B832">
        <v>0</v>
      </c>
      <c r="C832">
        <v>527273</v>
      </c>
      <c r="D832">
        <v>1</v>
      </c>
      <c r="E832">
        <v>170909</v>
      </c>
      <c r="F832">
        <v>0</v>
      </c>
      <c r="G832">
        <v>0</v>
      </c>
      <c r="H832">
        <v>5</v>
      </c>
      <c r="I832">
        <v>85000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60000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7</v>
      </c>
      <c r="BC832" s="1">
        <v>843182</v>
      </c>
      <c r="BD832" t="s">
        <v>74</v>
      </c>
      <c r="BE832" t="s">
        <v>4351</v>
      </c>
      <c r="BF832" t="s">
        <v>1310</v>
      </c>
      <c r="BH832" t="s">
        <v>77</v>
      </c>
      <c r="BI832" t="s">
        <v>204</v>
      </c>
      <c r="BJ832" t="s">
        <v>79</v>
      </c>
      <c r="BM832">
        <v>0</v>
      </c>
      <c r="BN832">
        <v>3</v>
      </c>
      <c r="BO832">
        <v>3</v>
      </c>
      <c r="BP832" t="s">
        <v>514</v>
      </c>
      <c r="BR832">
        <v>0</v>
      </c>
      <c r="BS832">
        <v>6</v>
      </c>
      <c r="BU832">
        <v>843182</v>
      </c>
    </row>
    <row r="833" spans="1:73" x14ac:dyDescent="0.3">
      <c r="A833" t="s">
        <v>4352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19792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</v>
      </c>
      <c r="BC833" s="1">
        <v>19792</v>
      </c>
      <c r="BD833" t="s">
        <v>74</v>
      </c>
      <c r="BE833" t="s">
        <v>4353</v>
      </c>
      <c r="BF833" t="s">
        <v>1015</v>
      </c>
      <c r="BH833" t="s">
        <v>77</v>
      </c>
      <c r="BI833" t="s">
        <v>92</v>
      </c>
      <c r="BJ833" t="s">
        <v>79</v>
      </c>
      <c r="BM833">
        <v>1</v>
      </c>
      <c r="BN833">
        <v>0</v>
      </c>
      <c r="BO833">
        <v>1</v>
      </c>
      <c r="BP833" t="s">
        <v>80</v>
      </c>
      <c r="BR833">
        <v>0</v>
      </c>
      <c r="BS833">
        <v>0</v>
      </c>
      <c r="BU833">
        <v>19792</v>
      </c>
    </row>
    <row r="834" spans="1:73" x14ac:dyDescent="0.3">
      <c r="A834" t="s">
        <v>4360</v>
      </c>
      <c r="B834">
        <v>0</v>
      </c>
      <c r="C834">
        <v>0</v>
      </c>
      <c r="D834">
        <v>1</v>
      </c>
      <c r="E834">
        <v>261291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</v>
      </c>
      <c r="BC834" s="1">
        <v>522582</v>
      </c>
      <c r="BD834" t="s">
        <v>74</v>
      </c>
      <c r="BE834" t="s">
        <v>4361</v>
      </c>
      <c r="BF834" t="s">
        <v>4362</v>
      </c>
      <c r="BH834" t="s">
        <v>77</v>
      </c>
      <c r="BI834" t="s">
        <v>574</v>
      </c>
      <c r="BJ834" t="s">
        <v>79</v>
      </c>
      <c r="BM834">
        <v>0</v>
      </c>
      <c r="BN834">
        <v>1</v>
      </c>
      <c r="BO834">
        <v>1</v>
      </c>
      <c r="BP834" t="s">
        <v>80</v>
      </c>
      <c r="BR834">
        <v>0</v>
      </c>
      <c r="BS834">
        <v>6</v>
      </c>
      <c r="BU834">
        <v>261291</v>
      </c>
    </row>
    <row r="835" spans="1:73" x14ac:dyDescent="0.3">
      <c r="A835" t="s">
        <v>4366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2</v>
      </c>
      <c r="I835">
        <v>40000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2</v>
      </c>
      <c r="BC835" s="1">
        <v>40000</v>
      </c>
      <c r="BD835" t="s">
        <v>74</v>
      </c>
      <c r="BE835" t="s">
        <v>4367</v>
      </c>
      <c r="BF835" t="s">
        <v>4368</v>
      </c>
      <c r="BH835" t="s">
        <v>77</v>
      </c>
      <c r="BI835" t="s">
        <v>574</v>
      </c>
      <c r="BJ835" t="s">
        <v>79</v>
      </c>
      <c r="BM835">
        <v>0</v>
      </c>
      <c r="BN835">
        <v>1</v>
      </c>
      <c r="BO835">
        <v>1</v>
      </c>
      <c r="BP835" t="s">
        <v>80</v>
      </c>
      <c r="BR835">
        <v>0</v>
      </c>
      <c r="BS835">
        <v>6</v>
      </c>
      <c r="BU835">
        <v>40000</v>
      </c>
    </row>
    <row r="836" spans="1:73" x14ac:dyDescent="0.3">
      <c r="A836" t="s">
        <v>4369</v>
      </c>
      <c r="B836">
        <v>0</v>
      </c>
      <c r="C836">
        <v>0</v>
      </c>
      <c r="D836">
        <v>5</v>
      </c>
      <c r="E836">
        <v>2191000</v>
      </c>
      <c r="F836">
        <v>0</v>
      </c>
      <c r="G836">
        <v>0</v>
      </c>
      <c r="H836">
        <v>8</v>
      </c>
      <c r="I836">
        <v>382000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10</v>
      </c>
      <c r="BC836" s="1">
        <v>4382000</v>
      </c>
      <c r="BD836" t="s">
        <v>74</v>
      </c>
      <c r="BE836" t="s">
        <v>4370</v>
      </c>
      <c r="BF836" t="s">
        <v>4371</v>
      </c>
      <c r="BH836" t="s">
        <v>77</v>
      </c>
      <c r="BI836" t="s">
        <v>593</v>
      </c>
      <c r="BJ836" t="s">
        <v>79</v>
      </c>
      <c r="BM836">
        <v>0</v>
      </c>
      <c r="BN836">
        <v>2</v>
      </c>
      <c r="BO836">
        <v>2</v>
      </c>
      <c r="BP836" t="s">
        <v>80</v>
      </c>
      <c r="BR836">
        <v>0</v>
      </c>
      <c r="BS836">
        <v>6</v>
      </c>
      <c r="BU836">
        <v>2573000</v>
      </c>
    </row>
    <row r="837" spans="1:73" x14ac:dyDescent="0.3">
      <c r="A837" t="s">
        <v>4384</v>
      </c>
      <c r="B837">
        <v>0</v>
      </c>
      <c r="C837">
        <v>0</v>
      </c>
      <c r="D837">
        <v>1</v>
      </c>
      <c r="E837">
        <v>925715</v>
      </c>
      <c r="F837">
        <v>0</v>
      </c>
      <c r="G837">
        <v>0</v>
      </c>
      <c r="H837">
        <v>2</v>
      </c>
      <c r="I837">
        <v>40600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</v>
      </c>
      <c r="BC837" s="1">
        <v>966315</v>
      </c>
      <c r="BD837" t="s">
        <v>74</v>
      </c>
      <c r="BE837" t="s">
        <v>4385</v>
      </c>
      <c r="BF837" t="s">
        <v>4386</v>
      </c>
      <c r="BH837" t="s">
        <v>77</v>
      </c>
      <c r="BI837" t="s">
        <v>92</v>
      </c>
      <c r="BJ837" t="s">
        <v>79</v>
      </c>
      <c r="BM837">
        <v>0</v>
      </c>
      <c r="BN837">
        <v>2</v>
      </c>
      <c r="BO837">
        <v>2</v>
      </c>
      <c r="BP837" t="s">
        <v>80</v>
      </c>
      <c r="BR837">
        <v>0</v>
      </c>
      <c r="BS837">
        <v>6</v>
      </c>
      <c r="BU837">
        <v>966315</v>
      </c>
    </row>
    <row r="838" spans="1:73" x14ac:dyDescent="0.3">
      <c r="A838" t="s">
        <v>4390</v>
      </c>
      <c r="B838">
        <v>0</v>
      </c>
      <c r="C838">
        <v>0</v>
      </c>
      <c r="D838">
        <v>3</v>
      </c>
      <c r="E838">
        <v>750000</v>
      </c>
      <c r="F838">
        <v>0</v>
      </c>
      <c r="G838">
        <v>0</v>
      </c>
      <c r="H838">
        <v>3</v>
      </c>
      <c r="I838">
        <v>60000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</v>
      </c>
      <c r="Z838">
        <v>72222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10</v>
      </c>
      <c r="BC838" s="1">
        <v>954444</v>
      </c>
      <c r="BD838" t="s">
        <v>74</v>
      </c>
      <c r="BE838" t="s">
        <v>4391</v>
      </c>
      <c r="BF838" t="s">
        <v>4392</v>
      </c>
      <c r="BH838" t="s">
        <v>77</v>
      </c>
      <c r="BI838" t="s">
        <v>204</v>
      </c>
      <c r="BJ838" t="s">
        <v>79</v>
      </c>
      <c r="BM838">
        <v>1</v>
      </c>
      <c r="BN838">
        <v>2</v>
      </c>
      <c r="BO838">
        <v>3</v>
      </c>
      <c r="BP838" t="s">
        <v>514</v>
      </c>
      <c r="BR838">
        <v>0</v>
      </c>
      <c r="BS838">
        <v>6</v>
      </c>
      <c r="BU838">
        <v>882222</v>
      </c>
    </row>
    <row r="839" spans="1:73" x14ac:dyDescent="0.3">
      <c r="A839" t="s">
        <v>4393</v>
      </c>
      <c r="B839">
        <v>0</v>
      </c>
      <c r="C839">
        <v>0</v>
      </c>
      <c r="D839">
        <v>1</v>
      </c>
      <c r="E839">
        <v>350000</v>
      </c>
      <c r="F839">
        <v>0</v>
      </c>
      <c r="G839">
        <v>0</v>
      </c>
      <c r="H839">
        <v>1</v>
      </c>
      <c r="I839">
        <v>20208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</v>
      </c>
      <c r="BC839" s="1">
        <v>370208</v>
      </c>
      <c r="BD839" t="s">
        <v>74</v>
      </c>
      <c r="BE839" t="s">
        <v>4394</v>
      </c>
      <c r="BF839" t="s">
        <v>513</v>
      </c>
      <c r="BH839" t="s">
        <v>77</v>
      </c>
      <c r="BI839" t="s">
        <v>204</v>
      </c>
      <c r="BJ839" t="s">
        <v>79</v>
      </c>
      <c r="BM839">
        <v>0</v>
      </c>
      <c r="BN839">
        <v>2</v>
      </c>
      <c r="BO839">
        <v>2</v>
      </c>
      <c r="BP839" t="s">
        <v>514</v>
      </c>
      <c r="BR839">
        <v>0</v>
      </c>
      <c r="BS839">
        <v>6</v>
      </c>
      <c r="BU839">
        <v>370208</v>
      </c>
    </row>
    <row r="840" spans="1:73" x14ac:dyDescent="0.3">
      <c r="A840" t="s">
        <v>4400</v>
      </c>
      <c r="B840">
        <v>1</v>
      </c>
      <c r="C840">
        <v>55852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 s="1">
        <v>55852</v>
      </c>
      <c r="BD840" t="s">
        <v>74</v>
      </c>
      <c r="BE840" t="s">
        <v>4401</v>
      </c>
      <c r="BF840" t="s">
        <v>4402</v>
      </c>
      <c r="BH840" t="s">
        <v>77</v>
      </c>
      <c r="BI840" t="s">
        <v>281</v>
      </c>
      <c r="BJ840" t="s">
        <v>79</v>
      </c>
      <c r="BM840">
        <v>0</v>
      </c>
      <c r="BN840">
        <v>1</v>
      </c>
      <c r="BO840">
        <v>1</v>
      </c>
      <c r="BP840" t="s">
        <v>80</v>
      </c>
      <c r="BR840">
        <v>0</v>
      </c>
      <c r="BS840">
        <v>6</v>
      </c>
      <c r="BU840">
        <v>55852</v>
      </c>
    </row>
    <row r="841" spans="1:73" x14ac:dyDescent="0.3">
      <c r="A841" t="s">
        <v>4415</v>
      </c>
      <c r="B841">
        <v>0</v>
      </c>
      <c r="C841">
        <v>0</v>
      </c>
      <c r="D841">
        <v>4</v>
      </c>
      <c r="E841">
        <v>1149005</v>
      </c>
      <c r="F841">
        <v>0</v>
      </c>
      <c r="G841">
        <v>0</v>
      </c>
      <c r="H841">
        <v>6</v>
      </c>
      <c r="I841">
        <v>298010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8</v>
      </c>
      <c r="BC841" s="1">
        <v>2298010</v>
      </c>
      <c r="BD841" t="s">
        <v>74</v>
      </c>
      <c r="BE841" t="s">
        <v>4416</v>
      </c>
      <c r="BF841" t="s">
        <v>4417</v>
      </c>
      <c r="BH841" t="s">
        <v>77</v>
      </c>
      <c r="BI841" t="s">
        <v>593</v>
      </c>
      <c r="BJ841" t="s">
        <v>79</v>
      </c>
      <c r="BM841">
        <v>0</v>
      </c>
      <c r="BN841">
        <v>2</v>
      </c>
      <c r="BO841">
        <v>2</v>
      </c>
      <c r="BP841" t="s">
        <v>80</v>
      </c>
      <c r="BR841">
        <v>0</v>
      </c>
      <c r="BS841">
        <v>6</v>
      </c>
      <c r="BU841">
        <v>1447015</v>
      </c>
    </row>
    <row r="842" spans="1:73" x14ac:dyDescent="0.3">
      <c r="A842" t="s">
        <v>4420</v>
      </c>
      <c r="B842">
        <v>0</v>
      </c>
      <c r="C842">
        <v>0</v>
      </c>
      <c r="D842">
        <v>1</v>
      </c>
      <c r="E842">
        <v>136800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 s="1">
        <v>136800</v>
      </c>
      <c r="BD842" t="s">
        <v>74</v>
      </c>
      <c r="BE842" t="s">
        <v>4421</v>
      </c>
      <c r="BF842" t="s">
        <v>4422</v>
      </c>
      <c r="BH842" t="s">
        <v>77</v>
      </c>
      <c r="BI842" t="s">
        <v>84</v>
      </c>
      <c r="BJ842" t="s">
        <v>79</v>
      </c>
      <c r="BM842">
        <v>0</v>
      </c>
      <c r="BN842">
        <v>1</v>
      </c>
      <c r="BO842">
        <v>1</v>
      </c>
      <c r="BP842" t="s">
        <v>80</v>
      </c>
      <c r="BR842">
        <v>0</v>
      </c>
      <c r="BS842">
        <v>6</v>
      </c>
      <c r="BU842">
        <v>136800</v>
      </c>
    </row>
    <row r="843" spans="1:73" x14ac:dyDescent="0.3">
      <c r="A843" t="s">
        <v>4434</v>
      </c>
      <c r="B843">
        <v>0</v>
      </c>
      <c r="C843">
        <v>0</v>
      </c>
      <c r="D843">
        <v>4</v>
      </c>
      <c r="E843">
        <v>3575429</v>
      </c>
      <c r="F843">
        <v>0</v>
      </c>
      <c r="G843">
        <v>0</v>
      </c>
      <c r="H843">
        <v>20</v>
      </c>
      <c r="I843">
        <v>406212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33</v>
      </c>
      <c r="BC843" s="1">
        <v>11591601</v>
      </c>
      <c r="BD843" t="s">
        <v>74</v>
      </c>
      <c r="BE843" t="s">
        <v>4435</v>
      </c>
      <c r="BF843" t="s">
        <v>3517</v>
      </c>
      <c r="BH843" t="s">
        <v>77</v>
      </c>
      <c r="BI843" t="s">
        <v>92</v>
      </c>
      <c r="BJ843" t="s">
        <v>79</v>
      </c>
      <c r="BM843">
        <v>0</v>
      </c>
      <c r="BN843">
        <v>2</v>
      </c>
      <c r="BO843">
        <v>2</v>
      </c>
      <c r="BP843" t="s">
        <v>80</v>
      </c>
      <c r="BR843">
        <v>0</v>
      </c>
      <c r="BS843">
        <v>6</v>
      </c>
      <c r="BU843">
        <v>3981641</v>
      </c>
    </row>
    <row r="844" spans="1:73" x14ac:dyDescent="0.3">
      <c r="A844" t="s">
        <v>4436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73535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2</v>
      </c>
      <c r="BC844" s="1">
        <v>147070</v>
      </c>
      <c r="BD844" t="s">
        <v>74</v>
      </c>
      <c r="BE844" t="s">
        <v>4437</v>
      </c>
      <c r="BF844" t="s">
        <v>4438</v>
      </c>
      <c r="BH844" t="s">
        <v>77</v>
      </c>
      <c r="BI844" t="s">
        <v>574</v>
      </c>
      <c r="BJ844" t="s">
        <v>79</v>
      </c>
      <c r="BM844">
        <v>1</v>
      </c>
      <c r="BN844">
        <v>0</v>
      </c>
      <c r="BO844">
        <v>1</v>
      </c>
      <c r="BP844" t="s">
        <v>80</v>
      </c>
      <c r="BR844">
        <v>0</v>
      </c>
      <c r="BS844">
        <v>0</v>
      </c>
      <c r="BU844">
        <v>73535</v>
      </c>
    </row>
    <row r="845" spans="1:73" x14ac:dyDescent="0.3">
      <c r="A845" t="s">
        <v>4442</v>
      </c>
      <c r="B845">
        <v>0</v>
      </c>
      <c r="C845">
        <v>0</v>
      </c>
      <c r="D845">
        <v>5</v>
      </c>
      <c r="E845">
        <v>1891108</v>
      </c>
      <c r="F845">
        <v>0</v>
      </c>
      <c r="G845">
        <v>0</v>
      </c>
      <c r="H845">
        <v>8</v>
      </c>
      <c r="I845">
        <v>182216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10</v>
      </c>
      <c r="BC845" s="1">
        <v>3782216</v>
      </c>
      <c r="BD845" t="s">
        <v>74</v>
      </c>
      <c r="BE845" t="s">
        <v>4443</v>
      </c>
      <c r="BF845" t="s">
        <v>4444</v>
      </c>
      <c r="BH845" t="s">
        <v>77</v>
      </c>
      <c r="BI845" t="s">
        <v>92</v>
      </c>
      <c r="BJ845" t="s">
        <v>79</v>
      </c>
      <c r="BM845">
        <v>0</v>
      </c>
      <c r="BN845">
        <v>2</v>
      </c>
      <c r="BO845">
        <v>2</v>
      </c>
      <c r="BP845" t="s">
        <v>80</v>
      </c>
      <c r="BR845">
        <v>0</v>
      </c>
      <c r="BS845">
        <v>6</v>
      </c>
      <c r="BU845">
        <v>2073324</v>
      </c>
    </row>
    <row r="846" spans="1:73" x14ac:dyDescent="0.3">
      <c r="A846" t="s">
        <v>4445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73535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19792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3</v>
      </c>
      <c r="BC846" s="1">
        <v>113119</v>
      </c>
      <c r="BD846" t="s">
        <v>74</v>
      </c>
      <c r="BE846" t="s">
        <v>4446</v>
      </c>
      <c r="BF846" t="s">
        <v>4447</v>
      </c>
      <c r="BH846" t="s">
        <v>77</v>
      </c>
      <c r="BI846" t="s">
        <v>88</v>
      </c>
      <c r="BJ846" t="s">
        <v>79</v>
      </c>
      <c r="BM846">
        <v>2</v>
      </c>
      <c r="BN846">
        <v>0</v>
      </c>
      <c r="BO846">
        <v>2</v>
      </c>
      <c r="BP846" t="s">
        <v>80</v>
      </c>
      <c r="BR846">
        <v>0</v>
      </c>
      <c r="BS846">
        <v>6</v>
      </c>
      <c r="BU846">
        <v>93327</v>
      </c>
    </row>
    <row r="847" spans="1:73" x14ac:dyDescent="0.3">
      <c r="A847" t="s">
        <v>4448</v>
      </c>
      <c r="B847">
        <v>0</v>
      </c>
      <c r="C847">
        <v>0</v>
      </c>
      <c r="D847">
        <v>1</v>
      </c>
      <c r="E847">
        <v>231428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 s="1">
        <v>231428</v>
      </c>
      <c r="BD847" t="s">
        <v>74</v>
      </c>
      <c r="BE847" t="s">
        <v>4449</v>
      </c>
      <c r="BF847" t="s">
        <v>4450</v>
      </c>
      <c r="BH847" t="s">
        <v>77</v>
      </c>
      <c r="BI847" t="s">
        <v>593</v>
      </c>
      <c r="BJ847" t="s">
        <v>79</v>
      </c>
      <c r="BM847">
        <v>0</v>
      </c>
      <c r="BN847">
        <v>1</v>
      </c>
      <c r="BO847">
        <v>1</v>
      </c>
      <c r="BP847" t="s">
        <v>80</v>
      </c>
      <c r="BR847">
        <v>0</v>
      </c>
      <c r="BS847">
        <v>6</v>
      </c>
      <c r="BU847">
        <v>231428</v>
      </c>
    </row>
    <row r="848" spans="1:73" x14ac:dyDescent="0.3">
      <c r="A848" t="s">
        <v>4451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78585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19792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3</v>
      </c>
      <c r="BC848" s="1">
        <v>118169</v>
      </c>
      <c r="BD848" t="s">
        <v>74</v>
      </c>
      <c r="BE848" t="s">
        <v>4452</v>
      </c>
      <c r="BF848" t="s">
        <v>4453</v>
      </c>
      <c r="BH848" t="s">
        <v>77</v>
      </c>
      <c r="BI848" t="s">
        <v>78</v>
      </c>
      <c r="BJ848" t="s">
        <v>79</v>
      </c>
      <c r="BM848">
        <v>2</v>
      </c>
      <c r="BN848">
        <v>0</v>
      </c>
      <c r="BO848">
        <v>2</v>
      </c>
      <c r="BP848" t="s">
        <v>80</v>
      </c>
      <c r="BR848">
        <v>0</v>
      </c>
      <c r="BS848">
        <v>6</v>
      </c>
      <c r="BU848">
        <v>98377</v>
      </c>
    </row>
    <row r="849" spans="1:73" x14ac:dyDescent="0.3">
      <c r="A849" t="s">
        <v>4454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20876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73535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</v>
      </c>
      <c r="BC849" s="1">
        <v>94411</v>
      </c>
      <c r="BD849" t="s">
        <v>74</v>
      </c>
      <c r="BE849" t="s">
        <v>4455</v>
      </c>
      <c r="BF849" t="s">
        <v>4456</v>
      </c>
      <c r="BH849" t="s">
        <v>77</v>
      </c>
      <c r="BI849" t="s">
        <v>92</v>
      </c>
      <c r="BJ849" t="s">
        <v>79</v>
      </c>
      <c r="BM849">
        <v>1</v>
      </c>
      <c r="BN849">
        <v>1</v>
      </c>
      <c r="BO849">
        <v>2</v>
      </c>
      <c r="BP849" t="s">
        <v>80</v>
      </c>
      <c r="BR849">
        <v>0</v>
      </c>
      <c r="BS849">
        <v>0</v>
      </c>
      <c r="BU849">
        <v>94411</v>
      </c>
    </row>
    <row r="850" spans="1:73" x14ac:dyDescent="0.3">
      <c r="A850" t="s">
        <v>4457</v>
      </c>
      <c r="B850">
        <v>0</v>
      </c>
      <c r="C850">
        <v>0</v>
      </c>
      <c r="D850">
        <v>1</v>
      </c>
      <c r="E850">
        <v>540000</v>
      </c>
      <c r="F850">
        <v>0</v>
      </c>
      <c r="G850">
        <v>0</v>
      </c>
      <c r="H850">
        <v>5</v>
      </c>
      <c r="I850">
        <v>102109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7</v>
      </c>
      <c r="BC850" s="1">
        <v>1182109</v>
      </c>
      <c r="BD850" t="s">
        <v>74</v>
      </c>
      <c r="BE850" t="s">
        <v>4458</v>
      </c>
      <c r="BF850" t="s">
        <v>1492</v>
      </c>
      <c r="BH850" t="s">
        <v>77</v>
      </c>
      <c r="BI850" t="s">
        <v>593</v>
      </c>
      <c r="BJ850" t="s">
        <v>79</v>
      </c>
      <c r="BM850">
        <v>0</v>
      </c>
      <c r="BN850">
        <v>2</v>
      </c>
      <c r="BO850">
        <v>2</v>
      </c>
      <c r="BP850" t="s">
        <v>514</v>
      </c>
      <c r="BR850">
        <v>0</v>
      </c>
      <c r="BS850">
        <v>6</v>
      </c>
      <c r="BU850">
        <v>642109</v>
      </c>
    </row>
    <row r="851" spans="1:73" x14ac:dyDescent="0.3">
      <c r="A851" t="s">
        <v>4462</v>
      </c>
      <c r="B851">
        <v>3</v>
      </c>
      <c r="C851">
        <v>136364</v>
      </c>
      <c r="D851">
        <v>5</v>
      </c>
      <c r="E851">
        <v>1680780</v>
      </c>
      <c r="F851">
        <v>0</v>
      </c>
      <c r="G851">
        <v>0</v>
      </c>
      <c r="H851">
        <v>8</v>
      </c>
      <c r="I851">
        <v>147274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48693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19640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15</v>
      </c>
      <c r="BC851" s="1">
        <v>3566257</v>
      </c>
      <c r="BD851" t="s">
        <v>74</v>
      </c>
      <c r="BE851" t="s">
        <v>4463</v>
      </c>
      <c r="BF851" t="s">
        <v>4444</v>
      </c>
      <c r="BH851" t="s">
        <v>77</v>
      </c>
      <c r="BI851" t="s">
        <v>92</v>
      </c>
      <c r="BJ851" t="s">
        <v>79</v>
      </c>
      <c r="BM851">
        <v>2</v>
      </c>
      <c r="BN851">
        <v>3</v>
      </c>
      <c r="BO851">
        <v>5</v>
      </c>
      <c r="BP851" t="s">
        <v>80</v>
      </c>
      <c r="BR851">
        <v>0</v>
      </c>
      <c r="BS851">
        <v>6</v>
      </c>
      <c r="BU851">
        <v>2032751</v>
      </c>
    </row>
    <row r="852" spans="1:73" x14ac:dyDescent="0.3">
      <c r="A852" t="s">
        <v>4464</v>
      </c>
      <c r="B852">
        <v>0</v>
      </c>
      <c r="C852">
        <v>107273</v>
      </c>
      <c r="D852">
        <v>1</v>
      </c>
      <c r="E852">
        <v>163636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73535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19792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4</v>
      </c>
      <c r="BC852" s="1">
        <v>437771</v>
      </c>
      <c r="BD852" t="s">
        <v>74</v>
      </c>
      <c r="BE852" t="s">
        <v>4465</v>
      </c>
      <c r="BF852" t="s">
        <v>3024</v>
      </c>
      <c r="BH852" t="s">
        <v>77</v>
      </c>
      <c r="BI852" t="s">
        <v>204</v>
      </c>
      <c r="BJ852" t="s">
        <v>79</v>
      </c>
      <c r="BM852">
        <v>2</v>
      </c>
      <c r="BN852">
        <v>1</v>
      </c>
      <c r="BO852">
        <v>3</v>
      </c>
      <c r="BP852" t="s">
        <v>80</v>
      </c>
      <c r="BR852">
        <v>0</v>
      </c>
      <c r="BS852">
        <v>6</v>
      </c>
      <c r="BU852">
        <v>364236</v>
      </c>
    </row>
    <row r="853" spans="1:73" x14ac:dyDescent="0.3">
      <c r="A853" t="s">
        <v>4466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165631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8788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6</v>
      </c>
      <c r="BC853" s="1">
        <v>194211</v>
      </c>
      <c r="BD853" t="s">
        <v>74</v>
      </c>
      <c r="BE853" t="s">
        <v>4467</v>
      </c>
      <c r="BF853" t="s">
        <v>1213</v>
      </c>
      <c r="BH853" t="s">
        <v>77</v>
      </c>
      <c r="BI853" t="s">
        <v>92</v>
      </c>
      <c r="BJ853" t="s">
        <v>79</v>
      </c>
      <c r="BM853">
        <v>2</v>
      </c>
      <c r="BN853">
        <v>0</v>
      </c>
      <c r="BO853">
        <v>2</v>
      </c>
      <c r="BP853" t="s">
        <v>80</v>
      </c>
      <c r="BR853">
        <v>0</v>
      </c>
      <c r="BS853">
        <v>6</v>
      </c>
      <c r="BU853">
        <v>174419</v>
      </c>
    </row>
    <row r="854" spans="1:73" x14ac:dyDescent="0.3">
      <c r="A854" t="s">
        <v>4471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78585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 s="1">
        <v>78585</v>
      </c>
      <c r="BD854" t="s">
        <v>74</v>
      </c>
      <c r="BE854" t="s">
        <v>4472</v>
      </c>
      <c r="BF854" t="s">
        <v>4473</v>
      </c>
      <c r="BH854" t="s">
        <v>77</v>
      </c>
      <c r="BI854" t="s">
        <v>92</v>
      </c>
      <c r="BJ854" t="s">
        <v>79</v>
      </c>
      <c r="BM854">
        <v>1</v>
      </c>
      <c r="BN854">
        <v>0</v>
      </c>
      <c r="BO854">
        <v>1</v>
      </c>
      <c r="BP854" t="s">
        <v>80</v>
      </c>
      <c r="BR854">
        <v>0</v>
      </c>
      <c r="BS854">
        <v>0</v>
      </c>
      <c r="BU854">
        <v>78585</v>
      </c>
    </row>
    <row r="855" spans="1:73" x14ac:dyDescent="0.3">
      <c r="A855" t="s">
        <v>4477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82993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2</v>
      </c>
      <c r="BC855" s="1">
        <v>165986</v>
      </c>
      <c r="BD855" t="s">
        <v>74</v>
      </c>
      <c r="BE855" t="s">
        <v>4478</v>
      </c>
      <c r="BF855" t="s">
        <v>3444</v>
      </c>
      <c r="BH855" t="s">
        <v>77</v>
      </c>
      <c r="BI855" t="s">
        <v>593</v>
      </c>
      <c r="BJ855" t="s">
        <v>79</v>
      </c>
      <c r="BM855">
        <v>1</v>
      </c>
      <c r="BN855">
        <v>0</v>
      </c>
      <c r="BO855">
        <v>1</v>
      </c>
      <c r="BP855" t="s">
        <v>80</v>
      </c>
      <c r="BR855">
        <v>0</v>
      </c>
      <c r="BS855">
        <v>0</v>
      </c>
      <c r="BU855">
        <v>82993</v>
      </c>
    </row>
    <row r="856" spans="1:73" x14ac:dyDescent="0.3">
      <c r="A856" t="s">
        <v>4484</v>
      </c>
      <c r="B856">
        <v>0</v>
      </c>
      <c r="C856">
        <v>0</v>
      </c>
      <c r="D856">
        <v>3</v>
      </c>
      <c r="E856">
        <v>857402</v>
      </c>
      <c r="F856">
        <v>0</v>
      </c>
      <c r="G856">
        <v>0</v>
      </c>
      <c r="H856">
        <v>4</v>
      </c>
      <c r="I856">
        <v>114804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6</v>
      </c>
      <c r="BC856" s="1">
        <v>1714804</v>
      </c>
      <c r="BD856" t="s">
        <v>74</v>
      </c>
      <c r="BE856" t="s">
        <v>4485</v>
      </c>
      <c r="BF856" t="s">
        <v>4486</v>
      </c>
      <c r="BH856" t="s">
        <v>77</v>
      </c>
      <c r="BI856" t="s">
        <v>593</v>
      </c>
      <c r="BJ856" t="s">
        <v>79</v>
      </c>
      <c r="BM856">
        <v>0</v>
      </c>
      <c r="BN856">
        <v>2</v>
      </c>
      <c r="BO856">
        <v>2</v>
      </c>
      <c r="BP856" t="s">
        <v>80</v>
      </c>
      <c r="BR856">
        <v>0</v>
      </c>
      <c r="BS856">
        <v>6</v>
      </c>
      <c r="BU856">
        <v>972206</v>
      </c>
    </row>
    <row r="857" spans="1:73" x14ac:dyDescent="0.3">
      <c r="A857" t="s">
        <v>4489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77000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4</v>
      </c>
      <c r="BC857" s="1">
        <v>175377</v>
      </c>
      <c r="BD857" t="s">
        <v>74</v>
      </c>
      <c r="BE857" t="s">
        <v>4490</v>
      </c>
      <c r="BF857" t="s">
        <v>4491</v>
      </c>
      <c r="BH857" t="s">
        <v>77</v>
      </c>
      <c r="BI857" t="s">
        <v>574</v>
      </c>
      <c r="BJ857" t="s">
        <v>79</v>
      </c>
      <c r="BM857">
        <v>1</v>
      </c>
      <c r="BN857">
        <v>0</v>
      </c>
      <c r="BO857">
        <v>1</v>
      </c>
      <c r="BP857" t="s">
        <v>80</v>
      </c>
      <c r="BR857">
        <v>0</v>
      </c>
      <c r="BS857">
        <v>6</v>
      </c>
      <c r="BU857">
        <v>77000</v>
      </c>
    </row>
    <row r="858" spans="1:73" x14ac:dyDescent="0.3">
      <c r="A858" t="s">
        <v>4492</v>
      </c>
      <c r="B858">
        <v>0</v>
      </c>
      <c r="C858">
        <v>0</v>
      </c>
      <c r="D858">
        <v>1</v>
      </c>
      <c r="E858">
        <v>432000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2</v>
      </c>
      <c r="BC858" s="1">
        <v>864000</v>
      </c>
      <c r="BD858" t="s">
        <v>74</v>
      </c>
      <c r="BE858" t="s">
        <v>4493</v>
      </c>
      <c r="BF858" t="s">
        <v>4494</v>
      </c>
      <c r="BH858" t="s">
        <v>77</v>
      </c>
      <c r="BI858" t="s">
        <v>92</v>
      </c>
      <c r="BJ858" t="s">
        <v>79</v>
      </c>
      <c r="BM858">
        <v>0</v>
      </c>
      <c r="BN858">
        <v>1</v>
      </c>
      <c r="BO858">
        <v>1</v>
      </c>
      <c r="BP858" t="s">
        <v>80</v>
      </c>
      <c r="BR858">
        <v>0</v>
      </c>
      <c r="BS858">
        <v>6</v>
      </c>
      <c r="BU858">
        <v>432000</v>
      </c>
    </row>
    <row r="859" spans="1:73" x14ac:dyDescent="0.3">
      <c r="A859" t="s">
        <v>4498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7916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 s="1">
        <v>7916</v>
      </c>
      <c r="BD859" t="s">
        <v>74</v>
      </c>
      <c r="BE859" t="s">
        <v>4499</v>
      </c>
      <c r="BF859" t="s">
        <v>4500</v>
      </c>
      <c r="BH859" t="s">
        <v>77</v>
      </c>
      <c r="BI859" t="s">
        <v>228</v>
      </c>
      <c r="BJ859" t="s">
        <v>79</v>
      </c>
      <c r="BM859">
        <v>1</v>
      </c>
      <c r="BN859">
        <v>0</v>
      </c>
      <c r="BO859">
        <v>1</v>
      </c>
      <c r="BP859" t="s">
        <v>80</v>
      </c>
      <c r="BR859">
        <v>0</v>
      </c>
      <c r="BS859">
        <v>0</v>
      </c>
      <c r="BU859">
        <v>7916</v>
      </c>
    </row>
    <row r="860" spans="1:73" x14ac:dyDescent="0.3">
      <c r="A860" t="s">
        <v>4501</v>
      </c>
      <c r="B860">
        <v>0</v>
      </c>
      <c r="C860">
        <v>0</v>
      </c>
      <c r="D860">
        <v>4</v>
      </c>
      <c r="E860">
        <v>1935000</v>
      </c>
      <c r="F860">
        <v>0</v>
      </c>
      <c r="G860">
        <v>0</v>
      </c>
      <c r="H860">
        <v>6</v>
      </c>
      <c r="I860">
        <v>120000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8</v>
      </c>
      <c r="BC860" s="1">
        <v>3870000</v>
      </c>
      <c r="BD860" t="s">
        <v>74</v>
      </c>
      <c r="BE860" t="s">
        <v>4502</v>
      </c>
      <c r="BF860" t="s">
        <v>4133</v>
      </c>
      <c r="BH860" t="s">
        <v>77</v>
      </c>
      <c r="BI860" t="s">
        <v>92</v>
      </c>
      <c r="BJ860" t="s">
        <v>79</v>
      </c>
      <c r="BM860">
        <v>0</v>
      </c>
      <c r="BN860">
        <v>2</v>
      </c>
      <c r="BO860">
        <v>2</v>
      </c>
      <c r="BP860" t="s">
        <v>80</v>
      </c>
      <c r="BR860">
        <v>0</v>
      </c>
      <c r="BS860">
        <v>6</v>
      </c>
      <c r="BU860">
        <v>2055000</v>
      </c>
    </row>
    <row r="861" spans="1:73" x14ac:dyDescent="0.3">
      <c r="A861" t="s">
        <v>4511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73535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2</v>
      </c>
      <c r="BC861" s="1">
        <v>147070</v>
      </c>
      <c r="BD861" t="s">
        <v>74</v>
      </c>
      <c r="BE861" t="s">
        <v>4512</v>
      </c>
      <c r="BF861" t="s">
        <v>4513</v>
      </c>
      <c r="BH861" t="s">
        <v>77</v>
      </c>
      <c r="BI861" t="s">
        <v>204</v>
      </c>
      <c r="BJ861" t="s">
        <v>79</v>
      </c>
      <c r="BM861">
        <v>1</v>
      </c>
      <c r="BN861">
        <v>0</v>
      </c>
      <c r="BO861">
        <v>1</v>
      </c>
      <c r="BP861" t="s">
        <v>80</v>
      </c>
      <c r="BR861">
        <v>0</v>
      </c>
      <c r="BS861">
        <v>6</v>
      </c>
      <c r="BU861">
        <v>73535</v>
      </c>
    </row>
    <row r="862" spans="1:73" x14ac:dyDescent="0.3">
      <c r="A862" t="s">
        <v>4517</v>
      </c>
      <c r="B862">
        <v>3</v>
      </c>
      <c r="C862">
        <v>488708</v>
      </c>
      <c r="D862">
        <v>4</v>
      </c>
      <c r="E862">
        <v>3425771</v>
      </c>
      <c r="F862">
        <v>0</v>
      </c>
      <c r="G862">
        <v>0</v>
      </c>
      <c r="H862">
        <v>6</v>
      </c>
      <c r="I862">
        <v>131542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11</v>
      </c>
      <c r="BC862" s="1">
        <v>7340250</v>
      </c>
      <c r="BD862" t="s">
        <v>74</v>
      </c>
      <c r="BE862" t="s">
        <v>4518</v>
      </c>
      <c r="BF862" t="s">
        <v>4519</v>
      </c>
      <c r="BH862" t="s">
        <v>136</v>
      </c>
      <c r="BI862" t="s">
        <v>137</v>
      </c>
      <c r="BJ862" t="s">
        <v>125</v>
      </c>
      <c r="BM862">
        <v>0</v>
      </c>
      <c r="BN862">
        <v>3</v>
      </c>
      <c r="BO862">
        <v>3</v>
      </c>
      <c r="BP862" t="s">
        <v>80</v>
      </c>
      <c r="BR862">
        <v>0</v>
      </c>
      <c r="BS862">
        <v>6</v>
      </c>
      <c r="BU862">
        <v>4046021</v>
      </c>
    </row>
    <row r="863" spans="1:73" x14ac:dyDescent="0.3">
      <c r="A863" t="s">
        <v>4520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16000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</v>
      </c>
      <c r="BC863" s="1">
        <v>16000</v>
      </c>
      <c r="BD863" t="s">
        <v>74</v>
      </c>
      <c r="BE863" t="s">
        <v>4521</v>
      </c>
      <c r="BF863" t="s">
        <v>4522</v>
      </c>
      <c r="BH863" t="s">
        <v>77</v>
      </c>
      <c r="BI863" t="s">
        <v>129</v>
      </c>
      <c r="BJ863" t="s">
        <v>79</v>
      </c>
      <c r="BM863">
        <v>0</v>
      </c>
      <c r="BN863">
        <v>1</v>
      </c>
      <c r="BO863">
        <v>1</v>
      </c>
      <c r="BP863" t="s">
        <v>80</v>
      </c>
      <c r="BR863">
        <v>0</v>
      </c>
      <c r="BS863">
        <v>0</v>
      </c>
      <c r="BU863">
        <v>16000</v>
      </c>
    </row>
    <row r="864" spans="1:73" x14ac:dyDescent="0.3">
      <c r="A864" t="s">
        <v>4528</v>
      </c>
      <c r="B864">
        <v>0</v>
      </c>
      <c r="C864">
        <v>0</v>
      </c>
      <c r="D864">
        <v>1</v>
      </c>
      <c r="E864">
        <v>480000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</v>
      </c>
      <c r="BC864" s="1">
        <v>960000</v>
      </c>
      <c r="BD864" t="s">
        <v>74</v>
      </c>
      <c r="BE864" t="s">
        <v>4529</v>
      </c>
      <c r="BF864" t="s">
        <v>4530</v>
      </c>
      <c r="BH864" t="s">
        <v>77</v>
      </c>
      <c r="BI864" t="s">
        <v>78</v>
      </c>
      <c r="BJ864" t="s">
        <v>79</v>
      </c>
      <c r="BM864">
        <v>0</v>
      </c>
      <c r="BN864">
        <v>1</v>
      </c>
      <c r="BO864">
        <v>1</v>
      </c>
      <c r="BP864" t="s">
        <v>80</v>
      </c>
      <c r="BR864">
        <v>0</v>
      </c>
      <c r="BS864">
        <v>6</v>
      </c>
      <c r="BU864">
        <v>480000</v>
      </c>
    </row>
    <row r="865" spans="1:73" x14ac:dyDescent="0.3">
      <c r="A865" t="s">
        <v>4531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82993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7916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3</v>
      </c>
      <c r="BC865" s="1">
        <v>173902</v>
      </c>
      <c r="BD865" t="s">
        <v>74</v>
      </c>
      <c r="BE865" t="s">
        <v>4532</v>
      </c>
      <c r="BF865" t="s">
        <v>4533</v>
      </c>
      <c r="BH865" t="s">
        <v>77</v>
      </c>
      <c r="BI865" t="s">
        <v>204</v>
      </c>
      <c r="BJ865" t="s">
        <v>79</v>
      </c>
      <c r="BM865">
        <v>2</v>
      </c>
      <c r="BN865">
        <v>0</v>
      </c>
      <c r="BO865">
        <v>2</v>
      </c>
      <c r="BP865" t="s">
        <v>80</v>
      </c>
      <c r="BR865">
        <v>0</v>
      </c>
      <c r="BS865">
        <v>6</v>
      </c>
      <c r="BU865">
        <v>90909</v>
      </c>
    </row>
    <row r="866" spans="1:73" x14ac:dyDescent="0.3">
      <c r="A866" t="s">
        <v>4534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96439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19792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4</v>
      </c>
      <c r="BC866" s="1">
        <v>232462</v>
      </c>
      <c r="BD866" t="s">
        <v>74</v>
      </c>
      <c r="BE866" t="s">
        <v>4535</v>
      </c>
      <c r="BF866" t="s">
        <v>4536</v>
      </c>
      <c r="BH866" t="s">
        <v>77</v>
      </c>
      <c r="BI866" t="s">
        <v>88</v>
      </c>
      <c r="BJ866" t="s">
        <v>79</v>
      </c>
      <c r="BM866">
        <v>2</v>
      </c>
      <c r="BN866">
        <v>0</v>
      </c>
      <c r="BO866">
        <v>2</v>
      </c>
      <c r="BP866" t="s">
        <v>80</v>
      </c>
      <c r="BR866">
        <v>0</v>
      </c>
      <c r="BS866">
        <v>0</v>
      </c>
      <c r="BU866">
        <v>116231</v>
      </c>
    </row>
    <row r="867" spans="1:73" x14ac:dyDescent="0.3">
      <c r="A867" t="s">
        <v>4546</v>
      </c>
      <c r="B867">
        <v>1</v>
      </c>
      <c r="C867">
        <v>247350</v>
      </c>
      <c r="D867">
        <v>1</v>
      </c>
      <c r="E867">
        <v>384000</v>
      </c>
      <c r="F867">
        <v>0</v>
      </c>
      <c r="G867">
        <v>0</v>
      </c>
      <c r="H867">
        <v>4</v>
      </c>
      <c r="I867">
        <v>115613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73535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7</v>
      </c>
      <c r="BC867" s="1">
        <v>820498</v>
      </c>
      <c r="BD867" t="s">
        <v>74</v>
      </c>
      <c r="BE867" t="s">
        <v>4547</v>
      </c>
      <c r="BF867" t="s">
        <v>4548</v>
      </c>
      <c r="BH867" t="s">
        <v>77</v>
      </c>
      <c r="BI867" t="s">
        <v>204</v>
      </c>
      <c r="BJ867" t="s">
        <v>79</v>
      </c>
      <c r="BM867">
        <v>1</v>
      </c>
      <c r="BN867">
        <v>3</v>
      </c>
      <c r="BO867">
        <v>4</v>
      </c>
      <c r="BP867" t="s">
        <v>80</v>
      </c>
      <c r="BR867">
        <v>0</v>
      </c>
      <c r="BS867">
        <v>6</v>
      </c>
      <c r="BU867">
        <v>820498</v>
      </c>
    </row>
    <row r="868" spans="1:73" x14ac:dyDescent="0.3">
      <c r="A868" t="s">
        <v>4552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78585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2</v>
      </c>
      <c r="BC868" s="1">
        <v>157170</v>
      </c>
      <c r="BD868" t="s">
        <v>74</v>
      </c>
      <c r="BE868" t="s">
        <v>4553</v>
      </c>
      <c r="BF868" t="s">
        <v>4554</v>
      </c>
      <c r="BH868" t="s">
        <v>77</v>
      </c>
      <c r="BI868" t="s">
        <v>204</v>
      </c>
      <c r="BJ868" t="s">
        <v>79</v>
      </c>
      <c r="BM868">
        <v>1</v>
      </c>
      <c r="BN868">
        <v>0</v>
      </c>
      <c r="BO868">
        <v>1</v>
      </c>
      <c r="BP868" t="s">
        <v>80</v>
      </c>
      <c r="BR868">
        <v>0</v>
      </c>
      <c r="BS868">
        <v>6</v>
      </c>
      <c r="BU868">
        <v>78585</v>
      </c>
    </row>
    <row r="869" spans="1:73" x14ac:dyDescent="0.3">
      <c r="A869" t="s">
        <v>4555</v>
      </c>
      <c r="B869">
        <v>0</v>
      </c>
      <c r="C869">
        <v>0</v>
      </c>
      <c r="D869">
        <v>1</v>
      </c>
      <c r="E869">
        <v>250000</v>
      </c>
      <c r="F869">
        <v>0</v>
      </c>
      <c r="G869">
        <v>0</v>
      </c>
      <c r="H869">
        <v>1</v>
      </c>
      <c r="I869">
        <v>20000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34</v>
      </c>
      <c r="BC869" s="1">
        <v>403344</v>
      </c>
      <c r="BD869" t="s">
        <v>74</v>
      </c>
      <c r="BE869" t="s">
        <v>4556</v>
      </c>
      <c r="BF869" t="s">
        <v>2652</v>
      </c>
      <c r="BH869" t="s">
        <v>77</v>
      </c>
      <c r="BI869" t="s">
        <v>84</v>
      </c>
      <c r="BJ869" t="s">
        <v>79</v>
      </c>
      <c r="BM869">
        <v>0</v>
      </c>
      <c r="BN869">
        <v>2</v>
      </c>
      <c r="BO869">
        <v>2</v>
      </c>
      <c r="BP869" t="s">
        <v>514</v>
      </c>
      <c r="BR869">
        <v>0</v>
      </c>
      <c r="BS869">
        <v>6</v>
      </c>
      <c r="BU869">
        <v>270000</v>
      </c>
    </row>
    <row r="870" spans="1:73" x14ac:dyDescent="0.3">
      <c r="A870" t="s">
        <v>4557</v>
      </c>
      <c r="B870">
        <v>0</v>
      </c>
      <c r="C870">
        <v>0</v>
      </c>
      <c r="D870">
        <v>1</v>
      </c>
      <c r="E870">
        <v>288000</v>
      </c>
      <c r="F870">
        <v>0</v>
      </c>
      <c r="G870">
        <v>0</v>
      </c>
      <c r="H870">
        <v>1</v>
      </c>
      <c r="I870">
        <v>20000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2</v>
      </c>
      <c r="BC870" s="1">
        <v>308000</v>
      </c>
      <c r="BD870" t="s">
        <v>74</v>
      </c>
      <c r="BE870" t="s">
        <v>4558</v>
      </c>
      <c r="BF870" t="s">
        <v>4559</v>
      </c>
      <c r="BH870" t="s">
        <v>77</v>
      </c>
      <c r="BI870" t="s">
        <v>593</v>
      </c>
      <c r="BJ870" t="s">
        <v>79</v>
      </c>
      <c r="BM870">
        <v>0</v>
      </c>
      <c r="BN870">
        <v>2</v>
      </c>
      <c r="BO870">
        <v>2</v>
      </c>
      <c r="BP870" t="s">
        <v>514</v>
      </c>
      <c r="BR870">
        <v>0</v>
      </c>
      <c r="BS870">
        <v>6</v>
      </c>
      <c r="BU870">
        <v>308000</v>
      </c>
    </row>
    <row r="871" spans="1:73" x14ac:dyDescent="0.3">
      <c r="A871" t="s">
        <v>4560</v>
      </c>
      <c r="B871">
        <v>0</v>
      </c>
      <c r="C871">
        <v>0</v>
      </c>
      <c r="D871">
        <v>2</v>
      </c>
      <c r="E871">
        <v>650000</v>
      </c>
      <c r="F871">
        <v>0</v>
      </c>
      <c r="G871">
        <v>0</v>
      </c>
      <c r="H871">
        <v>1</v>
      </c>
      <c r="I871">
        <v>20000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50000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4</v>
      </c>
      <c r="BC871" s="1">
        <v>720000</v>
      </c>
      <c r="BD871" t="s">
        <v>74</v>
      </c>
      <c r="BE871" t="s">
        <v>4561</v>
      </c>
      <c r="BF871" t="s">
        <v>76</v>
      </c>
      <c r="BH871" t="s">
        <v>77</v>
      </c>
      <c r="BI871" t="s">
        <v>78</v>
      </c>
      <c r="BJ871" t="s">
        <v>79</v>
      </c>
      <c r="BM871">
        <v>0</v>
      </c>
      <c r="BN871">
        <v>3</v>
      </c>
      <c r="BO871">
        <v>3</v>
      </c>
      <c r="BP871" t="s">
        <v>514</v>
      </c>
      <c r="BR871">
        <v>0</v>
      </c>
      <c r="BS871">
        <v>6</v>
      </c>
      <c r="BU871">
        <v>720000</v>
      </c>
    </row>
    <row r="872" spans="1:73" x14ac:dyDescent="0.3">
      <c r="A872" t="s">
        <v>4562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8000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 s="1">
        <v>8000</v>
      </c>
      <c r="BD872" t="s">
        <v>74</v>
      </c>
      <c r="BE872" t="s">
        <v>4563</v>
      </c>
      <c r="BF872" t="s">
        <v>4564</v>
      </c>
      <c r="BH872" t="s">
        <v>77</v>
      </c>
      <c r="BI872" t="s">
        <v>92</v>
      </c>
      <c r="BJ872" t="s">
        <v>79</v>
      </c>
      <c r="BM872">
        <v>1</v>
      </c>
      <c r="BN872">
        <v>0</v>
      </c>
      <c r="BO872">
        <v>1</v>
      </c>
      <c r="BP872" t="s">
        <v>80</v>
      </c>
      <c r="BR872">
        <v>0</v>
      </c>
      <c r="BS872">
        <v>0</v>
      </c>
      <c r="BU872">
        <v>8000</v>
      </c>
    </row>
    <row r="873" spans="1:73" x14ac:dyDescent="0.3">
      <c r="A873" t="s">
        <v>4565</v>
      </c>
      <c r="B873">
        <v>7</v>
      </c>
      <c r="C873">
        <v>3234102</v>
      </c>
      <c r="D873">
        <v>20</v>
      </c>
      <c r="E873">
        <v>2789115</v>
      </c>
      <c r="F873">
        <v>2</v>
      </c>
      <c r="G873">
        <v>64000000</v>
      </c>
      <c r="H873">
        <v>34</v>
      </c>
      <c r="I873">
        <v>1141866</v>
      </c>
      <c r="J873">
        <v>0</v>
      </c>
      <c r="K873">
        <v>0</v>
      </c>
      <c r="L873">
        <v>0</v>
      </c>
      <c r="M873">
        <v>0</v>
      </c>
      <c r="N873">
        <v>2</v>
      </c>
      <c r="O873">
        <v>9830300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73535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62</v>
      </c>
      <c r="BC873" s="1">
        <v>162793602</v>
      </c>
      <c r="BD873" t="s">
        <v>74</v>
      </c>
      <c r="BE873" t="s">
        <v>4566</v>
      </c>
      <c r="BF873" t="s">
        <v>4567</v>
      </c>
      <c r="BH873" t="s">
        <v>1464</v>
      </c>
      <c r="BI873" t="s">
        <v>2320</v>
      </c>
      <c r="BJ873" t="s">
        <v>125</v>
      </c>
      <c r="BM873">
        <v>1</v>
      </c>
      <c r="BN873">
        <v>5</v>
      </c>
      <c r="BO873">
        <v>6</v>
      </c>
      <c r="BP873" t="s">
        <v>80</v>
      </c>
      <c r="BR873">
        <v>0</v>
      </c>
      <c r="BS873">
        <v>3</v>
      </c>
      <c r="BU873">
        <v>81068918</v>
      </c>
    </row>
    <row r="874" spans="1:73" x14ac:dyDescent="0.3">
      <c r="A874" t="s">
        <v>4571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147070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5</v>
      </c>
      <c r="BC874" s="1">
        <v>313932</v>
      </c>
      <c r="BD874" t="s">
        <v>74</v>
      </c>
      <c r="BE874" t="s">
        <v>4572</v>
      </c>
      <c r="BF874" t="s">
        <v>4573</v>
      </c>
      <c r="BH874" t="s">
        <v>77</v>
      </c>
      <c r="BI874" t="s">
        <v>78</v>
      </c>
      <c r="BJ874" t="s">
        <v>79</v>
      </c>
      <c r="BM874">
        <v>1</v>
      </c>
      <c r="BN874">
        <v>0</v>
      </c>
      <c r="BO874">
        <v>1</v>
      </c>
      <c r="BP874" t="s">
        <v>80</v>
      </c>
      <c r="BR874">
        <v>0</v>
      </c>
      <c r="BS874">
        <v>6</v>
      </c>
      <c r="BU874">
        <v>147070</v>
      </c>
    </row>
    <row r="875" spans="1:73" x14ac:dyDescent="0.3">
      <c r="A875" t="s">
        <v>4574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78585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 s="1">
        <v>78585</v>
      </c>
      <c r="BD875" t="s">
        <v>74</v>
      </c>
      <c r="BE875" t="s">
        <v>4575</v>
      </c>
      <c r="BF875" t="s">
        <v>4576</v>
      </c>
      <c r="BH875" t="s">
        <v>77</v>
      </c>
      <c r="BI875" t="s">
        <v>92</v>
      </c>
      <c r="BJ875" t="s">
        <v>79</v>
      </c>
      <c r="BM875">
        <v>1</v>
      </c>
      <c r="BN875">
        <v>0</v>
      </c>
      <c r="BO875">
        <v>1</v>
      </c>
      <c r="BP875" t="s">
        <v>80</v>
      </c>
      <c r="BR875">
        <v>0</v>
      </c>
      <c r="BS875">
        <v>0</v>
      </c>
      <c r="BU875">
        <v>78585</v>
      </c>
    </row>
    <row r="876" spans="1:73" x14ac:dyDescent="0.3">
      <c r="A876" t="s">
        <v>4583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73535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</v>
      </c>
      <c r="BC876" s="1">
        <v>152120</v>
      </c>
      <c r="BD876" t="s">
        <v>74</v>
      </c>
      <c r="BE876" t="s">
        <v>4584</v>
      </c>
      <c r="BF876" t="s">
        <v>4585</v>
      </c>
      <c r="BH876" t="s">
        <v>77</v>
      </c>
      <c r="BI876" t="s">
        <v>593</v>
      </c>
      <c r="BJ876" t="s">
        <v>79</v>
      </c>
      <c r="BM876">
        <v>1</v>
      </c>
      <c r="BN876">
        <v>0</v>
      </c>
      <c r="BO876">
        <v>1</v>
      </c>
      <c r="BP876" t="s">
        <v>80</v>
      </c>
      <c r="BR876">
        <v>0</v>
      </c>
      <c r="BS876">
        <v>0</v>
      </c>
      <c r="BU876">
        <v>73535</v>
      </c>
    </row>
    <row r="877" spans="1:73" x14ac:dyDescent="0.3">
      <c r="A877" t="s">
        <v>4586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73535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</v>
      </c>
      <c r="BC877" s="1">
        <v>73535</v>
      </c>
      <c r="BD877" t="s">
        <v>74</v>
      </c>
      <c r="BE877" t="s">
        <v>4587</v>
      </c>
      <c r="BF877" t="s">
        <v>4588</v>
      </c>
      <c r="BH877" t="s">
        <v>77</v>
      </c>
      <c r="BI877" t="s">
        <v>204</v>
      </c>
      <c r="BJ877" t="s">
        <v>79</v>
      </c>
      <c r="BM877">
        <v>1</v>
      </c>
      <c r="BN877">
        <v>0</v>
      </c>
      <c r="BO877">
        <v>1</v>
      </c>
      <c r="BP877" t="s">
        <v>80</v>
      </c>
      <c r="BR877">
        <v>0</v>
      </c>
      <c r="BS877">
        <v>0</v>
      </c>
      <c r="BU877">
        <v>73535</v>
      </c>
    </row>
    <row r="878" spans="1:73" x14ac:dyDescent="0.3">
      <c r="A878" t="s">
        <v>4589</v>
      </c>
      <c r="B878">
        <v>1</v>
      </c>
      <c r="C878">
        <v>193763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 s="1">
        <v>193763</v>
      </c>
      <c r="BD878" t="s">
        <v>74</v>
      </c>
      <c r="BE878" t="s">
        <v>4590</v>
      </c>
      <c r="BF878" t="s">
        <v>4591</v>
      </c>
      <c r="BH878" t="s">
        <v>4592</v>
      </c>
      <c r="BI878" t="s">
        <v>4593</v>
      </c>
      <c r="BJ878" t="s">
        <v>79</v>
      </c>
      <c r="BM878">
        <v>0</v>
      </c>
      <c r="BN878">
        <v>1</v>
      </c>
      <c r="BO878">
        <v>1</v>
      </c>
      <c r="BP878" t="s">
        <v>80</v>
      </c>
      <c r="BR878">
        <v>0</v>
      </c>
      <c r="BS878">
        <v>6</v>
      </c>
      <c r="BU878">
        <v>193763</v>
      </c>
    </row>
    <row r="879" spans="1:73" x14ac:dyDescent="0.3">
      <c r="A879" t="s">
        <v>4594</v>
      </c>
      <c r="B879">
        <v>1</v>
      </c>
      <c r="C879">
        <v>187495</v>
      </c>
      <c r="D879">
        <v>1</v>
      </c>
      <c r="E879">
        <v>300000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73535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19792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6</v>
      </c>
      <c r="BC879" s="1">
        <v>674149</v>
      </c>
      <c r="BD879" t="s">
        <v>74</v>
      </c>
      <c r="BE879" t="s">
        <v>4595</v>
      </c>
      <c r="BF879" t="s">
        <v>4596</v>
      </c>
      <c r="BH879" t="s">
        <v>77</v>
      </c>
      <c r="BI879" t="s">
        <v>574</v>
      </c>
      <c r="BJ879" t="s">
        <v>79</v>
      </c>
      <c r="BM879">
        <v>2</v>
      </c>
      <c r="BN879">
        <v>2</v>
      </c>
      <c r="BO879">
        <v>4</v>
      </c>
      <c r="BP879" t="s">
        <v>80</v>
      </c>
      <c r="BR879">
        <v>0</v>
      </c>
      <c r="BS879">
        <v>6</v>
      </c>
      <c r="BU879">
        <v>580822</v>
      </c>
    </row>
    <row r="880" spans="1:73" x14ac:dyDescent="0.3">
      <c r="A880" t="s">
        <v>4597</v>
      </c>
      <c r="B880">
        <v>0</v>
      </c>
      <c r="C880">
        <v>0</v>
      </c>
      <c r="D880">
        <v>1</v>
      </c>
      <c r="E880">
        <v>190909</v>
      </c>
      <c r="F880">
        <v>0</v>
      </c>
      <c r="G880">
        <v>0</v>
      </c>
      <c r="H880">
        <v>2</v>
      </c>
      <c r="I880">
        <v>45020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11364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8</v>
      </c>
      <c r="BC880" s="1">
        <v>829716</v>
      </c>
      <c r="BD880" t="s">
        <v>74</v>
      </c>
      <c r="BE880" t="s">
        <v>4598</v>
      </c>
      <c r="BF880" t="s">
        <v>4599</v>
      </c>
      <c r="BH880" t="s">
        <v>77</v>
      </c>
      <c r="BI880" t="s">
        <v>524</v>
      </c>
      <c r="BJ880" t="s">
        <v>79</v>
      </c>
      <c r="BM880">
        <v>1</v>
      </c>
      <c r="BN880">
        <v>2</v>
      </c>
      <c r="BO880">
        <v>3</v>
      </c>
      <c r="BP880" t="s">
        <v>514</v>
      </c>
      <c r="BR880">
        <v>0</v>
      </c>
      <c r="BS880">
        <v>6</v>
      </c>
      <c r="BU880">
        <v>247293</v>
      </c>
    </row>
    <row r="881" spans="1:73" x14ac:dyDescent="0.3">
      <c r="A881" t="s">
        <v>4600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51948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165000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</v>
      </c>
      <c r="BC881" s="1">
        <v>216948</v>
      </c>
      <c r="BD881" t="s">
        <v>74</v>
      </c>
      <c r="BE881" t="s">
        <v>4601</v>
      </c>
      <c r="BF881" t="s">
        <v>4602</v>
      </c>
      <c r="BH881" t="s">
        <v>77</v>
      </c>
      <c r="BI881" t="s">
        <v>739</v>
      </c>
      <c r="BJ881" t="s">
        <v>79</v>
      </c>
      <c r="BM881">
        <v>1</v>
      </c>
      <c r="BN881">
        <v>1</v>
      </c>
      <c r="BO881">
        <v>2</v>
      </c>
      <c r="BP881" t="s">
        <v>514</v>
      </c>
      <c r="BR881">
        <v>0</v>
      </c>
      <c r="BS881">
        <v>6</v>
      </c>
      <c r="BU881">
        <v>216948</v>
      </c>
    </row>
    <row r="882" spans="1:73" x14ac:dyDescent="0.3">
      <c r="A882" t="s">
        <v>4606</v>
      </c>
      <c r="B882">
        <v>0</v>
      </c>
      <c r="C882">
        <v>0</v>
      </c>
      <c r="D882">
        <v>2</v>
      </c>
      <c r="E882">
        <v>219464</v>
      </c>
      <c r="F882">
        <v>0</v>
      </c>
      <c r="G882">
        <v>0</v>
      </c>
      <c r="H882">
        <v>2</v>
      </c>
      <c r="I882">
        <v>40746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4</v>
      </c>
      <c r="BC882" s="1">
        <v>438928</v>
      </c>
      <c r="BD882" t="s">
        <v>74</v>
      </c>
      <c r="BE882" t="s">
        <v>4607</v>
      </c>
      <c r="BF882" t="s">
        <v>4608</v>
      </c>
      <c r="BH882" t="s">
        <v>77</v>
      </c>
      <c r="BI882" t="s">
        <v>593</v>
      </c>
      <c r="BJ882" t="s">
        <v>79</v>
      </c>
      <c r="BM882">
        <v>0</v>
      </c>
      <c r="BN882">
        <v>2</v>
      </c>
      <c r="BO882">
        <v>2</v>
      </c>
      <c r="BP882" t="s">
        <v>80</v>
      </c>
      <c r="BR882">
        <v>0</v>
      </c>
      <c r="BS882">
        <v>6</v>
      </c>
      <c r="BU882">
        <v>260210</v>
      </c>
    </row>
    <row r="883" spans="1:73" x14ac:dyDescent="0.3">
      <c r="A883" t="s">
        <v>4609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73535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</v>
      </c>
      <c r="BC883" s="1">
        <v>147070</v>
      </c>
      <c r="BD883" t="s">
        <v>74</v>
      </c>
      <c r="BE883" t="s">
        <v>4610</v>
      </c>
      <c r="BF883" t="s">
        <v>4611</v>
      </c>
      <c r="BH883" t="s">
        <v>77</v>
      </c>
      <c r="BI883" t="s">
        <v>78</v>
      </c>
      <c r="BJ883" t="s">
        <v>79</v>
      </c>
      <c r="BM883">
        <v>1</v>
      </c>
      <c r="BN883">
        <v>0</v>
      </c>
      <c r="BO883">
        <v>1</v>
      </c>
      <c r="BP883" t="s">
        <v>80</v>
      </c>
      <c r="BR883">
        <v>0</v>
      </c>
      <c r="BS883">
        <v>0</v>
      </c>
      <c r="BU883">
        <v>73535</v>
      </c>
    </row>
    <row r="884" spans="1:73" x14ac:dyDescent="0.3">
      <c r="A884" t="s">
        <v>4618</v>
      </c>
      <c r="B884">
        <v>0</v>
      </c>
      <c r="C884">
        <v>0</v>
      </c>
      <c r="D884">
        <v>5</v>
      </c>
      <c r="E884">
        <v>570435</v>
      </c>
      <c r="F884">
        <v>0</v>
      </c>
      <c r="G884">
        <v>0</v>
      </c>
      <c r="H884">
        <v>8</v>
      </c>
      <c r="I884">
        <v>282688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73535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20000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13</v>
      </c>
      <c r="BC884" s="1">
        <v>1307940</v>
      </c>
      <c r="BD884" t="s">
        <v>74</v>
      </c>
      <c r="BE884" t="s">
        <v>4619</v>
      </c>
      <c r="BF884" t="s">
        <v>4620</v>
      </c>
      <c r="BH884" t="s">
        <v>77</v>
      </c>
      <c r="BI884" t="s">
        <v>593</v>
      </c>
      <c r="BJ884" t="s">
        <v>79</v>
      </c>
      <c r="BM884">
        <v>2</v>
      </c>
      <c r="BN884">
        <v>2</v>
      </c>
      <c r="BO884">
        <v>4</v>
      </c>
      <c r="BP884" t="s">
        <v>80</v>
      </c>
      <c r="BR884">
        <v>0</v>
      </c>
      <c r="BS884">
        <v>6</v>
      </c>
      <c r="BU884">
        <v>946658</v>
      </c>
    </row>
    <row r="885" spans="1:73" x14ac:dyDescent="0.3">
      <c r="A885" t="s">
        <v>4621</v>
      </c>
      <c r="B885">
        <v>0</v>
      </c>
      <c r="C885">
        <v>0</v>
      </c>
      <c r="D885">
        <v>2</v>
      </c>
      <c r="E885">
        <v>857142</v>
      </c>
      <c r="F885">
        <v>0</v>
      </c>
      <c r="G885">
        <v>0</v>
      </c>
      <c r="H885">
        <v>1</v>
      </c>
      <c r="I885">
        <v>20000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5</v>
      </c>
      <c r="BC885" s="1">
        <v>1734284</v>
      </c>
      <c r="BD885" t="s">
        <v>74</v>
      </c>
      <c r="BE885" t="s">
        <v>4622</v>
      </c>
      <c r="BF885" t="s">
        <v>4623</v>
      </c>
      <c r="BH885" t="s">
        <v>77</v>
      </c>
      <c r="BI885" t="s">
        <v>228</v>
      </c>
      <c r="BJ885" t="s">
        <v>79</v>
      </c>
      <c r="BM885">
        <v>0</v>
      </c>
      <c r="BN885">
        <v>2</v>
      </c>
      <c r="BO885">
        <v>2</v>
      </c>
      <c r="BP885" t="s">
        <v>80</v>
      </c>
      <c r="BR885">
        <v>0</v>
      </c>
      <c r="BS885">
        <v>6</v>
      </c>
      <c r="BU885">
        <v>877142</v>
      </c>
    </row>
    <row r="886" spans="1:73" x14ac:dyDescent="0.3">
      <c r="A886" t="s">
        <v>4630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73535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27778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4</v>
      </c>
      <c r="BC886" s="1">
        <v>202626</v>
      </c>
      <c r="BD886" t="s">
        <v>74</v>
      </c>
      <c r="BE886" t="s">
        <v>4631</v>
      </c>
      <c r="BF886" t="s">
        <v>4632</v>
      </c>
      <c r="BH886" t="s">
        <v>77</v>
      </c>
      <c r="BI886" t="s">
        <v>84</v>
      </c>
      <c r="BJ886" t="s">
        <v>79</v>
      </c>
      <c r="BM886">
        <v>2</v>
      </c>
      <c r="BN886">
        <v>0</v>
      </c>
      <c r="BO886">
        <v>2</v>
      </c>
      <c r="BP886" t="s">
        <v>80</v>
      </c>
      <c r="BR886">
        <v>0</v>
      </c>
      <c r="BS886">
        <v>6</v>
      </c>
      <c r="BU886">
        <v>101313</v>
      </c>
    </row>
    <row r="887" spans="1:73" x14ac:dyDescent="0.3">
      <c r="A887" t="s">
        <v>4633</v>
      </c>
      <c r="B887">
        <v>0</v>
      </c>
      <c r="C887">
        <v>0</v>
      </c>
      <c r="D887">
        <v>1</v>
      </c>
      <c r="E887">
        <v>163636</v>
      </c>
      <c r="F887">
        <v>0</v>
      </c>
      <c r="G887">
        <v>0</v>
      </c>
      <c r="H887">
        <v>1</v>
      </c>
      <c r="I887">
        <v>20000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73535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4</v>
      </c>
      <c r="BC887" s="1">
        <v>330706</v>
      </c>
      <c r="BD887" t="s">
        <v>74</v>
      </c>
      <c r="BE887" t="s">
        <v>4634</v>
      </c>
      <c r="BF887" t="s">
        <v>4635</v>
      </c>
      <c r="BH887" t="s">
        <v>77</v>
      </c>
      <c r="BI887" t="s">
        <v>574</v>
      </c>
      <c r="BJ887" t="s">
        <v>79</v>
      </c>
      <c r="BM887">
        <v>1</v>
      </c>
      <c r="BN887">
        <v>2</v>
      </c>
      <c r="BO887">
        <v>3</v>
      </c>
      <c r="BP887" t="s">
        <v>80</v>
      </c>
      <c r="BR887">
        <v>0</v>
      </c>
      <c r="BS887">
        <v>6</v>
      </c>
      <c r="BU887">
        <v>257171</v>
      </c>
    </row>
    <row r="888" spans="1:73" x14ac:dyDescent="0.3">
      <c r="A888" t="s">
        <v>4636</v>
      </c>
      <c r="B888">
        <v>0</v>
      </c>
      <c r="C888">
        <v>0</v>
      </c>
      <c r="D888">
        <v>4</v>
      </c>
      <c r="E888">
        <v>2103382</v>
      </c>
      <c r="F888">
        <v>0</v>
      </c>
      <c r="G888">
        <v>0</v>
      </c>
      <c r="H888">
        <v>6</v>
      </c>
      <c r="I888">
        <v>206764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8</v>
      </c>
      <c r="BC888" s="1">
        <v>4206764</v>
      </c>
      <c r="BD888" t="s">
        <v>74</v>
      </c>
      <c r="BE888" t="s">
        <v>4637</v>
      </c>
      <c r="BF888" t="s">
        <v>4638</v>
      </c>
      <c r="BH888" t="s">
        <v>77</v>
      </c>
      <c r="BI888" t="s">
        <v>129</v>
      </c>
      <c r="BJ888" t="s">
        <v>79</v>
      </c>
      <c r="BM888">
        <v>0</v>
      </c>
      <c r="BN888">
        <v>2</v>
      </c>
      <c r="BO888">
        <v>2</v>
      </c>
      <c r="BP888" t="s">
        <v>80</v>
      </c>
      <c r="BR888">
        <v>0</v>
      </c>
      <c r="BS888">
        <v>6</v>
      </c>
      <c r="BU888">
        <v>2310146</v>
      </c>
    </row>
    <row r="889" spans="1:73" x14ac:dyDescent="0.3">
      <c r="A889" t="s">
        <v>4645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82993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20000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4</v>
      </c>
      <c r="BC889" s="1">
        <v>264571</v>
      </c>
      <c r="BD889" t="s">
        <v>74</v>
      </c>
      <c r="BE889" t="s">
        <v>4646</v>
      </c>
      <c r="BF889" t="s">
        <v>4647</v>
      </c>
      <c r="BH889" t="s">
        <v>77</v>
      </c>
      <c r="BI889" t="s">
        <v>593</v>
      </c>
      <c r="BJ889" t="s">
        <v>79</v>
      </c>
      <c r="BM889">
        <v>2</v>
      </c>
      <c r="BN889">
        <v>0</v>
      </c>
      <c r="BO889">
        <v>2</v>
      </c>
      <c r="BP889" t="s">
        <v>80</v>
      </c>
      <c r="BR889">
        <v>0</v>
      </c>
      <c r="BS889">
        <v>6</v>
      </c>
      <c r="BU889">
        <v>102993</v>
      </c>
    </row>
    <row r="890" spans="1:73" x14ac:dyDescent="0.3">
      <c r="A890" t="s">
        <v>4648</v>
      </c>
      <c r="B890">
        <v>0</v>
      </c>
      <c r="C890">
        <v>0</v>
      </c>
      <c r="D890">
        <v>2</v>
      </c>
      <c r="E890">
        <v>1800000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78585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6</v>
      </c>
      <c r="BC890" s="1">
        <v>3757170</v>
      </c>
      <c r="BD890" t="s">
        <v>74</v>
      </c>
      <c r="BE890" t="s">
        <v>4649</v>
      </c>
      <c r="BF890" t="s">
        <v>4650</v>
      </c>
      <c r="BH890" t="s">
        <v>77</v>
      </c>
      <c r="BI890" t="s">
        <v>92</v>
      </c>
      <c r="BJ890" t="s">
        <v>79</v>
      </c>
      <c r="BM890">
        <v>1</v>
      </c>
      <c r="BN890">
        <v>1</v>
      </c>
      <c r="BO890">
        <v>2</v>
      </c>
      <c r="BP890" t="s">
        <v>80</v>
      </c>
      <c r="BR890">
        <v>0</v>
      </c>
      <c r="BS890">
        <v>6</v>
      </c>
      <c r="BU890">
        <v>1878585</v>
      </c>
    </row>
    <row r="891" spans="1:73" x14ac:dyDescent="0.3">
      <c r="A891" t="s">
        <v>4651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19792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 s="1">
        <v>19792</v>
      </c>
      <c r="BD891" t="s">
        <v>74</v>
      </c>
      <c r="BE891" t="s">
        <v>4652</v>
      </c>
      <c r="BF891" t="s">
        <v>4653</v>
      </c>
      <c r="BH891" t="s">
        <v>77</v>
      </c>
      <c r="BI891" t="s">
        <v>129</v>
      </c>
      <c r="BJ891" t="s">
        <v>79</v>
      </c>
      <c r="BM891">
        <v>1</v>
      </c>
      <c r="BN891">
        <v>0</v>
      </c>
      <c r="BO891">
        <v>1</v>
      </c>
      <c r="BP891" t="s">
        <v>80</v>
      </c>
      <c r="BR891">
        <v>0</v>
      </c>
      <c r="BS891">
        <v>0</v>
      </c>
      <c r="BU891">
        <v>19792</v>
      </c>
    </row>
    <row r="892" spans="1:73" x14ac:dyDescent="0.3">
      <c r="A892" t="s">
        <v>4660</v>
      </c>
      <c r="B892">
        <v>0</v>
      </c>
      <c r="C892">
        <v>0</v>
      </c>
      <c r="D892">
        <v>2</v>
      </c>
      <c r="E892">
        <v>665455</v>
      </c>
      <c r="F892">
        <v>0</v>
      </c>
      <c r="G892">
        <v>0</v>
      </c>
      <c r="H892">
        <v>2</v>
      </c>
      <c r="I892">
        <v>40000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5</v>
      </c>
      <c r="BC892" s="1">
        <v>1371819</v>
      </c>
      <c r="BD892" t="s">
        <v>74</v>
      </c>
      <c r="BE892" t="s">
        <v>4661</v>
      </c>
      <c r="BF892" t="s">
        <v>4662</v>
      </c>
      <c r="BH892" t="s">
        <v>77</v>
      </c>
      <c r="BI892" t="s">
        <v>593</v>
      </c>
      <c r="BJ892" t="s">
        <v>79</v>
      </c>
      <c r="BM892">
        <v>0</v>
      </c>
      <c r="BN892">
        <v>2</v>
      </c>
      <c r="BO892">
        <v>2</v>
      </c>
      <c r="BP892" t="s">
        <v>80</v>
      </c>
      <c r="BR892">
        <v>0</v>
      </c>
      <c r="BS892">
        <v>6</v>
      </c>
      <c r="BU892">
        <v>705455</v>
      </c>
    </row>
    <row r="893" spans="1:73" x14ac:dyDescent="0.3">
      <c r="A893" t="s">
        <v>4669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73535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 s="1">
        <v>73535</v>
      </c>
      <c r="BD893" t="s">
        <v>74</v>
      </c>
      <c r="BE893" t="s">
        <v>4670</v>
      </c>
      <c r="BF893" t="s">
        <v>4671</v>
      </c>
      <c r="BH893" t="s">
        <v>77</v>
      </c>
      <c r="BI893" t="s">
        <v>78</v>
      </c>
      <c r="BJ893" t="s">
        <v>79</v>
      </c>
      <c r="BM893">
        <v>1</v>
      </c>
      <c r="BN893">
        <v>0</v>
      </c>
      <c r="BO893">
        <v>1</v>
      </c>
      <c r="BP893" t="s">
        <v>80</v>
      </c>
      <c r="BR893">
        <v>0</v>
      </c>
      <c r="BS893">
        <v>0</v>
      </c>
      <c r="BU893">
        <v>73535</v>
      </c>
    </row>
    <row r="894" spans="1:73" x14ac:dyDescent="0.3">
      <c r="A894" t="s">
        <v>4672</v>
      </c>
      <c r="B894">
        <v>0</v>
      </c>
      <c r="C894">
        <v>0</v>
      </c>
      <c r="D894">
        <v>3</v>
      </c>
      <c r="E894">
        <v>3640000</v>
      </c>
      <c r="F894">
        <v>0</v>
      </c>
      <c r="G894">
        <v>0</v>
      </c>
      <c r="H894">
        <v>4</v>
      </c>
      <c r="I894">
        <v>80000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6</v>
      </c>
      <c r="BC894" s="1">
        <v>7280000</v>
      </c>
      <c r="BD894" t="s">
        <v>74</v>
      </c>
      <c r="BE894" t="s">
        <v>4673</v>
      </c>
      <c r="BF894" t="s">
        <v>4674</v>
      </c>
      <c r="BH894" t="s">
        <v>77</v>
      </c>
      <c r="BI894" t="s">
        <v>92</v>
      </c>
      <c r="BJ894" t="s">
        <v>79</v>
      </c>
      <c r="BM894">
        <v>0</v>
      </c>
      <c r="BN894">
        <v>2</v>
      </c>
      <c r="BO894">
        <v>2</v>
      </c>
      <c r="BP894" t="s">
        <v>80</v>
      </c>
      <c r="BR894">
        <v>0</v>
      </c>
      <c r="BS894">
        <v>6</v>
      </c>
      <c r="BU894">
        <v>3720000</v>
      </c>
    </row>
    <row r="895" spans="1:73" x14ac:dyDescent="0.3">
      <c r="A895" t="s">
        <v>4675</v>
      </c>
      <c r="B895">
        <v>0</v>
      </c>
      <c r="C895">
        <v>0</v>
      </c>
      <c r="D895">
        <v>8</v>
      </c>
      <c r="E895">
        <v>3336729</v>
      </c>
      <c r="F895">
        <v>0</v>
      </c>
      <c r="G895">
        <v>0</v>
      </c>
      <c r="H895">
        <v>12</v>
      </c>
      <c r="I895">
        <v>263136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16</v>
      </c>
      <c r="BC895" s="1">
        <v>6673458</v>
      </c>
      <c r="BD895" t="s">
        <v>74</v>
      </c>
      <c r="BE895" t="s">
        <v>4676</v>
      </c>
      <c r="BF895" t="s">
        <v>4677</v>
      </c>
      <c r="BH895" t="s">
        <v>77</v>
      </c>
      <c r="BI895" t="s">
        <v>593</v>
      </c>
      <c r="BJ895" t="s">
        <v>79</v>
      </c>
      <c r="BM895">
        <v>0</v>
      </c>
      <c r="BN895">
        <v>2</v>
      </c>
      <c r="BO895">
        <v>2</v>
      </c>
      <c r="BP895" t="s">
        <v>80</v>
      </c>
      <c r="BR895">
        <v>0</v>
      </c>
      <c r="BS895">
        <v>6</v>
      </c>
      <c r="BU895">
        <v>3599865</v>
      </c>
    </row>
    <row r="896" spans="1:73" x14ac:dyDescent="0.3">
      <c r="A896" t="s">
        <v>4681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73535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2</v>
      </c>
      <c r="BC896" s="1">
        <v>147070</v>
      </c>
      <c r="BD896" t="s">
        <v>74</v>
      </c>
      <c r="BE896" t="s">
        <v>4682</v>
      </c>
      <c r="BF896" t="s">
        <v>4683</v>
      </c>
      <c r="BH896" t="s">
        <v>77</v>
      </c>
      <c r="BI896" t="s">
        <v>92</v>
      </c>
      <c r="BJ896" t="s">
        <v>79</v>
      </c>
      <c r="BM896">
        <v>1</v>
      </c>
      <c r="BN896">
        <v>0</v>
      </c>
      <c r="BO896">
        <v>1</v>
      </c>
      <c r="BP896" t="s">
        <v>80</v>
      </c>
      <c r="BR896">
        <v>0</v>
      </c>
      <c r="BS896">
        <v>6</v>
      </c>
      <c r="BU896">
        <v>73535</v>
      </c>
    </row>
    <row r="897" spans="1:73" x14ac:dyDescent="0.3">
      <c r="A897" t="s">
        <v>4684</v>
      </c>
      <c r="B897">
        <v>0</v>
      </c>
      <c r="C897">
        <v>0</v>
      </c>
      <c r="D897">
        <v>7</v>
      </c>
      <c r="E897">
        <v>27120112</v>
      </c>
      <c r="F897">
        <v>0</v>
      </c>
      <c r="G897">
        <v>0</v>
      </c>
      <c r="H897">
        <v>12</v>
      </c>
      <c r="I897">
        <v>240224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73535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16</v>
      </c>
      <c r="BC897" s="1">
        <v>54387294</v>
      </c>
      <c r="BD897" t="s">
        <v>74</v>
      </c>
      <c r="BE897" t="s">
        <v>4685</v>
      </c>
      <c r="BF897" t="s">
        <v>4686</v>
      </c>
      <c r="BH897" t="s">
        <v>77</v>
      </c>
      <c r="BI897" t="s">
        <v>574</v>
      </c>
      <c r="BJ897" t="s">
        <v>79</v>
      </c>
      <c r="BM897">
        <v>1</v>
      </c>
      <c r="BN897">
        <v>2</v>
      </c>
      <c r="BO897">
        <v>3</v>
      </c>
      <c r="BP897" t="s">
        <v>80</v>
      </c>
      <c r="BR897">
        <v>0</v>
      </c>
      <c r="BS897">
        <v>4</v>
      </c>
      <c r="BU897">
        <v>27433871</v>
      </c>
    </row>
    <row r="898" spans="1:73" x14ac:dyDescent="0.3">
      <c r="A898" t="s">
        <v>4687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</v>
      </c>
      <c r="Z898">
        <v>152120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2</v>
      </c>
      <c r="BC898" s="1">
        <v>152120</v>
      </c>
      <c r="BD898" t="s">
        <v>74</v>
      </c>
      <c r="BE898" t="s">
        <v>4688</v>
      </c>
      <c r="BF898" t="s">
        <v>4689</v>
      </c>
      <c r="BH898" t="s">
        <v>77</v>
      </c>
      <c r="BI898" t="s">
        <v>92</v>
      </c>
      <c r="BJ898" t="s">
        <v>79</v>
      </c>
      <c r="BM898">
        <v>1</v>
      </c>
      <c r="BN898">
        <v>0</v>
      </c>
      <c r="BO898">
        <v>1</v>
      </c>
      <c r="BP898" t="s">
        <v>80</v>
      </c>
      <c r="BR898">
        <v>0</v>
      </c>
      <c r="BS898">
        <v>6</v>
      </c>
      <c r="BU898">
        <v>152120</v>
      </c>
    </row>
    <row r="899" spans="1:73" x14ac:dyDescent="0.3">
      <c r="A899" t="s">
        <v>4699</v>
      </c>
      <c r="B899">
        <v>0</v>
      </c>
      <c r="C899">
        <v>0</v>
      </c>
      <c r="D899">
        <v>3</v>
      </c>
      <c r="E899">
        <v>556364</v>
      </c>
      <c r="F899">
        <v>0</v>
      </c>
      <c r="G899">
        <v>0</v>
      </c>
      <c r="H899">
        <v>4</v>
      </c>
      <c r="I899">
        <v>80000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6</v>
      </c>
      <c r="BC899" s="1">
        <v>1112728</v>
      </c>
      <c r="BD899" t="s">
        <v>74</v>
      </c>
      <c r="BE899" t="s">
        <v>4700</v>
      </c>
      <c r="BF899" t="s">
        <v>4701</v>
      </c>
      <c r="BH899" t="s">
        <v>77</v>
      </c>
      <c r="BI899" t="s">
        <v>593</v>
      </c>
      <c r="BJ899" t="s">
        <v>79</v>
      </c>
      <c r="BM899">
        <v>0</v>
      </c>
      <c r="BN899">
        <v>2</v>
      </c>
      <c r="BO899">
        <v>2</v>
      </c>
      <c r="BP899" t="s">
        <v>80</v>
      </c>
      <c r="BR899">
        <v>0</v>
      </c>
      <c r="BS899">
        <v>6</v>
      </c>
      <c r="BU899">
        <v>636364</v>
      </c>
    </row>
    <row r="900" spans="1:73" x14ac:dyDescent="0.3">
      <c r="A900" t="s">
        <v>4705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73535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</v>
      </c>
      <c r="BC900" s="1">
        <v>147070</v>
      </c>
      <c r="BD900" t="s">
        <v>74</v>
      </c>
      <c r="BE900" t="s">
        <v>4706</v>
      </c>
      <c r="BF900" t="s">
        <v>4707</v>
      </c>
      <c r="BH900" t="s">
        <v>77</v>
      </c>
      <c r="BI900" t="s">
        <v>78</v>
      </c>
      <c r="BJ900" t="s">
        <v>79</v>
      </c>
      <c r="BM900">
        <v>1</v>
      </c>
      <c r="BN900">
        <v>0</v>
      </c>
      <c r="BO900">
        <v>1</v>
      </c>
      <c r="BP900" t="s">
        <v>80</v>
      </c>
      <c r="BR900">
        <v>0</v>
      </c>
      <c r="BS900">
        <v>6</v>
      </c>
      <c r="BU900">
        <v>73535</v>
      </c>
    </row>
    <row r="901" spans="1:73" x14ac:dyDescent="0.3">
      <c r="A901" t="s">
        <v>4714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78585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</v>
      </c>
      <c r="BC901" s="1">
        <v>157170</v>
      </c>
      <c r="BD901" t="s">
        <v>74</v>
      </c>
      <c r="BE901" t="s">
        <v>4715</v>
      </c>
      <c r="BF901" t="s">
        <v>4716</v>
      </c>
      <c r="BH901" t="s">
        <v>77</v>
      </c>
      <c r="BI901" t="s">
        <v>574</v>
      </c>
      <c r="BJ901" t="s">
        <v>79</v>
      </c>
      <c r="BM901">
        <v>1</v>
      </c>
      <c r="BN901">
        <v>0</v>
      </c>
      <c r="BO901">
        <v>1</v>
      </c>
      <c r="BP901" t="s">
        <v>80</v>
      </c>
      <c r="BR901">
        <v>0</v>
      </c>
      <c r="BS901">
        <v>6</v>
      </c>
      <c r="BU901">
        <v>78585</v>
      </c>
    </row>
    <row r="902" spans="1:73" x14ac:dyDescent="0.3">
      <c r="A902" t="s">
        <v>4717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20000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 s="1">
        <v>20000</v>
      </c>
      <c r="BD902" t="s">
        <v>74</v>
      </c>
      <c r="BE902" t="s">
        <v>4718</v>
      </c>
      <c r="BF902" t="s">
        <v>513</v>
      </c>
      <c r="BH902" t="s">
        <v>77</v>
      </c>
      <c r="BI902" t="s">
        <v>204</v>
      </c>
      <c r="BJ902" t="s">
        <v>79</v>
      </c>
      <c r="BM902">
        <v>0</v>
      </c>
      <c r="BN902">
        <v>1</v>
      </c>
      <c r="BO902">
        <v>1</v>
      </c>
      <c r="BP902" t="s">
        <v>514</v>
      </c>
      <c r="BR902">
        <v>0</v>
      </c>
      <c r="BS902">
        <v>6</v>
      </c>
      <c r="BU902">
        <v>20000</v>
      </c>
    </row>
    <row r="903" spans="1:73" x14ac:dyDescent="0.3">
      <c r="A903" t="s">
        <v>4719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45000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</v>
      </c>
      <c r="BC903" s="1">
        <v>45000</v>
      </c>
      <c r="BD903" t="s">
        <v>74</v>
      </c>
      <c r="BE903" t="s">
        <v>4720</v>
      </c>
      <c r="BF903" t="s">
        <v>1273</v>
      </c>
      <c r="BH903" t="s">
        <v>77</v>
      </c>
      <c r="BI903" t="s">
        <v>204</v>
      </c>
      <c r="BJ903" t="s">
        <v>79</v>
      </c>
      <c r="BM903">
        <v>0</v>
      </c>
      <c r="BN903">
        <v>1</v>
      </c>
      <c r="BO903">
        <v>1</v>
      </c>
      <c r="BP903" t="s">
        <v>514</v>
      </c>
      <c r="BR903">
        <v>0</v>
      </c>
      <c r="BS903">
        <v>6</v>
      </c>
      <c r="BU903">
        <v>45000</v>
      </c>
    </row>
    <row r="904" spans="1:73" x14ac:dyDescent="0.3">
      <c r="A904" t="s">
        <v>4721</v>
      </c>
      <c r="B904">
        <v>0</v>
      </c>
      <c r="C904">
        <v>0</v>
      </c>
      <c r="D904">
        <v>9</v>
      </c>
      <c r="E904">
        <v>2575273</v>
      </c>
      <c r="F904">
        <v>0</v>
      </c>
      <c r="G904">
        <v>0</v>
      </c>
      <c r="H904">
        <v>35</v>
      </c>
      <c r="I904">
        <v>748891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3936000</v>
      </c>
      <c r="P904">
        <v>1</v>
      </c>
      <c r="Q904">
        <v>60000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200000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49</v>
      </c>
      <c r="BC904" s="1">
        <v>11656164</v>
      </c>
      <c r="BD904" t="s">
        <v>74</v>
      </c>
      <c r="BE904" t="s">
        <v>4722</v>
      </c>
      <c r="BF904" t="s">
        <v>2412</v>
      </c>
      <c r="BH904" t="s">
        <v>77</v>
      </c>
      <c r="BI904" t="s">
        <v>204</v>
      </c>
      <c r="BJ904" t="s">
        <v>79</v>
      </c>
      <c r="BM904">
        <v>0</v>
      </c>
      <c r="BN904">
        <v>4</v>
      </c>
      <c r="BO904">
        <v>4</v>
      </c>
      <c r="BP904" t="s">
        <v>514</v>
      </c>
      <c r="BR904">
        <v>0</v>
      </c>
      <c r="BS904">
        <v>5</v>
      </c>
      <c r="BU904">
        <v>7520164</v>
      </c>
    </row>
    <row r="905" spans="1:73" x14ac:dyDescent="0.3">
      <c r="A905" t="s">
        <v>4723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25000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</v>
      </c>
      <c r="BC905" s="1">
        <v>25000</v>
      </c>
      <c r="BD905" t="s">
        <v>74</v>
      </c>
      <c r="BE905" t="s">
        <v>4724</v>
      </c>
      <c r="BF905" t="s">
        <v>4725</v>
      </c>
      <c r="BH905" t="s">
        <v>77</v>
      </c>
      <c r="BI905" t="s">
        <v>204</v>
      </c>
      <c r="BJ905" t="s">
        <v>79</v>
      </c>
      <c r="BM905">
        <v>0</v>
      </c>
      <c r="BN905">
        <v>1</v>
      </c>
      <c r="BO905">
        <v>1</v>
      </c>
      <c r="BP905" t="s">
        <v>80</v>
      </c>
      <c r="BR905">
        <v>0</v>
      </c>
      <c r="BS905">
        <v>6</v>
      </c>
      <c r="BU905">
        <v>25000</v>
      </c>
    </row>
    <row r="906" spans="1:73" x14ac:dyDescent="0.3">
      <c r="A906" t="s">
        <v>4732</v>
      </c>
      <c r="B906">
        <v>0</v>
      </c>
      <c r="C906">
        <v>0</v>
      </c>
      <c r="D906">
        <v>1</v>
      </c>
      <c r="E906">
        <v>2571429</v>
      </c>
      <c r="F906">
        <v>0</v>
      </c>
      <c r="G906">
        <v>0</v>
      </c>
      <c r="H906">
        <v>3</v>
      </c>
      <c r="I906">
        <v>70526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73535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5</v>
      </c>
      <c r="BC906" s="1">
        <v>2715490</v>
      </c>
      <c r="BD906" t="s">
        <v>74</v>
      </c>
      <c r="BE906" t="s">
        <v>4733</v>
      </c>
      <c r="BF906" t="s">
        <v>4734</v>
      </c>
      <c r="BH906" t="s">
        <v>77</v>
      </c>
      <c r="BI906" t="s">
        <v>129</v>
      </c>
      <c r="BJ906" t="s">
        <v>79</v>
      </c>
      <c r="BM906">
        <v>1</v>
      </c>
      <c r="BN906">
        <v>2</v>
      </c>
      <c r="BO906">
        <v>3</v>
      </c>
      <c r="BP906" t="s">
        <v>80</v>
      </c>
      <c r="BR906">
        <v>0</v>
      </c>
      <c r="BS906">
        <v>6</v>
      </c>
      <c r="BU906">
        <v>2715490</v>
      </c>
    </row>
    <row r="907" spans="1:73" x14ac:dyDescent="0.3">
      <c r="A907" t="s">
        <v>4735</v>
      </c>
      <c r="B907">
        <v>12</v>
      </c>
      <c r="C907">
        <v>2603641</v>
      </c>
      <c r="D907">
        <v>1</v>
      </c>
      <c r="E907">
        <v>432000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14</v>
      </c>
      <c r="BC907" s="1">
        <v>4835641</v>
      </c>
      <c r="BD907" t="s">
        <v>74</v>
      </c>
      <c r="BE907" t="s">
        <v>4736</v>
      </c>
      <c r="BF907" t="s">
        <v>4737</v>
      </c>
      <c r="BH907" t="s">
        <v>1464</v>
      </c>
      <c r="BI907" t="s">
        <v>2320</v>
      </c>
      <c r="BJ907" t="s">
        <v>125</v>
      </c>
      <c r="BM907">
        <v>0</v>
      </c>
      <c r="BN907">
        <v>2</v>
      </c>
      <c r="BO907">
        <v>2</v>
      </c>
      <c r="BP907" t="s">
        <v>80</v>
      </c>
      <c r="BR907">
        <v>0</v>
      </c>
      <c r="BS907">
        <v>6</v>
      </c>
      <c r="BU907">
        <v>3035641</v>
      </c>
    </row>
    <row r="908" spans="1:73" x14ac:dyDescent="0.3">
      <c r="A908" t="s">
        <v>4738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78585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2</v>
      </c>
      <c r="BC908" s="1">
        <v>157170</v>
      </c>
      <c r="BD908" t="s">
        <v>74</v>
      </c>
      <c r="BE908" t="s">
        <v>4739</v>
      </c>
      <c r="BF908" t="s">
        <v>4740</v>
      </c>
      <c r="BH908" t="s">
        <v>77</v>
      </c>
      <c r="BI908" t="s">
        <v>88</v>
      </c>
      <c r="BJ908" t="s">
        <v>79</v>
      </c>
      <c r="BM908">
        <v>1</v>
      </c>
      <c r="BN908">
        <v>0</v>
      </c>
      <c r="BO908">
        <v>1</v>
      </c>
      <c r="BP908" t="s">
        <v>80</v>
      </c>
      <c r="BR908">
        <v>0</v>
      </c>
      <c r="BS908">
        <v>6</v>
      </c>
      <c r="BU908">
        <v>78585</v>
      </c>
    </row>
    <row r="909" spans="1:73" x14ac:dyDescent="0.3">
      <c r="A909" t="s">
        <v>4744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73535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2</v>
      </c>
      <c r="BC909" s="1">
        <v>147070</v>
      </c>
      <c r="BD909" t="s">
        <v>74</v>
      </c>
      <c r="BE909" t="s">
        <v>4745</v>
      </c>
      <c r="BF909" t="s">
        <v>4746</v>
      </c>
      <c r="BH909" t="s">
        <v>77</v>
      </c>
      <c r="BI909" t="s">
        <v>92</v>
      </c>
      <c r="BJ909" t="s">
        <v>79</v>
      </c>
      <c r="BM909">
        <v>1</v>
      </c>
      <c r="BN909">
        <v>0</v>
      </c>
      <c r="BO909">
        <v>1</v>
      </c>
      <c r="BP909" t="s">
        <v>80</v>
      </c>
      <c r="BR909">
        <v>0</v>
      </c>
      <c r="BS909">
        <v>6</v>
      </c>
      <c r="BU909">
        <v>73535</v>
      </c>
    </row>
    <row r="910" spans="1:73" x14ac:dyDescent="0.3">
      <c r="A910" t="s">
        <v>4747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73535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2</v>
      </c>
      <c r="BC910" s="1">
        <v>147070</v>
      </c>
      <c r="BD910" t="s">
        <v>74</v>
      </c>
      <c r="BE910" t="s">
        <v>4748</v>
      </c>
      <c r="BF910" t="s">
        <v>4749</v>
      </c>
      <c r="BH910" t="s">
        <v>77</v>
      </c>
      <c r="BI910" t="s">
        <v>92</v>
      </c>
      <c r="BJ910" t="s">
        <v>79</v>
      </c>
      <c r="BM910">
        <v>1</v>
      </c>
      <c r="BN910">
        <v>0</v>
      </c>
      <c r="BO910">
        <v>1</v>
      </c>
      <c r="BP910" t="s">
        <v>80</v>
      </c>
      <c r="BR910">
        <v>0</v>
      </c>
      <c r="BS910">
        <v>0</v>
      </c>
      <c r="BU910">
        <v>73535</v>
      </c>
    </row>
    <row r="911" spans="1:73" x14ac:dyDescent="0.3">
      <c r="A911" t="s">
        <v>4750</v>
      </c>
      <c r="B911">
        <v>2</v>
      </c>
      <c r="C911">
        <v>445454</v>
      </c>
      <c r="D911">
        <v>3</v>
      </c>
      <c r="E911">
        <v>540000</v>
      </c>
      <c r="F911">
        <v>0</v>
      </c>
      <c r="G911">
        <v>0</v>
      </c>
      <c r="H911">
        <v>4</v>
      </c>
      <c r="I911">
        <v>80000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73535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11</v>
      </c>
      <c r="BC911" s="1">
        <v>1746059</v>
      </c>
      <c r="BD911" t="s">
        <v>74</v>
      </c>
      <c r="BE911" t="s">
        <v>4751</v>
      </c>
      <c r="BF911" t="s">
        <v>4752</v>
      </c>
      <c r="BH911" t="s">
        <v>1464</v>
      </c>
      <c r="BI911" t="s">
        <v>4753</v>
      </c>
      <c r="BJ911" t="s">
        <v>125</v>
      </c>
      <c r="BM911">
        <v>1</v>
      </c>
      <c r="BN911">
        <v>3</v>
      </c>
      <c r="BO911">
        <v>4</v>
      </c>
      <c r="BP911" t="s">
        <v>80</v>
      </c>
      <c r="BR911">
        <v>0</v>
      </c>
      <c r="BS911">
        <v>6</v>
      </c>
      <c r="BU911">
        <v>1138989</v>
      </c>
    </row>
    <row r="912" spans="1:73" x14ac:dyDescent="0.3">
      <c r="A912" t="s">
        <v>4754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82993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 s="1">
        <v>82993</v>
      </c>
      <c r="BD912" t="s">
        <v>74</v>
      </c>
      <c r="BE912" t="s">
        <v>4755</v>
      </c>
      <c r="BF912" t="s">
        <v>4756</v>
      </c>
      <c r="BH912" t="s">
        <v>77</v>
      </c>
      <c r="BI912" t="s">
        <v>593</v>
      </c>
      <c r="BJ912" t="s">
        <v>79</v>
      </c>
      <c r="BM912">
        <v>1</v>
      </c>
      <c r="BN912">
        <v>0</v>
      </c>
      <c r="BO912">
        <v>1</v>
      </c>
      <c r="BP912" t="s">
        <v>80</v>
      </c>
      <c r="BR912">
        <v>0</v>
      </c>
      <c r="BS912">
        <v>6</v>
      </c>
      <c r="BU912">
        <v>82993</v>
      </c>
    </row>
    <row r="913" spans="1:73" x14ac:dyDescent="0.3">
      <c r="A913" t="s">
        <v>4757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82993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 s="1">
        <v>82993</v>
      </c>
      <c r="BD913" t="s">
        <v>74</v>
      </c>
      <c r="BE913" t="s">
        <v>4758</v>
      </c>
      <c r="BF913" t="s">
        <v>4759</v>
      </c>
      <c r="BH913" t="s">
        <v>77</v>
      </c>
      <c r="BI913" t="s">
        <v>129</v>
      </c>
      <c r="BJ913" t="s">
        <v>79</v>
      </c>
      <c r="BM913">
        <v>1</v>
      </c>
      <c r="BN913">
        <v>0</v>
      </c>
      <c r="BO913">
        <v>1</v>
      </c>
      <c r="BP913" t="s">
        <v>80</v>
      </c>
      <c r="BR913">
        <v>0</v>
      </c>
      <c r="BS913">
        <v>6</v>
      </c>
      <c r="BU913">
        <v>82993</v>
      </c>
    </row>
    <row r="914" spans="1:73" x14ac:dyDescent="0.3">
      <c r="A914" t="s">
        <v>4766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73535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 s="1">
        <v>73535</v>
      </c>
      <c r="BD914" t="s">
        <v>74</v>
      </c>
      <c r="BE914" t="s">
        <v>4767</v>
      </c>
      <c r="BF914" t="s">
        <v>2106</v>
      </c>
      <c r="BH914" t="s">
        <v>77</v>
      </c>
      <c r="BI914" t="s">
        <v>92</v>
      </c>
      <c r="BJ914" t="s">
        <v>79</v>
      </c>
      <c r="BM914">
        <v>1</v>
      </c>
      <c r="BN914">
        <v>0</v>
      </c>
      <c r="BO914">
        <v>1</v>
      </c>
      <c r="BP914" t="s">
        <v>80</v>
      </c>
      <c r="BR914">
        <v>0</v>
      </c>
      <c r="BS914">
        <v>0</v>
      </c>
      <c r="BU914">
        <v>73535</v>
      </c>
    </row>
    <row r="915" spans="1:73" x14ac:dyDescent="0.3">
      <c r="A915" t="s">
        <v>4770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47916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 s="1">
        <v>47916</v>
      </c>
      <c r="BD915" t="s">
        <v>74</v>
      </c>
      <c r="BE915" t="s">
        <v>4771</v>
      </c>
      <c r="BF915" t="s">
        <v>4772</v>
      </c>
      <c r="BH915" t="s">
        <v>77</v>
      </c>
      <c r="BI915" t="s">
        <v>574</v>
      </c>
      <c r="BJ915" t="s">
        <v>79</v>
      </c>
      <c r="BM915">
        <v>1</v>
      </c>
      <c r="BN915">
        <v>0</v>
      </c>
      <c r="BO915">
        <v>1</v>
      </c>
      <c r="BP915" t="s">
        <v>80</v>
      </c>
      <c r="BR915">
        <v>0</v>
      </c>
      <c r="BS915">
        <v>0</v>
      </c>
      <c r="BU915">
        <v>47916</v>
      </c>
    </row>
    <row r="916" spans="1:73" x14ac:dyDescent="0.3">
      <c r="A916" t="s">
        <v>4773</v>
      </c>
      <c r="B916">
        <v>0</v>
      </c>
      <c r="C916">
        <v>0</v>
      </c>
      <c r="D916">
        <v>3</v>
      </c>
      <c r="E916">
        <v>190000</v>
      </c>
      <c r="F916">
        <v>0</v>
      </c>
      <c r="G916">
        <v>0</v>
      </c>
      <c r="H916">
        <v>2</v>
      </c>
      <c r="I916">
        <v>40000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4</v>
      </c>
      <c r="BC916" s="1">
        <v>340000</v>
      </c>
      <c r="BD916" t="s">
        <v>74</v>
      </c>
      <c r="BE916" t="s">
        <v>4774</v>
      </c>
      <c r="BF916" t="s">
        <v>4775</v>
      </c>
      <c r="BH916" t="s">
        <v>77</v>
      </c>
      <c r="BI916" t="s">
        <v>593</v>
      </c>
      <c r="BJ916" t="s">
        <v>79</v>
      </c>
      <c r="BM916">
        <v>0</v>
      </c>
      <c r="BN916">
        <v>2</v>
      </c>
      <c r="BO916">
        <v>2</v>
      </c>
      <c r="BP916" t="s">
        <v>80</v>
      </c>
      <c r="BR916">
        <v>0</v>
      </c>
      <c r="BS916">
        <v>6</v>
      </c>
      <c r="BU916">
        <v>230000</v>
      </c>
    </row>
    <row r="917" spans="1:73" x14ac:dyDescent="0.3">
      <c r="A917" t="s">
        <v>4776</v>
      </c>
      <c r="B917">
        <v>0</v>
      </c>
      <c r="C917">
        <v>0</v>
      </c>
      <c r="D917">
        <v>3</v>
      </c>
      <c r="E917">
        <v>465637</v>
      </c>
      <c r="F917">
        <v>0</v>
      </c>
      <c r="G917">
        <v>0</v>
      </c>
      <c r="H917">
        <v>2</v>
      </c>
      <c r="I917">
        <v>33637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4</v>
      </c>
      <c r="BC917" s="1">
        <v>897637</v>
      </c>
      <c r="BD917" t="s">
        <v>74</v>
      </c>
      <c r="BE917" t="s">
        <v>4777</v>
      </c>
      <c r="BF917" t="s">
        <v>4778</v>
      </c>
      <c r="BH917" t="s">
        <v>77</v>
      </c>
      <c r="BI917" t="s">
        <v>228</v>
      </c>
      <c r="BJ917" t="s">
        <v>79</v>
      </c>
      <c r="BM917">
        <v>0</v>
      </c>
      <c r="BN917">
        <v>2</v>
      </c>
      <c r="BO917">
        <v>2</v>
      </c>
      <c r="BP917" t="s">
        <v>80</v>
      </c>
      <c r="BR917">
        <v>0</v>
      </c>
      <c r="BS917">
        <v>6</v>
      </c>
      <c r="BU917">
        <v>499274</v>
      </c>
    </row>
    <row r="918" spans="1:73" x14ac:dyDescent="0.3">
      <c r="A918" t="s">
        <v>4779</v>
      </c>
      <c r="B918">
        <v>0</v>
      </c>
      <c r="C918">
        <v>0</v>
      </c>
      <c r="D918">
        <v>2</v>
      </c>
      <c r="E918">
        <v>1101218</v>
      </c>
      <c r="F918">
        <v>0</v>
      </c>
      <c r="G918">
        <v>0</v>
      </c>
      <c r="H918">
        <v>2</v>
      </c>
      <c r="I918">
        <v>42436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119217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11526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10</v>
      </c>
      <c r="BC918" s="1">
        <v>2463922</v>
      </c>
      <c r="BD918" t="s">
        <v>74</v>
      </c>
      <c r="BE918" t="s">
        <v>4780</v>
      </c>
      <c r="BF918" t="s">
        <v>3539</v>
      </c>
      <c r="BH918" t="s">
        <v>77</v>
      </c>
      <c r="BI918" t="s">
        <v>593</v>
      </c>
      <c r="BJ918" t="s">
        <v>79</v>
      </c>
      <c r="BM918">
        <v>2</v>
      </c>
      <c r="BN918">
        <v>2</v>
      </c>
      <c r="BO918">
        <v>4</v>
      </c>
      <c r="BP918" t="s">
        <v>80</v>
      </c>
      <c r="BR918">
        <v>0</v>
      </c>
      <c r="BS918">
        <v>6</v>
      </c>
      <c r="BU918">
        <v>1274397</v>
      </c>
    </row>
    <row r="919" spans="1:73" x14ac:dyDescent="0.3">
      <c r="A919" t="s">
        <v>4781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73535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 s="1">
        <v>73535</v>
      </c>
      <c r="BD919" t="s">
        <v>74</v>
      </c>
      <c r="BE919" t="s">
        <v>4782</v>
      </c>
      <c r="BF919" t="s">
        <v>4783</v>
      </c>
      <c r="BH919" t="s">
        <v>77</v>
      </c>
      <c r="BI919" t="s">
        <v>574</v>
      </c>
      <c r="BJ919" t="s">
        <v>79</v>
      </c>
      <c r="BM919">
        <v>1</v>
      </c>
      <c r="BN919">
        <v>0</v>
      </c>
      <c r="BO919">
        <v>1</v>
      </c>
      <c r="BP919" t="s">
        <v>80</v>
      </c>
      <c r="BR919">
        <v>0</v>
      </c>
      <c r="BS919">
        <v>0</v>
      </c>
      <c r="BU919">
        <v>73535</v>
      </c>
    </row>
    <row r="920" spans="1:73" x14ac:dyDescent="0.3">
      <c r="A920" t="s">
        <v>4804</v>
      </c>
      <c r="B920">
        <v>0</v>
      </c>
      <c r="C920">
        <v>0</v>
      </c>
      <c r="D920">
        <v>31</v>
      </c>
      <c r="E920">
        <v>5809110</v>
      </c>
      <c r="F920">
        <v>0</v>
      </c>
      <c r="G920">
        <v>0</v>
      </c>
      <c r="H920">
        <v>60</v>
      </c>
      <c r="I920">
        <v>818220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62</v>
      </c>
      <c r="BC920" s="1">
        <v>11618220</v>
      </c>
      <c r="BD920" t="s">
        <v>74</v>
      </c>
      <c r="BE920" t="s">
        <v>4805</v>
      </c>
      <c r="BF920" t="s">
        <v>4806</v>
      </c>
      <c r="BH920" t="s">
        <v>77</v>
      </c>
      <c r="BI920" t="s">
        <v>129</v>
      </c>
      <c r="BJ920" t="s">
        <v>79</v>
      </c>
      <c r="BM920">
        <v>0</v>
      </c>
      <c r="BN920">
        <v>2</v>
      </c>
      <c r="BO920">
        <v>2</v>
      </c>
      <c r="BP920" t="s">
        <v>80</v>
      </c>
      <c r="BR920">
        <v>0</v>
      </c>
      <c r="BS920">
        <v>5</v>
      </c>
      <c r="BU920">
        <v>6627330</v>
      </c>
    </row>
    <row r="921" spans="1:73" x14ac:dyDescent="0.3">
      <c r="A921" t="s">
        <v>4807</v>
      </c>
      <c r="B921">
        <v>0</v>
      </c>
      <c r="C921">
        <v>0</v>
      </c>
      <c r="D921">
        <v>1</v>
      </c>
      <c r="E921">
        <v>428571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2</v>
      </c>
      <c r="BC921" s="1">
        <v>857142</v>
      </c>
      <c r="BD921" t="s">
        <v>74</v>
      </c>
      <c r="BE921" t="s">
        <v>4808</v>
      </c>
      <c r="BF921" t="s">
        <v>4809</v>
      </c>
      <c r="BH921" t="s">
        <v>77</v>
      </c>
      <c r="BI921" t="s">
        <v>593</v>
      </c>
      <c r="BJ921" t="s">
        <v>79</v>
      </c>
      <c r="BM921">
        <v>0</v>
      </c>
      <c r="BN921">
        <v>1</v>
      </c>
      <c r="BO921">
        <v>1</v>
      </c>
      <c r="BP921" t="s">
        <v>80</v>
      </c>
      <c r="BR921">
        <v>0</v>
      </c>
      <c r="BS921">
        <v>6</v>
      </c>
      <c r="BU921">
        <v>428571</v>
      </c>
    </row>
    <row r="922" spans="1:73" x14ac:dyDescent="0.3">
      <c r="A922" t="s">
        <v>4819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78585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19792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</v>
      </c>
      <c r="BC922" s="1">
        <v>98377</v>
      </c>
      <c r="BD922" t="s">
        <v>74</v>
      </c>
      <c r="BE922" t="s">
        <v>4820</v>
      </c>
      <c r="BF922" t="s">
        <v>4821</v>
      </c>
      <c r="BH922" t="s">
        <v>77</v>
      </c>
      <c r="BI922" t="s">
        <v>92</v>
      </c>
      <c r="BJ922" t="s">
        <v>79</v>
      </c>
      <c r="BM922">
        <v>2</v>
      </c>
      <c r="BN922">
        <v>0</v>
      </c>
      <c r="BO922">
        <v>2</v>
      </c>
      <c r="BP922" t="s">
        <v>80</v>
      </c>
      <c r="BR922">
        <v>0</v>
      </c>
      <c r="BS922">
        <v>0</v>
      </c>
      <c r="BU922">
        <v>98377</v>
      </c>
    </row>
    <row r="923" spans="1:73" x14ac:dyDescent="0.3">
      <c r="A923" t="s">
        <v>4822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57208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</v>
      </c>
      <c r="BC923" s="1">
        <v>57208</v>
      </c>
      <c r="BD923" t="s">
        <v>74</v>
      </c>
      <c r="BE923" t="s">
        <v>4823</v>
      </c>
      <c r="BF923" t="s">
        <v>4824</v>
      </c>
      <c r="BH923" t="s">
        <v>77</v>
      </c>
      <c r="BI923" t="s">
        <v>228</v>
      </c>
      <c r="BJ923" t="s">
        <v>79</v>
      </c>
      <c r="BM923">
        <v>1</v>
      </c>
      <c r="BN923">
        <v>0</v>
      </c>
      <c r="BO923">
        <v>1</v>
      </c>
      <c r="BP923" t="s">
        <v>80</v>
      </c>
      <c r="BR923">
        <v>0</v>
      </c>
      <c r="BS923">
        <v>0</v>
      </c>
      <c r="BU923">
        <v>57208</v>
      </c>
    </row>
    <row r="924" spans="1:73" x14ac:dyDescent="0.3">
      <c r="A924" t="s">
        <v>4834</v>
      </c>
      <c r="B924">
        <v>0</v>
      </c>
      <c r="C924">
        <v>0</v>
      </c>
      <c r="D924">
        <v>4</v>
      </c>
      <c r="E924">
        <v>488571</v>
      </c>
      <c r="F924">
        <v>0</v>
      </c>
      <c r="G924">
        <v>0</v>
      </c>
      <c r="H924">
        <v>6</v>
      </c>
      <c r="I924">
        <v>120000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8</v>
      </c>
      <c r="BC924" s="1">
        <v>977142</v>
      </c>
      <c r="BD924" t="s">
        <v>74</v>
      </c>
      <c r="BE924" t="s">
        <v>4835</v>
      </c>
      <c r="BF924" t="s">
        <v>4836</v>
      </c>
      <c r="BH924" t="s">
        <v>136</v>
      </c>
      <c r="BI924" t="s">
        <v>191</v>
      </c>
      <c r="BJ924" t="s">
        <v>125</v>
      </c>
      <c r="BM924">
        <v>0</v>
      </c>
      <c r="BN924">
        <v>2</v>
      </c>
      <c r="BO924">
        <v>2</v>
      </c>
      <c r="BP924" t="s">
        <v>80</v>
      </c>
      <c r="BR924">
        <v>0</v>
      </c>
      <c r="BS924">
        <v>6</v>
      </c>
      <c r="BU924">
        <v>608571</v>
      </c>
    </row>
    <row r="925" spans="1:73" x14ac:dyDescent="0.3">
      <c r="A925" t="s">
        <v>4837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78585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</v>
      </c>
      <c r="BC925" s="1">
        <v>78585</v>
      </c>
      <c r="BD925" t="s">
        <v>74</v>
      </c>
      <c r="BE925" t="s">
        <v>4838</v>
      </c>
      <c r="BF925" t="s">
        <v>4839</v>
      </c>
      <c r="BH925" t="s">
        <v>77</v>
      </c>
      <c r="BI925" t="s">
        <v>228</v>
      </c>
      <c r="BJ925" t="s">
        <v>79</v>
      </c>
      <c r="BM925">
        <v>1</v>
      </c>
      <c r="BN925">
        <v>0</v>
      </c>
      <c r="BO925">
        <v>1</v>
      </c>
      <c r="BP925" t="s">
        <v>80</v>
      </c>
      <c r="BR925">
        <v>0</v>
      </c>
      <c r="BS925">
        <v>0</v>
      </c>
      <c r="BU925">
        <v>78585</v>
      </c>
    </row>
    <row r="926" spans="1:73" x14ac:dyDescent="0.3">
      <c r="A926" t="s">
        <v>4843</v>
      </c>
      <c r="B926">
        <v>0</v>
      </c>
      <c r="C926">
        <v>0</v>
      </c>
      <c r="D926">
        <v>12</v>
      </c>
      <c r="E926">
        <v>2484194</v>
      </c>
      <c r="F926">
        <v>0</v>
      </c>
      <c r="G926">
        <v>0</v>
      </c>
      <c r="H926">
        <v>22</v>
      </c>
      <c r="I926">
        <v>468388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73535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26</v>
      </c>
      <c r="BC926" s="1">
        <v>5115458</v>
      </c>
      <c r="BD926" t="s">
        <v>74</v>
      </c>
      <c r="BE926" t="s">
        <v>4844</v>
      </c>
      <c r="BF926" t="s">
        <v>4845</v>
      </c>
      <c r="BH926" t="s">
        <v>77</v>
      </c>
      <c r="BI926" t="s">
        <v>92</v>
      </c>
      <c r="BJ926" t="s">
        <v>79</v>
      </c>
      <c r="BM926">
        <v>1</v>
      </c>
      <c r="BN926">
        <v>2</v>
      </c>
      <c r="BO926">
        <v>3</v>
      </c>
      <c r="BP926" t="s">
        <v>80</v>
      </c>
      <c r="BR926">
        <v>0</v>
      </c>
      <c r="BS926">
        <v>6</v>
      </c>
      <c r="BU926">
        <v>3026117</v>
      </c>
    </row>
    <row r="927" spans="1:73" x14ac:dyDescent="0.3">
      <c r="A927" t="s">
        <v>4846</v>
      </c>
      <c r="B927">
        <v>0</v>
      </c>
      <c r="C927">
        <v>0</v>
      </c>
      <c r="D927">
        <v>1</v>
      </c>
      <c r="E927">
        <v>1000000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2</v>
      </c>
      <c r="BC927" s="1">
        <v>2000000</v>
      </c>
      <c r="BD927" t="s">
        <v>74</v>
      </c>
      <c r="BE927" t="s">
        <v>4847</v>
      </c>
      <c r="BF927" t="s">
        <v>4848</v>
      </c>
      <c r="BH927" t="s">
        <v>77</v>
      </c>
      <c r="BI927" t="s">
        <v>593</v>
      </c>
      <c r="BJ927" t="s">
        <v>79</v>
      </c>
      <c r="BM927">
        <v>0</v>
      </c>
      <c r="BN927">
        <v>1</v>
      </c>
      <c r="BO927">
        <v>1</v>
      </c>
      <c r="BP927" t="s">
        <v>80</v>
      </c>
      <c r="BR927">
        <v>0</v>
      </c>
      <c r="BS927">
        <v>6</v>
      </c>
      <c r="BU927">
        <v>1000000</v>
      </c>
    </row>
    <row r="928" spans="1:73" x14ac:dyDescent="0.3">
      <c r="A928" t="s">
        <v>4852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58334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2</v>
      </c>
      <c r="BC928" s="1">
        <v>116668</v>
      </c>
      <c r="BD928" t="s">
        <v>74</v>
      </c>
      <c r="BE928" t="s">
        <v>4853</v>
      </c>
      <c r="BF928" t="s">
        <v>4854</v>
      </c>
      <c r="BH928" t="s">
        <v>77</v>
      </c>
      <c r="BI928" t="s">
        <v>92</v>
      </c>
      <c r="BJ928" t="s">
        <v>79</v>
      </c>
      <c r="BM928">
        <v>1</v>
      </c>
      <c r="BN928">
        <v>0</v>
      </c>
      <c r="BO928">
        <v>1</v>
      </c>
      <c r="BP928" t="s">
        <v>514</v>
      </c>
      <c r="BR928">
        <v>0</v>
      </c>
      <c r="BS928">
        <v>0</v>
      </c>
      <c r="BU928">
        <v>58334</v>
      </c>
    </row>
    <row r="929" spans="1:73" x14ac:dyDescent="0.3">
      <c r="A929" t="s">
        <v>4858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73535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2</v>
      </c>
      <c r="BC929" s="1">
        <v>147070</v>
      </c>
      <c r="BD929" t="s">
        <v>74</v>
      </c>
      <c r="BE929" t="s">
        <v>4859</v>
      </c>
      <c r="BF929" t="s">
        <v>4860</v>
      </c>
      <c r="BH929" t="s">
        <v>77</v>
      </c>
      <c r="BI929" t="s">
        <v>204</v>
      </c>
      <c r="BJ929" t="s">
        <v>79</v>
      </c>
      <c r="BM929">
        <v>1</v>
      </c>
      <c r="BN929">
        <v>0</v>
      </c>
      <c r="BO929">
        <v>1</v>
      </c>
      <c r="BP929" t="s">
        <v>80</v>
      </c>
      <c r="BR929">
        <v>0</v>
      </c>
      <c r="BS929">
        <v>6</v>
      </c>
      <c r="BU929">
        <v>73535</v>
      </c>
    </row>
    <row r="930" spans="1:73" x14ac:dyDescent="0.3">
      <c r="A930" t="s">
        <v>4861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19792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</v>
      </c>
      <c r="BC930" s="1">
        <v>19792</v>
      </c>
      <c r="BD930" t="s">
        <v>74</v>
      </c>
      <c r="BE930" t="s">
        <v>4862</v>
      </c>
      <c r="BF930" t="s">
        <v>4863</v>
      </c>
      <c r="BH930" t="s">
        <v>77</v>
      </c>
      <c r="BI930" t="s">
        <v>228</v>
      </c>
      <c r="BJ930" t="s">
        <v>79</v>
      </c>
      <c r="BM930">
        <v>1</v>
      </c>
      <c r="BN930">
        <v>0</v>
      </c>
      <c r="BO930">
        <v>1</v>
      </c>
      <c r="BP930" t="s">
        <v>80</v>
      </c>
      <c r="BR930">
        <v>0</v>
      </c>
      <c r="BS930">
        <v>0</v>
      </c>
      <c r="BU930">
        <v>19792</v>
      </c>
    </row>
    <row r="931" spans="1:73" x14ac:dyDescent="0.3">
      <c r="A931" t="s">
        <v>4867</v>
      </c>
      <c r="B931">
        <v>0</v>
      </c>
      <c r="C931">
        <v>0</v>
      </c>
      <c r="D931">
        <v>2</v>
      </c>
      <c r="E931">
        <v>290000</v>
      </c>
      <c r="F931">
        <v>0</v>
      </c>
      <c r="G931">
        <v>0</v>
      </c>
      <c r="H931">
        <v>2</v>
      </c>
      <c r="I931">
        <v>40000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4</v>
      </c>
      <c r="BC931" s="1">
        <v>580000</v>
      </c>
      <c r="BD931" t="s">
        <v>74</v>
      </c>
      <c r="BE931" t="s">
        <v>4868</v>
      </c>
      <c r="BF931" t="s">
        <v>4869</v>
      </c>
      <c r="BH931" t="s">
        <v>77</v>
      </c>
      <c r="BI931" t="s">
        <v>78</v>
      </c>
      <c r="BJ931" t="s">
        <v>79</v>
      </c>
      <c r="BM931">
        <v>0</v>
      </c>
      <c r="BN931">
        <v>2</v>
      </c>
      <c r="BO931">
        <v>2</v>
      </c>
      <c r="BP931" t="s">
        <v>80</v>
      </c>
      <c r="BR931">
        <v>0</v>
      </c>
      <c r="BS931">
        <v>6</v>
      </c>
      <c r="BU931">
        <v>330000</v>
      </c>
    </row>
    <row r="932" spans="1:73" x14ac:dyDescent="0.3">
      <c r="A932" t="s">
        <v>4870</v>
      </c>
      <c r="B932">
        <v>0</v>
      </c>
      <c r="C932">
        <v>0</v>
      </c>
      <c r="D932">
        <v>1</v>
      </c>
      <c r="E932">
        <v>261818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19792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5</v>
      </c>
      <c r="BC932" s="1">
        <v>708935</v>
      </c>
      <c r="BD932" t="s">
        <v>74</v>
      </c>
      <c r="BE932" t="s">
        <v>4871</v>
      </c>
      <c r="BF932" t="s">
        <v>4872</v>
      </c>
      <c r="BH932" t="s">
        <v>77</v>
      </c>
      <c r="BI932" t="s">
        <v>574</v>
      </c>
      <c r="BJ932" t="s">
        <v>79</v>
      </c>
      <c r="BM932">
        <v>1</v>
      </c>
      <c r="BN932">
        <v>1</v>
      </c>
      <c r="BO932">
        <v>2</v>
      </c>
      <c r="BP932" t="s">
        <v>80</v>
      </c>
      <c r="BR932">
        <v>0</v>
      </c>
      <c r="BS932">
        <v>6</v>
      </c>
      <c r="BU932">
        <v>281610</v>
      </c>
    </row>
    <row r="933" spans="1:73" x14ac:dyDescent="0.3">
      <c r="A933" t="s">
        <v>4873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73535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19792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4</v>
      </c>
      <c r="BC933" s="1">
        <v>186654</v>
      </c>
      <c r="BD933" t="s">
        <v>74</v>
      </c>
      <c r="BE933" t="s">
        <v>4874</v>
      </c>
      <c r="BF933" t="s">
        <v>4875</v>
      </c>
      <c r="BH933" t="s">
        <v>77</v>
      </c>
      <c r="BI933" t="s">
        <v>574</v>
      </c>
      <c r="BJ933" t="s">
        <v>79</v>
      </c>
      <c r="BM933">
        <v>2</v>
      </c>
      <c r="BN933">
        <v>0</v>
      </c>
      <c r="BO933">
        <v>2</v>
      </c>
      <c r="BP933" t="s">
        <v>80</v>
      </c>
      <c r="BR933">
        <v>0</v>
      </c>
      <c r="BS933">
        <v>6</v>
      </c>
      <c r="BU933">
        <v>93327</v>
      </c>
    </row>
    <row r="934" spans="1:73" x14ac:dyDescent="0.3">
      <c r="A934" t="s">
        <v>4882</v>
      </c>
      <c r="B934">
        <v>0</v>
      </c>
      <c r="C934">
        <v>0</v>
      </c>
      <c r="D934">
        <v>1</v>
      </c>
      <c r="E934">
        <v>459740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 s="1">
        <v>459740</v>
      </c>
      <c r="BD934" t="s">
        <v>74</v>
      </c>
      <c r="BE934" t="s">
        <v>4883</v>
      </c>
      <c r="BF934" t="s">
        <v>4884</v>
      </c>
      <c r="BH934" t="s">
        <v>77</v>
      </c>
      <c r="BI934" t="s">
        <v>593</v>
      </c>
      <c r="BJ934" t="s">
        <v>79</v>
      </c>
      <c r="BM934">
        <v>0</v>
      </c>
      <c r="BN934">
        <v>1</v>
      </c>
      <c r="BO934">
        <v>1</v>
      </c>
      <c r="BP934" t="s">
        <v>80</v>
      </c>
      <c r="BR934">
        <v>0</v>
      </c>
      <c r="BS934">
        <v>6</v>
      </c>
      <c r="BU934">
        <v>459740</v>
      </c>
    </row>
    <row r="935" spans="1:73" x14ac:dyDescent="0.3">
      <c r="A935" t="s">
        <v>4888</v>
      </c>
      <c r="B935">
        <v>6</v>
      </c>
      <c r="C935">
        <v>487158</v>
      </c>
      <c r="D935">
        <v>3</v>
      </c>
      <c r="E935">
        <v>3753246</v>
      </c>
      <c r="F935">
        <v>0</v>
      </c>
      <c r="G935">
        <v>0</v>
      </c>
      <c r="H935">
        <v>6</v>
      </c>
      <c r="I935">
        <v>10632586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18</v>
      </c>
      <c r="BC935" s="1">
        <v>18626236</v>
      </c>
      <c r="BD935" t="s">
        <v>74</v>
      </c>
      <c r="BE935" t="s">
        <v>4889</v>
      </c>
      <c r="BF935" t="s">
        <v>4890</v>
      </c>
      <c r="BH935" t="s">
        <v>77</v>
      </c>
      <c r="BI935" t="s">
        <v>593</v>
      </c>
      <c r="BJ935" t="s">
        <v>79</v>
      </c>
      <c r="BM935">
        <v>0</v>
      </c>
      <c r="BN935">
        <v>3</v>
      </c>
      <c r="BO935">
        <v>3</v>
      </c>
      <c r="BP935" t="s">
        <v>80</v>
      </c>
      <c r="BR935">
        <v>0</v>
      </c>
      <c r="BS935">
        <v>5</v>
      </c>
      <c r="BU935">
        <v>14872990</v>
      </c>
    </row>
    <row r="936" spans="1:73" x14ac:dyDescent="0.3">
      <c r="A936" t="s">
        <v>4900</v>
      </c>
      <c r="B936">
        <v>0</v>
      </c>
      <c r="C936">
        <v>0</v>
      </c>
      <c r="D936">
        <v>1</v>
      </c>
      <c r="E936">
        <v>200000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2</v>
      </c>
      <c r="BC936" s="1">
        <v>400000</v>
      </c>
      <c r="BD936" t="s">
        <v>74</v>
      </c>
      <c r="BE936" t="s">
        <v>4901</v>
      </c>
      <c r="BF936" t="s">
        <v>4902</v>
      </c>
      <c r="BH936" t="s">
        <v>175</v>
      </c>
      <c r="BI936" t="s">
        <v>857</v>
      </c>
      <c r="BJ936" t="s">
        <v>125</v>
      </c>
      <c r="BM936">
        <v>0</v>
      </c>
      <c r="BN936">
        <v>1</v>
      </c>
      <c r="BO936">
        <v>1</v>
      </c>
      <c r="BP936" t="s">
        <v>80</v>
      </c>
      <c r="BR936">
        <v>0</v>
      </c>
      <c r="BS936">
        <v>6</v>
      </c>
      <c r="BU936">
        <v>200000</v>
      </c>
    </row>
    <row r="937" spans="1:73" x14ac:dyDescent="0.3">
      <c r="A937" t="s">
        <v>4903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73535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19792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3</v>
      </c>
      <c r="BC937" s="1">
        <v>166862</v>
      </c>
      <c r="BD937" t="s">
        <v>74</v>
      </c>
      <c r="BE937" t="s">
        <v>4904</v>
      </c>
      <c r="BF937" t="s">
        <v>4905</v>
      </c>
      <c r="BH937" t="s">
        <v>77</v>
      </c>
      <c r="BI937" t="s">
        <v>593</v>
      </c>
      <c r="BJ937" t="s">
        <v>79</v>
      </c>
      <c r="BM937">
        <v>2</v>
      </c>
      <c r="BN937">
        <v>0</v>
      </c>
      <c r="BO937">
        <v>2</v>
      </c>
      <c r="BP937" t="s">
        <v>80</v>
      </c>
      <c r="BR937">
        <v>0</v>
      </c>
      <c r="BS937">
        <v>0</v>
      </c>
      <c r="BU937">
        <v>93327</v>
      </c>
    </row>
    <row r="938" spans="1:73" x14ac:dyDescent="0.3">
      <c r="A938" t="s">
        <v>4906</v>
      </c>
      <c r="B938">
        <v>0</v>
      </c>
      <c r="C938">
        <v>0</v>
      </c>
      <c r="D938">
        <v>7</v>
      </c>
      <c r="E938">
        <v>2588799</v>
      </c>
      <c r="F938">
        <v>0</v>
      </c>
      <c r="G938">
        <v>0</v>
      </c>
      <c r="H938">
        <v>11</v>
      </c>
      <c r="I938">
        <v>220564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16</v>
      </c>
      <c r="BC938" s="1">
        <v>5581469</v>
      </c>
      <c r="BD938" t="s">
        <v>74</v>
      </c>
      <c r="BE938" t="s">
        <v>4907</v>
      </c>
      <c r="BF938" t="s">
        <v>1242</v>
      </c>
      <c r="BH938" t="s">
        <v>77</v>
      </c>
      <c r="BI938" t="s">
        <v>88</v>
      </c>
      <c r="BJ938" t="s">
        <v>79</v>
      </c>
      <c r="BM938">
        <v>0</v>
      </c>
      <c r="BN938">
        <v>2</v>
      </c>
      <c r="BO938">
        <v>2</v>
      </c>
      <c r="BP938" t="s">
        <v>80</v>
      </c>
      <c r="BR938">
        <v>0</v>
      </c>
      <c r="BS938">
        <v>6</v>
      </c>
      <c r="BU938">
        <v>2809363</v>
      </c>
    </row>
    <row r="939" spans="1:73" x14ac:dyDescent="0.3">
      <c r="A939" t="s">
        <v>4908</v>
      </c>
      <c r="B939">
        <v>0</v>
      </c>
      <c r="C939">
        <v>0</v>
      </c>
      <c r="D939">
        <v>2</v>
      </c>
      <c r="E939">
        <v>500000</v>
      </c>
      <c r="F939">
        <v>0</v>
      </c>
      <c r="G939">
        <v>0</v>
      </c>
      <c r="H939">
        <v>2</v>
      </c>
      <c r="I939">
        <v>40000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4</v>
      </c>
      <c r="BC939" s="1">
        <v>1000000</v>
      </c>
      <c r="BD939" t="s">
        <v>74</v>
      </c>
      <c r="BE939" t="s">
        <v>4909</v>
      </c>
      <c r="BF939" t="s">
        <v>4910</v>
      </c>
      <c r="BH939" t="s">
        <v>77</v>
      </c>
      <c r="BI939" t="s">
        <v>281</v>
      </c>
      <c r="BJ939" t="s">
        <v>79</v>
      </c>
      <c r="BM939">
        <v>0</v>
      </c>
      <c r="BN939">
        <v>2</v>
      </c>
      <c r="BO939">
        <v>2</v>
      </c>
      <c r="BP939" t="s">
        <v>80</v>
      </c>
      <c r="BR939">
        <v>0</v>
      </c>
      <c r="BS939">
        <v>6</v>
      </c>
      <c r="BU939">
        <v>540000</v>
      </c>
    </row>
    <row r="940" spans="1:73" x14ac:dyDescent="0.3">
      <c r="A940" t="s">
        <v>4911</v>
      </c>
      <c r="B940">
        <v>0</v>
      </c>
      <c r="C940">
        <v>0</v>
      </c>
      <c r="D940">
        <v>3</v>
      </c>
      <c r="E940">
        <v>2746270</v>
      </c>
      <c r="F940">
        <v>0</v>
      </c>
      <c r="G940">
        <v>0</v>
      </c>
      <c r="H940">
        <v>4</v>
      </c>
      <c r="I940">
        <v>92540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6</v>
      </c>
      <c r="BC940" s="1">
        <v>5492540</v>
      </c>
      <c r="BD940" t="s">
        <v>74</v>
      </c>
      <c r="BE940" t="s">
        <v>4912</v>
      </c>
      <c r="BF940" t="s">
        <v>4913</v>
      </c>
      <c r="BH940" t="s">
        <v>77</v>
      </c>
      <c r="BI940" t="s">
        <v>593</v>
      </c>
      <c r="BJ940" t="s">
        <v>79</v>
      </c>
      <c r="BM940">
        <v>0</v>
      </c>
      <c r="BN940">
        <v>2</v>
      </c>
      <c r="BO940">
        <v>2</v>
      </c>
      <c r="BP940" t="s">
        <v>80</v>
      </c>
      <c r="BR940">
        <v>0</v>
      </c>
      <c r="BS940">
        <v>6</v>
      </c>
      <c r="BU940">
        <v>2838810</v>
      </c>
    </row>
    <row r="941" spans="1:73" x14ac:dyDescent="0.3">
      <c r="A941" t="s">
        <v>4916</v>
      </c>
      <c r="B941">
        <v>0</v>
      </c>
      <c r="C941">
        <v>0</v>
      </c>
      <c r="D941">
        <v>2</v>
      </c>
      <c r="E941">
        <v>290000</v>
      </c>
      <c r="F941">
        <v>0</v>
      </c>
      <c r="G941">
        <v>0</v>
      </c>
      <c r="H941">
        <v>2</v>
      </c>
      <c r="I941">
        <v>40000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4</v>
      </c>
      <c r="BC941" s="1">
        <v>580000</v>
      </c>
      <c r="BD941" t="s">
        <v>74</v>
      </c>
      <c r="BE941" t="s">
        <v>4917</v>
      </c>
      <c r="BF941" t="s">
        <v>4918</v>
      </c>
      <c r="BH941" t="s">
        <v>77</v>
      </c>
      <c r="BI941" t="s">
        <v>593</v>
      </c>
      <c r="BJ941" t="s">
        <v>79</v>
      </c>
      <c r="BM941">
        <v>0</v>
      </c>
      <c r="BN941">
        <v>2</v>
      </c>
      <c r="BO941">
        <v>2</v>
      </c>
      <c r="BP941" t="s">
        <v>80</v>
      </c>
      <c r="BR941">
        <v>0</v>
      </c>
      <c r="BS941">
        <v>6</v>
      </c>
      <c r="BU941">
        <v>330000</v>
      </c>
    </row>
    <row r="942" spans="1:73" x14ac:dyDescent="0.3">
      <c r="A942" t="s">
        <v>4919</v>
      </c>
      <c r="B942">
        <v>0</v>
      </c>
      <c r="C942">
        <v>0</v>
      </c>
      <c r="D942">
        <v>5</v>
      </c>
      <c r="E942">
        <v>1264450</v>
      </c>
      <c r="F942">
        <v>0</v>
      </c>
      <c r="G942">
        <v>0</v>
      </c>
      <c r="H942">
        <v>8</v>
      </c>
      <c r="I942">
        <v>214614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10</v>
      </c>
      <c r="BC942" s="1">
        <v>2528900</v>
      </c>
      <c r="BD942" t="s">
        <v>74</v>
      </c>
      <c r="BE942" t="s">
        <v>4920</v>
      </c>
      <c r="BF942" t="s">
        <v>4921</v>
      </c>
      <c r="BH942" t="s">
        <v>77</v>
      </c>
      <c r="BI942" t="s">
        <v>129</v>
      </c>
      <c r="BJ942" t="s">
        <v>79</v>
      </c>
      <c r="BM942">
        <v>0</v>
      </c>
      <c r="BN942">
        <v>2</v>
      </c>
      <c r="BO942">
        <v>2</v>
      </c>
      <c r="BP942" t="s">
        <v>80</v>
      </c>
      <c r="BR942">
        <v>0</v>
      </c>
      <c r="BS942">
        <v>6</v>
      </c>
      <c r="BU942">
        <v>1479064</v>
      </c>
    </row>
    <row r="943" spans="1:73" x14ac:dyDescent="0.3">
      <c r="A943" t="s">
        <v>4922</v>
      </c>
      <c r="B943">
        <v>0</v>
      </c>
      <c r="C943">
        <v>0</v>
      </c>
      <c r="D943">
        <v>1</v>
      </c>
      <c r="E943">
        <v>327272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2</v>
      </c>
      <c r="BC943" s="1">
        <v>654544</v>
      </c>
      <c r="BD943" t="s">
        <v>74</v>
      </c>
      <c r="BE943" t="s">
        <v>4923</v>
      </c>
      <c r="BF943" t="s">
        <v>4924</v>
      </c>
      <c r="BH943" t="s">
        <v>136</v>
      </c>
      <c r="BI943" t="s">
        <v>191</v>
      </c>
      <c r="BJ943" t="s">
        <v>125</v>
      </c>
      <c r="BM943">
        <v>0</v>
      </c>
      <c r="BN943">
        <v>1</v>
      </c>
      <c r="BO943">
        <v>1</v>
      </c>
      <c r="BP943" t="s">
        <v>80</v>
      </c>
      <c r="BR943">
        <v>0</v>
      </c>
      <c r="BS943">
        <v>6</v>
      </c>
      <c r="BU943">
        <v>327272</v>
      </c>
    </row>
    <row r="944" spans="1:73" x14ac:dyDescent="0.3">
      <c r="A944" t="s">
        <v>4928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96439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2</v>
      </c>
      <c r="BC944" s="1">
        <v>192878</v>
      </c>
      <c r="BD944" t="s">
        <v>74</v>
      </c>
      <c r="BE944" t="s">
        <v>4929</v>
      </c>
      <c r="BF944" t="s">
        <v>4930</v>
      </c>
      <c r="BH944" t="s">
        <v>77</v>
      </c>
      <c r="BI944" t="s">
        <v>228</v>
      </c>
      <c r="BJ944" t="s">
        <v>79</v>
      </c>
      <c r="BM944">
        <v>1</v>
      </c>
      <c r="BN944">
        <v>0</v>
      </c>
      <c r="BO944">
        <v>1</v>
      </c>
      <c r="BP944" t="s">
        <v>80</v>
      </c>
      <c r="BR944">
        <v>0</v>
      </c>
      <c r="BS944">
        <v>6</v>
      </c>
      <c r="BU944">
        <v>96439</v>
      </c>
    </row>
    <row r="945" spans="1:73" x14ac:dyDescent="0.3">
      <c r="A945" t="s">
        <v>4934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73535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7916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3</v>
      </c>
      <c r="BC945" s="1">
        <v>154986</v>
      </c>
      <c r="BD945" t="s">
        <v>74</v>
      </c>
      <c r="BE945" t="s">
        <v>4935</v>
      </c>
      <c r="BF945" t="s">
        <v>4936</v>
      </c>
      <c r="BH945" t="s">
        <v>77</v>
      </c>
      <c r="BI945" t="s">
        <v>593</v>
      </c>
      <c r="BJ945" t="s">
        <v>79</v>
      </c>
      <c r="BM945">
        <v>2</v>
      </c>
      <c r="BN945">
        <v>0</v>
      </c>
      <c r="BO945">
        <v>2</v>
      </c>
      <c r="BP945" t="s">
        <v>80</v>
      </c>
      <c r="BR945">
        <v>0</v>
      </c>
      <c r="BS945">
        <v>6</v>
      </c>
      <c r="BU945">
        <v>81451</v>
      </c>
    </row>
    <row r="946" spans="1:73" x14ac:dyDescent="0.3">
      <c r="A946" t="s">
        <v>4943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2</v>
      </c>
      <c r="Z946">
        <v>152120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3</v>
      </c>
      <c r="BC946" s="1">
        <v>225655</v>
      </c>
      <c r="BD946" t="s">
        <v>74</v>
      </c>
      <c r="BE946" t="s">
        <v>4944</v>
      </c>
      <c r="BF946" t="s">
        <v>4945</v>
      </c>
      <c r="BH946" t="s">
        <v>77</v>
      </c>
      <c r="BI946" t="s">
        <v>204</v>
      </c>
      <c r="BJ946" t="s">
        <v>79</v>
      </c>
      <c r="BM946">
        <v>1</v>
      </c>
      <c r="BN946">
        <v>0</v>
      </c>
      <c r="BO946">
        <v>1</v>
      </c>
      <c r="BP946" t="s">
        <v>80</v>
      </c>
      <c r="BR946">
        <v>0</v>
      </c>
      <c r="BS946">
        <v>6</v>
      </c>
      <c r="BU946">
        <v>152120</v>
      </c>
    </row>
    <row r="947" spans="1:73" x14ac:dyDescent="0.3">
      <c r="A947" t="s">
        <v>4949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47916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</v>
      </c>
      <c r="BC947" s="1">
        <v>47916</v>
      </c>
      <c r="BD947" t="s">
        <v>74</v>
      </c>
      <c r="BE947" t="s">
        <v>4950</v>
      </c>
      <c r="BF947" t="s">
        <v>4951</v>
      </c>
      <c r="BH947" t="s">
        <v>77</v>
      </c>
      <c r="BI947" t="s">
        <v>204</v>
      </c>
      <c r="BJ947" t="s">
        <v>79</v>
      </c>
      <c r="BM947">
        <v>1</v>
      </c>
      <c r="BN947">
        <v>0</v>
      </c>
      <c r="BO947">
        <v>1</v>
      </c>
      <c r="BP947" t="s">
        <v>80</v>
      </c>
      <c r="BR947">
        <v>0</v>
      </c>
      <c r="BS947">
        <v>0</v>
      </c>
      <c r="BU947">
        <v>47916</v>
      </c>
    </row>
    <row r="948" spans="1:73" x14ac:dyDescent="0.3">
      <c r="A948" t="s">
        <v>4952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59394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</v>
      </c>
      <c r="BC948" s="1">
        <v>59394</v>
      </c>
      <c r="BD948" t="s">
        <v>74</v>
      </c>
      <c r="BE948" t="s">
        <v>4953</v>
      </c>
      <c r="BF948" t="s">
        <v>4954</v>
      </c>
      <c r="BH948" t="s">
        <v>77</v>
      </c>
      <c r="BI948" t="s">
        <v>92</v>
      </c>
      <c r="BJ948" t="s">
        <v>79</v>
      </c>
      <c r="BM948">
        <v>1</v>
      </c>
      <c r="BN948">
        <v>0</v>
      </c>
      <c r="BO948">
        <v>1</v>
      </c>
      <c r="BP948" t="s">
        <v>80</v>
      </c>
      <c r="BR948">
        <v>0</v>
      </c>
      <c r="BS948">
        <v>0</v>
      </c>
      <c r="BU948">
        <v>59394</v>
      </c>
    </row>
    <row r="949" spans="1:73" x14ac:dyDescent="0.3">
      <c r="A949" t="s">
        <v>4963</v>
      </c>
      <c r="B949">
        <v>0</v>
      </c>
      <c r="C949">
        <v>0</v>
      </c>
      <c r="D949">
        <v>2</v>
      </c>
      <c r="E949">
        <v>860000</v>
      </c>
      <c r="F949">
        <v>0</v>
      </c>
      <c r="G949">
        <v>0</v>
      </c>
      <c r="H949">
        <v>1</v>
      </c>
      <c r="I949">
        <v>20000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3</v>
      </c>
      <c r="BC949" s="1">
        <v>880000</v>
      </c>
      <c r="BD949" t="s">
        <v>74</v>
      </c>
      <c r="BE949" t="s">
        <v>4964</v>
      </c>
      <c r="BF949" t="s">
        <v>822</v>
      </c>
      <c r="BH949" t="s">
        <v>77</v>
      </c>
      <c r="BI949" t="s">
        <v>129</v>
      </c>
      <c r="BJ949" t="s">
        <v>79</v>
      </c>
      <c r="BM949">
        <v>0</v>
      </c>
      <c r="BN949">
        <v>2</v>
      </c>
      <c r="BO949">
        <v>2</v>
      </c>
      <c r="BP949" t="s">
        <v>80</v>
      </c>
      <c r="BR949">
        <v>0</v>
      </c>
      <c r="BS949">
        <v>6</v>
      </c>
      <c r="BU949">
        <v>880000</v>
      </c>
    </row>
    <row r="950" spans="1:73" x14ac:dyDescent="0.3">
      <c r="A950" t="s">
        <v>4983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19792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 s="1">
        <v>19792</v>
      </c>
      <c r="BD950" t="s">
        <v>74</v>
      </c>
      <c r="BE950" t="s">
        <v>4984</v>
      </c>
      <c r="BF950" t="s">
        <v>4985</v>
      </c>
      <c r="BH950" t="s">
        <v>77</v>
      </c>
      <c r="BI950" t="s">
        <v>84</v>
      </c>
      <c r="BJ950" t="s">
        <v>79</v>
      </c>
      <c r="BM950">
        <v>1</v>
      </c>
      <c r="BN950">
        <v>0</v>
      </c>
      <c r="BO950">
        <v>1</v>
      </c>
      <c r="BP950" t="s">
        <v>80</v>
      </c>
      <c r="BR950">
        <v>0</v>
      </c>
      <c r="BS950">
        <v>0</v>
      </c>
      <c r="BU950">
        <v>19792</v>
      </c>
    </row>
    <row r="951" spans="1:73" x14ac:dyDescent="0.3">
      <c r="A951" t="s">
        <v>4989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24243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 s="1">
        <v>97778</v>
      </c>
      <c r="BD951" t="s">
        <v>74</v>
      </c>
      <c r="BE951" t="s">
        <v>4990</v>
      </c>
      <c r="BF951" t="s">
        <v>4991</v>
      </c>
      <c r="BH951" t="s">
        <v>77</v>
      </c>
      <c r="BI951" t="s">
        <v>204</v>
      </c>
      <c r="BJ951" t="s">
        <v>79</v>
      </c>
      <c r="BM951">
        <v>1</v>
      </c>
      <c r="BN951">
        <v>0</v>
      </c>
      <c r="BO951">
        <v>1</v>
      </c>
      <c r="BP951" t="s">
        <v>80</v>
      </c>
      <c r="BR951">
        <v>0</v>
      </c>
      <c r="BS951">
        <v>6</v>
      </c>
      <c r="BU951">
        <v>24243</v>
      </c>
    </row>
    <row r="952" spans="1:73" x14ac:dyDescent="0.3">
      <c r="A952" t="s">
        <v>4992</v>
      </c>
      <c r="B952">
        <v>1</v>
      </c>
      <c r="C952">
        <v>318227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 s="1">
        <v>318227</v>
      </c>
      <c r="BD952" t="s">
        <v>74</v>
      </c>
      <c r="BE952" t="s">
        <v>4993</v>
      </c>
      <c r="BF952" t="s">
        <v>4994</v>
      </c>
      <c r="BM952">
        <v>0</v>
      </c>
      <c r="BN952">
        <v>1</v>
      </c>
      <c r="BO952">
        <v>1</v>
      </c>
      <c r="BP952" t="s">
        <v>80</v>
      </c>
      <c r="BR952">
        <v>0</v>
      </c>
      <c r="BS952">
        <v>6</v>
      </c>
      <c r="BU952">
        <v>318227</v>
      </c>
    </row>
    <row r="953" spans="1:73" x14ac:dyDescent="0.3">
      <c r="A953" t="s">
        <v>5003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78585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</v>
      </c>
      <c r="BC953" s="1">
        <v>78585</v>
      </c>
      <c r="BD953" t="s">
        <v>74</v>
      </c>
      <c r="BE953" t="s">
        <v>5004</v>
      </c>
      <c r="BF953" t="s">
        <v>5005</v>
      </c>
      <c r="BH953" t="s">
        <v>77</v>
      </c>
      <c r="BI953" t="s">
        <v>720</v>
      </c>
      <c r="BJ953" t="s">
        <v>79</v>
      </c>
      <c r="BM953">
        <v>1</v>
      </c>
      <c r="BN953">
        <v>0</v>
      </c>
      <c r="BO953">
        <v>1</v>
      </c>
      <c r="BP953" t="s">
        <v>80</v>
      </c>
      <c r="BR953">
        <v>0</v>
      </c>
      <c r="BS953">
        <v>0</v>
      </c>
      <c r="BU953">
        <v>78585</v>
      </c>
    </row>
    <row r="954" spans="1:73" x14ac:dyDescent="0.3">
      <c r="A954" t="s">
        <v>5006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78585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 s="1">
        <v>78585</v>
      </c>
      <c r="BD954" t="s">
        <v>74</v>
      </c>
      <c r="BE954" t="s">
        <v>5007</v>
      </c>
      <c r="BF954" t="s">
        <v>5008</v>
      </c>
      <c r="BH954" t="s">
        <v>77</v>
      </c>
      <c r="BI954" t="s">
        <v>281</v>
      </c>
      <c r="BJ954" t="s">
        <v>79</v>
      </c>
      <c r="BM954">
        <v>1</v>
      </c>
      <c r="BN954">
        <v>0</v>
      </c>
      <c r="BO954">
        <v>1</v>
      </c>
      <c r="BP954" t="s">
        <v>80</v>
      </c>
      <c r="BR954">
        <v>0</v>
      </c>
      <c r="BS954">
        <v>0</v>
      </c>
      <c r="BU954">
        <v>78585</v>
      </c>
    </row>
    <row r="955" spans="1:73" x14ac:dyDescent="0.3">
      <c r="A955" t="s">
        <v>5009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78585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</v>
      </c>
      <c r="BC955" s="1">
        <v>78585</v>
      </c>
      <c r="BD955" t="s">
        <v>74</v>
      </c>
      <c r="BE955" t="s">
        <v>5010</v>
      </c>
      <c r="BF955" t="s">
        <v>5011</v>
      </c>
      <c r="BH955" t="s">
        <v>77</v>
      </c>
      <c r="BI955" t="s">
        <v>92</v>
      </c>
      <c r="BJ955" t="s">
        <v>79</v>
      </c>
      <c r="BM955">
        <v>1</v>
      </c>
      <c r="BN955">
        <v>0</v>
      </c>
      <c r="BO955">
        <v>1</v>
      </c>
      <c r="BP955" t="s">
        <v>80</v>
      </c>
      <c r="BR955">
        <v>0</v>
      </c>
      <c r="BS955">
        <v>0</v>
      </c>
      <c r="BU955">
        <v>78585</v>
      </c>
    </row>
    <row r="956" spans="1:73" x14ac:dyDescent="0.3">
      <c r="A956" t="s">
        <v>5012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78585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</v>
      </c>
      <c r="BC956" s="1">
        <v>78585</v>
      </c>
      <c r="BD956" t="s">
        <v>74</v>
      </c>
      <c r="BE956" t="s">
        <v>5013</v>
      </c>
      <c r="BF956" t="s">
        <v>5014</v>
      </c>
      <c r="BH956" t="s">
        <v>77</v>
      </c>
      <c r="BI956" t="s">
        <v>281</v>
      </c>
      <c r="BJ956" t="s">
        <v>79</v>
      </c>
      <c r="BM956">
        <v>1</v>
      </c>
      <c r="BN956">
        <v>0</v>
      </c>
      <c r="BO956">
        <v>1</v>
      </c>
      <c r="BP956" t="s">
        <v>80</v>
      </c>
      <c r="BR956">
        <v>0</v>
      </c>
      <c r="BS956">
        <v>0</v>
      </c>
      <c r="BU956">
        <v>78585</v>
      </c>
    </row>
    <row r="957" spans="1:73" x14ac:dyDescent="0.3">
      <c r="A957" t="s">
        <v>5033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3</v>
      </c>
      <c r="I957">
        <v>63120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3</v>
      </c>
      <c r="BC957" s="1">
        <v>63120</v>
      </c>
      <c r="BD957" t="s">
        <v>74</v>
      </c>
      <c r="BE957" t="s">
        <v>5034</v>
      </c>
      <c r="BF957" t="s">
        <v>5035</v>
      </c>
      <c r="BH957" t="s">
        <v>77</v>
      </c>
      <c r="BI957" t="s">
        <v>204</v>
      </c>
      <c r="BJ957" t="s">
        <v>79</v>
      </c>
      <c r="BM957">
        <v>0</v>
      </c>
      <c r="BN957">
        <v>1</v>
      </c>
      <c r="BO957">
        <v>1</v>
      </c>
      <c r="BP957" t="s">
        <v>80</v>
      </c>
      <c r="BR957">
        <v>0</v>
      </c>
      <c r="BS957">
        <v>6</v>
      </c>
      <c r="BU957">
        <v>63120</v>
      </c>
    </row>
    <row r="958" spans="1:73" x14ac:dyDescent="0.3">
      <c r="A958" t="s">
        <v>5036</v>
      </c>
      <c r="B958">
        <v>1</v>
      </c>
      <c r="C958">
        <v>332412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19792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2</v>
      </c>
      <c r="BC958" s="1">
        <v>352204</v>
      </c>
      <c r="BD958" t="s">
        <v>74</v>
      </c>
      <c r="BE958" t="s">
        <v>5037</v>
      </c>
      <c r="BF958" t="s">
        <v>5038</v>
      </c>
      <c r="BH958" t="s">
        <v>77</v>
      </c>
      <c r="BI958" t="s">
        <v>92</v>
      </c>
      <c r="BJ958" t="s">
        <v>79</v>
      </c>
      <c r="BM958">
        <v>1</v>
      </c>
      <c r="BN958">
        <v>1</v>
      </c>
      <c r="BO958">
        <v>2</v>
      </c>
      <c r="BP958" t="s">
        <v>80</v>
      </c>
      <c r="BR958">
        <v>0</v>
      </c>
      <c r="BS958">
        <v>0</v>
      </c>
      <c r="BU958">
        <v>352204</v>
      </c>
    </row>
    <row r="959" spans="1:73" x14ac:dyDescent="0.3">
      <c r="A959" t="s">
        <v>5039</v>
      </c>
      <c r="B959">
        <v>0</v>
      </c>
      <c r="C959">
        <v>0</v>
      </c>
      <c r="D959">
        <v>1</v>
      </c>
      <c r="E959">
        <v>350000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</v>
      </c>
      <c r="BC959" s="1">
        <v>700000</v>
      </c>
      <c r="BD959" t="s">
        <v>74</v>
      </c>
      <c r="BE959" t="s">
        <v>5040</v>
      </c>
      <c r="BF959" t="s">
        <v>5041</v>
      </c>
      <c r="BH959" t="s">
        <v>77</v>
      </c>
      <c r="BI959" t="s">
        <v>593</v>
      </c>
      <c r="BJ959" t="s">
        <v>79</v>
      </c>
      <c r="BM959">
        <v>0</v>
      </c>
      <c r="BN959">
        <v>1</v>
      </c>
      <c r="BO959">
        <v>1</v>
      </c>
      <c r="BP959" t="s">
        <v>80</v>
      </c>
      <c r="BR959">
        <v>0</v>
      </c>
      <c r="BS959">
        <v>6</v>
      </c>
      <c r="BU959">
        <v>350000</v>
      </c>
    </row>
    <row r="960" spans="1:73" x14ac:dyDescent="0.3">
      <c r="A960" t="s">
        <v>5045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78585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</v>
      </c>
      <c r="BC960" s="1">
        <v>157170</v>
      </c>
      <c r="BD960" t="s">
        <v>74</v>
      </c>
      <c r="BE960" t="s">
        <v>5046</v>
      </c>
      <c r="BF960" t="s">
        <v>5047</v>
      </c>
      <c r="BH960" t="s">
        <v>77</v>
      </c>
      <c r="BI960" t="s">
        <v>204</v>
      </c>
      <c r="BJ960" t="s">
        <v>79</v>
      </c>
      <c r="BM960">
        <v>1</v>
      </c>
      <c r="BN960">
        <v>0</v>
      </c>
      <c r="BO960">
        <v>1</v>
      </c>
      <c r="BP960" t="s">
        <v>80</v>
      </c>
      <c r="BR960">
        <v>0</v>
      </c>
      <c r="BS960">
        <v>6</v>
      </c>
      <c r="BU960">
        <v>78585</v>
      </c>
    </row>
    <row r="961" spans="1:73" x14ac:dyDescent="0.3">
      <c r="A961" t="s">
        <v>5050</v>
      </c>
      <c r="B961">
        <v>1</v>
      </c>
      <c r="C961">
        <v>210273</v>
      </c>
      <c r="D961">
        <v>1</v>
      </c>
      <c r="E961">
        <v>163636</v>
      </c>
      <c r="F961">
        <v>0</v>
      </c>
      <c r="G961">
        <v>0</v>
      </c>
      <c r="H961">
        <v>1</v>
      </c>
      <c r="I961">
        <v>20667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3</v>
      </c>
      <c r="BC961" s="1">
        <v>394576</v>
      </c>
      <c r="BD961" t="s">
        <v>74</v>
      </c>
      <c r="BE961" t="s">
        <v>5051</v>
      </c>
      <c r="BF961" t="s">
        <v>5052</v>
      </c>
      <c r="BH961" t="s">
        <v>77</v>
      </c>
      <c r="BI961" t="s">
        <v>92</v>
      </c>
      <c r="BJ961" t="s">
        <v>79</v>
      </c>
      <c r="BM961">
        <v>0</v>
      </c>
      <c r="BN961">
        <v>3</v>
      </c>
      <c r="BO961">
        <v>3</v>
      </c>
      <c r="BP961" t="s">
        <v>80</v>
      </c>
      <c r="BR961">
        <v>0</v>
      </c>
      <c r="BS961">
        <v>6</v>
      </c>
      <c r="BU961">
        <v>394576</v>
      </c>
    </row>
    <row r="962" spans="1:73" x14ac:dyDescent="0.3">
      <c r="A962" t="s">
        <v>5053</v>
      </c>
      <c r="B962">
        <v>0</v>
      </c>
      <c r="C962">
        <v>0</v>
      </c>
      <c r="D962">
        <v>2</v>
      </c>
      <c r="E962">
        <v>266857</v>
      </c>
      <c r="F962">
        <v>0</v>
      </c>
      <c r="G962">
        <v>0</v>
      </c>
      <c r="H962">
        <v>2</v>
      </c>
      <c r="I962">
        <v>40000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5</v>
      </c>
      <c r="BC962" s="1">
        <v>705142</v>
      </c>
      <c r="BD962" t="s">
        <v>74</v>
      </c>
      <c r="BE962" t="s">
        <v>5054</v>
      </c>
      <c r="BF962" t="s">
        <v>5055</v>
      </c>
      <c r="BH962" t="s">
        <v>136</v>
      </c>
      <c r="BI962" t="s">
        <v>191</v>
      </c>
      <c r="BJ962" t="s">
        <v>125</v>
      </c>
      <c r="BM962">
        <v>0</v>
      </c>
      <c r="BN962">
        <v>2</v>
      </c>
      <c r="BO962">
        <v>2</v>
      </c>
      <c r="BP962" t="s">
        <v>80</v>
      </c>
      <c r="BR962">
        <v>0</v>
      </c>
      <c r="BS962">
        <v>6</v>
      </c>
      <c r="BU962">
        <v>306857</v>
      </c>
    </row>
    <row r="963" spans="1:73" x14ac:dyDescent="0.3">
      <c r="A963" t="s">
        <v>5059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78585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 s="1">
        <v>78585</v>
      </c>
      <c r="BD963" t="s">
        <v>74</v>
      </c>
      <c r="BE963" t="s">
        <v>5060</v>
      </c>
      <c r="BF963" t="s">
        <v>5061</v>
      </c>
      <c r="BH963" t="s">
        <v>77</v>
      </c>
      <c r="BI963" t="s">
        <v>593</v>
      </c>
      <c r="BJ963" t="s">
        <v>79</v>
      </c>
      <c r="BM963">
        <v>1</v>
      </c>
      <c r="BN963">
        <v>0</v>
      </c>
      <c r="BO963">
        <v>1</v>
      </c>
      <c r="BP963" t="s">
        <v>80</v>
      </c>
      <c r="BR963">
        <v>0</v>
      </c>
      <c r="BS963">
        <v>0</v>
      </c>
      <c r="BU963">
        <v>78585</v>
      </c>
    </row>
    <row r="964" spans="1:73" x14ac:dyDescent="0.3">
      <c r="A964" t="s">
        <v>5065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73535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2</v>
      </c>
      <c r="BC964" s="1">
        <v>81451</v>
      </c>
      <c r="BD964" t="s">
        <v>74</v>
      </c>
      <c r="BE964" t="s">
        <v>5066</v>
      </c>
      <c r="BF964" t="s">
        <v>5067</v>
      </c>
      <c r="BH964" t="s">
        <v>77</v>
      </c>
      <c r="BI964" t="s">
        <v>204</v>
      </c>
      <c r="BJ964" t="s">
        <v>79</v>
      </c>
      <c r="BM964">
        <v>1</v>
      </c>
      <c r="BN964">
        <v>0</v>
      </c>
      <c r="BO964">
        <v>1</v>
      </c>
      <c r="BP964" t="s">
        <v>80</v>
      </c>
      <c r="BR964">
        <v>0</v>
      </c>
      <c r="BS964">
        <v>6</v>
      </c>
      <c r="BU964">
        <v>73535</v>
      </c>
    </row>
    <row r="965" spans="1:73" x14ac:dyDescent="0.3">
      <c r="A965" t="s">
        <v>5068</v>
      </c>
      <c r="B965">
        <v>0</v>
      </c>
      <c r="C965">
        <v>0</v>
      </c>
      <c r="D965">
        <v>1</v>
      </c>
      <c r="E965">
        <v>20200</v>
      </c>
      <c r="F965">
        <v>0</v>
      </c>
      <c r="G965">
        <v>0</v>
      </c>
      <c r="H965">
        <v>2</v>
      </c>
      <c r="I965">
        <v>40400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2</v>
      </c>
      <c r="BC965" s="1">
        <v>40400</v>
      </c>
      <c r="BD965" t="s">
        <v>74</v>
      </c>
      <c r="BE965" t="s">
        <v>5069</v>
      </c>
      <c r="BF965" t="s">
        <v>5070</v>
      </c>
      <c r="BH965" t="s">
        <v>77</v>
      </c>
      <c r="BI965" t="s">
        <v>204</v>
      </c>
      <c r="BJ965" t="s">
        <v>79</v>
      </c>
      <c r="BM965">
        <v>0</v>
      </c>
      <c r="BN965">
        <v>2</v>
      </c>
      <c r="BO965">
        <v>2</v>
      </c>
      <c r="BP965" t="s">
        <v>80</v>
      </c>
      <c r="BR965">
        <v>0</v>
      </c>
      <c r="BS965">
        <v>6</v>
      </c>
      <c r="BU965">
        <v>60600</v>
      </c>
    </row>
    <row r="966" spans="1:73" x14ac:dyDescent="0.3">
      <c r="A966" t="s">
        <v>5073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73535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5</v>
      </c>
      <c r="BC966" s="1">
        <v>601912</v>
      </c>
      <c r="BD966" t="s">
        <v>74</v>
      </c>
      <c r="BE966" t="s">
        <v>5074</v>
      </c>
      <c r="BF966" t="s">
        <v>5075</v>
      </c>
      <c r="BH966" t="s">
        <v>77</v>
      </c>
      <c r="BI966" t="s">
        <v>92</v>
      </c>
      <c r="BJ966" t="s">
        <v>79</v>
      </c>
      <c r="BM966">
        <v>1</v>
      </c>
      <c r="BN966">
        <v>0</v>
      </c>
      <c r="BO966">
        <v>1</v>
      </c>
      <c r="BP966" t="s">
        <v>80</v>
      </c>
      <c r="BR966">
        <v>0</v>
      </c>
      <c r="BS966">
        <v>6</v>
      </c>
      <c r="BU966">
        <v>73535</v>
      </c>
    </row>
    <row r="967" spans="1:73" x14ac:dyDescent="0.3">
      <c r="A967" t="s">
        <v>5085</v>
      </c>
      <c r="B967">
        <v>1</v>
      </c>
      <c r="C967">
        <v>417322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 s="1">
        <v>417322</v>
      </c>
      <c r="BD967" t="s">
        <v>74</v>
      </c>
      <c r="BE967" t="s">
        <v>5086</v>
      </c>
      <c r="BF967" t="s">
        <v>5087</v>
      </c>
      <c r="BH967" t="s">
        <v>5088</v>
      </c>
      <c r="BI967" t="s">
        <v>5089</v>
      </c>
      <c r="BJ967" t="s">
        <v>79</v>
      </c>
      <c r="BM967">
        <v>0</v>
      </c>
      <c r="BN967">
        <v>1</v>
      </c>
      <c r="BO967">
        <v>1</v>
      </c>
      <c r="BP967" t="s">
        <v>80</v>
      </c>
      <c r="BR967">
        <v>0</v>
      </c>
      <c r="BS967">
        <v>6</v>
      </c>
      <c r="BU967">
        <v>417322</v>
      </c>
    </row>
    <row r="968" spans="1:73" x14ac:dyDescent="0.3">
      <c r="A968" t="s">
        <v>5096</v>
      </c>
      <c r="B968">
        <v>1</v>
      </c>
      <c r="C968">
        <v>136463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</v>
      </c>
      <c r="BC968" s="1">
        <v>136463</v>
      </c>
      <c r="BD968" t="s">
        <v>74</v>
      </c>
      <c r="BE968" t="s">
        <v>5097</v>
      </c>
      <c r="BF968" t="s">
        <v>5098</v>
      </c>
      <c r="BH968" t="s">
        <v>77</v>
      </c>
      <c r="BI968" t="s">
        <v>593</v>
      </c>
      <c r="BJ968" t="s">
        <v>79</v>
      </c>
      <c r="BM968">
        <v>0</v>
      </c>
      <c r="BN968">
        <v>1</v>
      </c>
      <c r="BO968">
        <v>1</v>
      </c>
      <c r="BP968" t="s">
        <v>80</v>
      </c>
      <c r="BR968">
        <v>0</v>
      </c>
      <c r="BS968">
        <v>6</v>
      </c>
      <c r="BU968">
        <v>136463</v>
      </c>
    </row>
    <row r="969" spans="1:73" x14ac:dyDescent="0.3">
      <c r="A969" t="s">
        <v>5099</v>
      </c>
      <c r="B969">
        <v>4</v>
      </c>
      <c r="C969">
        <v>862192</v>
      </c>
      <c r="D969">
        <v>3</v>
      </c>
      <c r="E969">
        <v>464502</v>
      </c>
      <c r="F969">
        <v>0</v>
      </c>
      <c r="G969">
        <v>0</v>
      </c>
      <c r="H969">
        <v>2</v>
      </c>
      <c r="I969">
        <v>50908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10</v>
      </c>
      <c r="BC969" s="1">
        <v>1791196</v>
      </c>
      <c r="BD969" t="s">
        <v>74</v>
      </c>
      <c r="BE969" t="s">
        <v>5100</v>
      </c>
      <c r="BF969" t="s">
        <v>5101</v>
      </c>
      <c r="BH969" t="s">
        <v>77</v>
      </c>
      <c r="BI969" t="s">
        <v>92</v>
      </c>
      <c r="BJ969" t="s">
        <v>79</v>
      </c>
      <c r="BM969">
        <v>0</v>
      </c>
      <c r="BN969">
        <v>3</v>
      </c>
      <c r="BO969">
        <v>3</v>
      </c>
      <c r="BP969" t="s">
        <v>80</v>
      </c>
      <c r="BR969">
        <v>0</v>
      </c>
      <c r="BS969">
        <v>6</v>
      </c>
      <c r="BU969">
        <v>1377602</v>
      </c>
    </row>
    <row r="970" spans="1:73" x14ac:dyDescent="0.3">
      <c r="A970" t="s">
        <v>5108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59747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6919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</v>
      </c>
      <c r="BC970" s="1">
        <v>66666</v>
      </c>
      <c r="BD970" t="s">
        <v>74</v>
      </c>
      <c r="BE970" t="s">
        <v>5109</v>
      </c>
      <c r="BF970" t="s">
        <v>5110</v>
      </c>
      <c r="BH970" t="s">
        <v>77</v>
      </c>
      <c r="BI970" t="s">
        <v>204</v>
      </c>
      <c r="BJ970" t="s">
        <v>79</v>
      </c>
      <c r="BM970">
        <v>2</v>
      </c>
      <c r="BN970">
        <v>0</v>
      </c>
      <c r="BO970">
        <v>2</v>
      </c>
      <c r="BP970" t="s">
        <v>80</v>
      </c>
      <c r="BR970">
        <v>0</v>
      </c>
      <c r="BS970">
        <v>6</v>
      </c>
      <c r="BU970">
        <v>66666</v>
      </c>
    </row>
    <row r="971" spans="1:73" x14ac:dyDescent="0.3">
      <c r="A971" t="s">
        <v>5111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96439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 s="1">
        <v>96439</v>
      </c>
      <c r="BD971" t="s">
        <v>74</v>
      </c>
      <c r="BE971" t="s">
        <v>5112</v>
      </c>
      <c r="BF971" t="s">
        <v>5113</v>
      </c>
      <c r="BH971" t="s">
        <v>77</v>
      </c>
      <c r="BI971" t="s">
        <v>739</v>
      </c>
      <c r="BJ971" t="s">
        <v>79</v>
      </c>
      <c r="BM971">
        <v>1</v>
      </c>
      <c r="BN971">
        <v>0</v>
      </c>
      <c r="BO971">
        <v>1</v>
      </c>
      <c r="BP971" t="s">
        <v>80</v>
      </c>
      <c r="BR971">
        <v>0</v>
      </c>
      <c r="BS971">
        <v>6</v>
      </c>
      <c r="BU971">
        <v>96439</v>
      </c>
    </row>
    <row r="972" spans="1:73" x14ac:dyDescent="0.3">
      <c r="A972" t="s">
        <v>5120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19792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</v>
      </c>
      <c r="BC972" s="1">
        <v>19792</v>
      </c>
      <c r="BD972" t="s">
        <v>74</v>
      </c>
      <c r="BE972" t="s">
        <v>5121</v>
      </c>
      <c r="BF972" t="s">
        <v>5122</v>
      </c>
      <c r="BH972" t="s">
        <v>77</v>
      </c>
      <c r="BI972" t="s">
        <v>739</v>
      </c>
      <c r="BJ972" t="s">
        <v>79</v>
      </c>
      <c r="BM972">
        <v>1</v>
      </c>
      <c r="BN972">
        <v>0</v>
      </c>
      <c r="BO972">
        <v>1</v>
      </c>
      <c r="BP972" t="s">
        <v>80</v>
      </c>
      <c r="BR972">
        <v>0</v>
      </c>
      <c r="BS972">
        <v>0</v>
      </c>
      <c r="BU972">
        <v>19792</v>
      </c>
    </row>
    <row r="973" spans="1:73" x14ac:dyDescent="0.3">
      <c r="A973" t="s">
        <v>5135</v>
      </c>
      <c r="B973">
        <v>0</v>
      </c>
      <c r="C973">
        <v>0</v>
      </c>
      <c r="D973">
        <v>1</v>
      </c>
      <c r="E973">
        <v>288000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</v>
      </c>
      <c r="BC973" s="1">
        <v>288000</v>
      </c>
      <c r="BD973" t="s">
        <v>74</v>
      </c>
      <c r="BE973" t="s">
        <v>5136</v>
      </c>
      <c r="BF973" t="s">
        <v>5137</v>
      </c>
      <c r="BH973" t="s">
        <v>77</v>
      </c>
      <c r="BI973" t="s">
        <v>204</v>
      </c>
      <c r="BJ973" t="s">
        <v>79</v>
      </c>
      <c r="BM973">
        <v>0</v>
      </c>
      <c r="BN973">
        <v>1</v>
      </c>
      <c r="BO973">
        <v>1</v>
      </c>
      <c r="BP973" t="s">
        <v>80</v>
      </c>
      <c r="BR973">
        <v>0</v>
      </c>
      <c r="BS973">
        <v>6</v>
      </c>
      <c r="BU973">
        <v>288000</v>
      </c>
    </row>
    <row r="974" spans="1:73" x14ac:dyDescent="0.3">
      <c r="A974" t="s">
        <v>5141</v>
      </c>
      <c r="B974">
        <v>0</v>
      </c>
      <c r="C974">
        <v>0</v>
      </c>
      <c r="D974">
        <v>1</v>
      </c>
      <c r="E974">
        <v>240000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</v>
      </c>
      <c r="BC974" s="1">
        <v>480000</v>
      </c>
      <c r="BD974" t="s">
        <v>74</v>
      </c>
      <c r="BE974" t="s">
        <v>5142</v>
      </c>
      <c r="BF974" t="s">
        <v>5143</v>
      </c>
      <c r="BH974" t="s">
        <v>77</v>
      </c>
      <c r="BI974" t="s">
        <v>92</v>
      </c>
      <c r="BJ974" t="s">
        <v>79</v>
      </c>
      <c r="BM974">
        <v>0</v>
      </c>
      <c r="BN974">
        <v>1</v>
      </c>
      <c r="BO974">
        <v>1</v>
      </c>
      <c r="BP974" t="s">
        <v>80</v>
      </c>
      <c r="BR974">
        <v>0</v>
      </c>
      <c r="BS974">
        <v>6</v>
      </c>
      <c r="BU974">
        <v>240000</v>
      </c>
    </row>
    <row r="975" spans="1:73" x14ac:dyDescent="0.3">
      <c r="A975" t="s">
        <v>5147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2</v>
      </c>
      <c r="Z975">
        <v>152120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2</v>
      </c>
      <c r="BC975" s="1">
        <v>152120</v>
      </c>
      <c r="BD975" t="s">
        <v>74</v>
      </c>
      <c r="BE975" t="s">
        <v>5148</v>
      </c>
      <c r="BF975" t="s">
        <v>5149</v>
      </c>
      <c r="BH975" t="s">
        <v>77</v>
      </c>
      <c r="BI975" t="s">
        <v>78</v>
      </c>
      <c r="BJ975" t="s">
        <v>79</v>
      </c>
      <c r="BM975">
        <v>1</v>
      </c>
      <c r="BN975">
        <v>0</v>
      </c>
      <c r="BO975">
        <v>1</v>
      </c>
      <c r="BP975" t="s">
        <v>80</v>
      </c>
      <c r="BR975">
        <v>0</v>
      </c>
      <c r="BS975">
        <v>0</v>
      </c>
      <c r="BU975">
        <v>152120</v>
      </c>
    </row>
    <row r="976" spans="1:73" x14ac:dyDescent="0.3">
      <c r="A976" t="s">
        <v>5150</v>
      </c>
      <c r="B976">
        <v>0</v>
      </c>
      <c r="C976">
        <v>0</v>
      </c>
      <c r="D976">
        <v>1</v>
      </c>
      <c r="E976">
        <v>2750000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2</v>
      </c>
      <c r="BC976" s="1">
        <v>5500000</v>
      </c>
      <c r="BD976" t="s">
        <v>74</v>
      </c>
      <c r="BE976" t="s">
        <v>5151</v>
      </c>
      <c r="BF976" t="s">
        <v>5152</v>
      </c>
      <c r="BH976" t="s">
        <v>77</v>
      </c>
      <c r="BI976" t="s">
        <v>92</v>
      </c>
      <c r="BJ976" t="s">
        <v>79</v>
      </c>
      <c r="BM976">
        <v>0</v>
      </c>
      <c r="BN976">
        <v>1</v>
      </c>
      <c r="BO976">
        <v>1</v>
      </c>
      <c r="BP976" t="s">
        <v>80</v>
      </c>
      <c r="BR976">
        <v>0</v>
      </c>
      <c r="BS976">
        <v>6</v>
      </c>
      <c r="BU976">
        <v>2750000</v>
      </c>
    </row>
    <row r="977" spans="1:73" x14ac:dyDescent="0.3">
      <c r="A977" t="s">
        <v>5153</v>
      </c>
      <c r="B977">
        <v>0</v>
      </c>
      <c r="C977">
        <v>0</v>
      </c>
      <c r="D977">
        <v>2</v>
      </c>
      <c r="E977">
        <v>292000</v>
      </c>
      <c r="F977">
        <v>0</v>
      </c>
      <c r="G977">
        <v>0</v>
      </c>
      <c r="H977">
        <v>2</v>
      </c>
      <c r="I977">
        <v>40000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45682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11526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6</v>
      </c>
      <c r="BC977" s="1">
        <v>641208</v>
      </c>
      <c r="BD977" t="s">
        <v>74</v>
      </c>
      <c r="BE977" t="s">
        <v>5154</v>
      </c>
      <c r="BF977" t="s">
        <v>5155</v>
      </c>
      <c r="BH977" t="s">
        <v>77</v>
      </c>
      <c r="BI977" t="s">
        <v>204</v>
      </c>
      <c r="BJ977" t="s">
        <v>79</v>
      </c>
      <c r="BM977">
        <v>2</v>
      </c>
      <c r="BN977">
        <v>2</v>
      </c>
      <c r="BO977">
        <v>4</v>
      </c>
      <c r="BP977" t="s">
        <v>80</v>
      </c>
      <c r="BR977">
        <v>0</v>
      </c>
      <c r="BS977">
        <v>6</v>
      </c>
      <c r="BU977">
        <v>389208</v>
      </c>
    </row>
    <row r="978" spans="1:73" x14ac:dyDescent="0.3">
      <c r="A978" t="s">
        <v>5156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78585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2</v>
      </c>
      <c r="BC978" s="1">
        <v>157170</v>
      </c>
      <c r="BD978" t="s">
        <v>74</v>
      </c>
      <c r="BE978" t="s">
        <v>5157</v>
      </c>
      <c r="BF978" t="s">
        <v>5158</v>
      </c>
      <c r="BH978" t="s">
        <v>77</v>
      </c>
      <c r="BI978" t="s">
        <v>129</v>
      </c>
      <c r="BJ978" t="s">
        <v>79</v>
      </c>
      <c r="BM978">
        <v>1</v>
      </c>
      <c r="BN978">
        <v>0</v>
      </c>
      <c r="BO978">
        <v>1</v>
      </c>
      <c r="BP978" t="s">
        <v>80</v>
      </c>
      <c r="BR978">
        <v>0</v>
      </c>
      <c r="BS978">
        <v>6</v>
      </c>
      <c r="BU978">
        <v>78585</v>
      </c>
    </row>
    <row r="979" spans="1:73" x14ac:dyDescent="0.3">
      <c r="A979" t="s">
        <v>5161</v>
      </c>
      <c r="B979">
        <v>0</v>
      </c>
      <c r="C979">
        <v>0</v>
      </c>
      <c r="D979">
        <v>1</v>
      </c>
      <c r="E979">
        <v>20000</v>
      </c>
      <c r="F979">
        <v>0</v>
      </c>
      <c r="G979">
        <v>0</v>
      </c>
      <c r="H979">
        <v>2</v>
      </c>
      <c r="I979">
        <v>50000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24243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5</v>
      </c>
      <c r="BC979" s="1">
        <v>178486</v>
      </c>
      <c r="BD979" t="s">
        <v>74</v>
      </c>
      <c r="BE979" t="s">
        <v>5162</v>
      </c>
      <c r="BF979" t="s">
        <v>5163</v>
      </c>
      <c r="BH979" t="s">
        <v>77</v>
      </c>
      <c r="BI979" t="s">
        <v>524</v>
      </c>
      <c r="BJ979" t="s">
        <v>79</v>
      </c>
      <c r="BM979">
        <v>1</v>
      </c>
      <c r="BN979">
        <v>2</v>
      </c>
      <c r="BO979">
        <v>3</v>
      </c>
      <c r="BP979" t="s">
        <v>80</v>
      </c>
      <c r="BR979">
        <v>0</v>
      </c>
      <c r="BS979">
        <v>6</v>
      </c>
      <c r="BU979">
        <v>94243</v>
      </c>
    </row>
    <row r="980" spans="1:73" x14ac:dyDescent="0.3">
      <c r="A980" t="s">
        <v>5167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78585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2</v>
      </c>
      <c r="BC980" s="1">
        <v>157170</v>
      </c>
      <c r="BD980" t="s">
        <v>74</v>
      </c>
      <c r="BE980" t="s">
        <v>5168</v>
      </c>
      <c r="BF980" t="s">
        <v>5169</v>
      </c>
      <c r="BH980" t="s">
        <v>77</v>
      </c>
      <c r="BI980" t="s">
        <v>593</v>
      </c>
      <c r="BJ980" t="s">
        <v>79</v>
      </c>
      <c r="BM980">
        <v>1</v>
      </c>
      <c r="BN980">
        <v>0</v>
      </c>
      <c r="BO980">
        <v>1</v>
      </c>
      <c r="BP980" t="s">
        <v>80</v>
      </c>
      <c r="BR980">
        <v>0</v>
      </c>
      <c r="BS980">
        <v>6</v>
      </c>
      <c r="BU980">
        <v>78585</v>
      </c>
    </row>
    <row r="981" spans="1:73" x14ac:dyDescent="0.3">
      <c r="A981" t="s">
        <v>5170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96439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2</v>
      </c>
      <c r="BC981" s="1">
        <v>175024</v>
      </c>
      <c r="BD981" t="s">
        <v>74</v>
      </c>
      <c r="BE981" t="s">
        <v>5171</v>
      </c>
      <c r="BF981" t="s">
        <v>5172</v>
      </c>
      <c r="BH981" t="s">
        <v>77</v>
      </c>
      <c r="BI981" t="s">
        <v>204</v>
      </c>
      <c r="BJ981" t="s">
        <v>79</v>
      </c>
      <c r="BM981">
        <v>1</v>
      </c>
      <c r="BN981">
        <v>0</v>
      </c>
      <c r="BO981">
        <v>1</v>
      </c>
      <c r="BP981" t="s">
        <v>80</v>
      </c>
      <c r="BR981">
        <v>0</v>
      </c>
      <c r="BS981">
        <v>6</v>
      </c>
      <c r="BU981">
        <v>96439</v>
      </c>
    </row>
    <row r="982" spans="1:73" x14ac:dyDescent="0.3">
      <c r="A982" t="s">
        <v>5176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78585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2</v>
      </c>
      <c r="BC982" s="1">
        <v>157170</v>
      </c>
      <c r="BD982" t="s">
        <v>74</v>
      </c>
      <c r="BE982" t="s">
        <v>5177</v>
      </c>
      <c r="BF982" t="s">
        <v>5178</v>
      </c>
      <c r="BH982" t="s">
        <v>77</v>
      </c>
      <c r="BI982" t="s">
        <v>574</v>
      </c>
      <c r="BJ982" t="s">
        <v>79</v>
      </c>
      <c r="BM982">
        <v>1</v>
      </c>
      <c r="BN982">
        <v>0</v>
      </c>
      <c r="BO982">
        <v>1</v>
      </c>
      <c r="BP982" t="s">
        <v>80</v>
      </c>
      <c r="BR982">
        <v>0</v>
      </c>
      <c r="BS982">
        <v>6</v>
      </c>
      <c r="BU982">
        <v>78585</v>
      </c>
    </row>
    <row r="983" spans="1:73" x14ac:dyDescent="0.3">
      <c r="A983" t="s">
        <v>5179</v>
      </c>
      <c r="B983">
        <v>1</v>
      </c>
      <c r="C983">
        <v>341136</v>
      </c>
      <c r="D983">
        <v>6</v>
      </c>
      <c r="E983">
        <v>759666</v>
      </c>
      <c r="F983">
        <v>0</v>
      </c>
      <c r="G983">
        <v>0</v>
      </c>
      <c r="H983">
        <v>8</v>
      </c>
      <c r="I983">
        <v>258686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73535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39584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17</v>
      </c>
      <c r="BC983" s="1">
        <v>1993379</v>
      </c>
      <c r="BD983" t="s">
        <v>74</v>
      </c>
      <c r="BE983" t="s">
        <v>5180</v>
      </c>
      <c r="BF983" t="s">
        <v>5181</v>
      </c>
      <c r="BH983" t="s">
        <v>77</v>
      </c>
      <c r="BI983" t="s">
        <v>92</v>
      </c>
      <c r="BJ983" t="s">
        <v>79</v>
      </c>
      <c r="BM983">
        <v>2</v>
      </c>
      <c r="BN983">
        <v>3</v>
      </c>
      <c r="BO983">
        <v>5</v>
      </c>
      <c r="BP983" t="s">
        <v>80</v>
      </c>
      <c r="BR983">
        <v>0</v>
      </c>
      <c r="BS983">
        <v>6</v>
      </c>
      <c r="BU983">
        <v>1472607</v>
      </c>
    </row>
    <row r="984" spans="1:73" x14ac:dyDescent="0.3">
      <c r="A984" t="s">
        <v>5182</v>
      </c>
      <c r="B984">
        <v>0</v>
      </c>
      <c r="C984">
        <v>0</v>
      </c>
      <c r="D984">
        <v>3</v>
      </c>
      <c r="E984">
        <v>400558</v>
      </c>
      <c r="F984">
        <v>0</v>
      </c>
      <c r="G984">
        <v>0</v>
      </c>
      <c r="H984">
        <v>6</v>
      </c>
      <c r="I984">
        <v>141116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14</v>
      </c>
      <c r="BC984" s="1">
        <v>866118</v>
      </c>
      <c r="BD984" t="s">
        <v>74</v>
      </c>
      <c r="BE984" t="s">
        <v>5183</v>
      </c>
      <c r="BF984" t="s">
        <v>5184</v>
      </c>
      <c r="BH984" t="s">
        <v>97</v>
      </c>
      <c r="BI984" t="s">
        <v>208</v>
      </c>
      <c r="BJ984" t="s">
        <v>79</v>
      </c>
      <c r="BM984">
        <v>0</v>
      </c>
      <c r="BN984">
        <v>2</v>
      </c>
      <c r="BO984">
        <v>2</v>
      </c>
      <c r="BP984" t="s">
        <v>514</v>
      </c>
      <c r="BR984">
        <v>0</v>
      </c>
      <c r="BS984">
        <v>6</v>
      </c>
      <c r="BU984">
        <v>541674</v>
      </c>
    </row>
    <row r="985" spans="1:73" x14ac:dyDescent="0.3">
      <c r="A985" t="s">
        <v>5188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73535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2</v>
      </c>
      <c r="BC985" s="1">
        <v>81451</v>
      </c>
      <c r="BD985" t="s">
        <v>74</v>
      </c>
      <c r="BE985" t="s">
        <v>5189</v>
      </c>
      <c r="BF985" t="s">
        <v>5190</v>
      </c>
      <c r="BH985" t="s">
        <v>77</v>
      </c>
      <c r="BI985" t="s">
        <v>92</v>
      </c>
      <c r="BJ985" t="s">
        <v>79</v>
      </c>
      <c r="BM985">
        <v>1</v>
      </c>
      <c r="BN985">
        <v>0</v>
      </c>
      <c r="BO985">
        <v>1</v>
      </c>
      <c r="BP985" t="s">
        <v>80</v>
      </c>
      <c r="BR985">
        <v>0</v>
      </c>
      <c r="BS985">
        <v>6</v>
      </c>
      <c r="BU985">
        <v>73535</v>
      </c>
    </row>
    <row r="986" spans="1:73" x14ac:dyDescent="0.3">
      <c r="A986" t="s">
        <v>5191</v>
      </c>
      <c r="B986">
        <v>1</v>
      </c>
      <c r="C986">
        <v>546166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 s="1">
        <v>546166</v>
      </c>
      <c r="BD986" t="s">
        <v>74</v>
      </c>
      <c r="BE986" t="s">
        <v>5192</v>
      </c>
      <c r="BF986" t="s">
        <v>5193</v>
      </c>
      <c r="BH986" t="s">
        <v>77</v>
      </c>
      <c r="BI986" t="s">
        <v>204</v>
      </c>
      <c r="BJ986" t="s">
        <v>79</v>
      </c>
      <c r="BM986">
        <v>0</v>
      </c>
      <c r="BN986">
        <v>1</v>
      </c>
      <c r="BO986">
        <v>1</v>
      </c>
      <c r="BP986" t="s">
        <v>80</v>
      </c>
      <c r="BR986">
        <v>0</v>
      </c>
      <c r="BS986">
        <v>6</v>
      </c>
      <c r="BU986">
        <v>546166</v>
      </c>
    </row>
    <row r="987" spans="1:73" x14ac:dyDescent="0.3">
      <c r="A987" t="s">
        <v>5197</v>
      </c>
      <c r="B987">
        <v>0</v>
      </c>
      <c r="C987">
        <v>0</v>
      </c>
      <c r="D987">
        <v>1</v>
      </c>
      <c r="E987">
        <v>20757</v>
      </c>
      <c r="F987">
        <v>0</v>
      </c>
      <c r="G987">
        <v>0</v>
      </c>
      <c r="H987">
        <v>1</v>
      </c>
      <c r="I987">
        <v>20757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78585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19792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4</v>
      </c>
      <c r="BC987" s="1">
        <v>138926</v>
      </c>
      <c r="BD987" t="s">
        <v>74</v>
      </c>
      <c r="BE987" t="s">
        <v>5198</v>
      </c>
      <c r="BF987" t="s">
        <v>5199</v>
      </c>
      <c r="BH987" t="s">
        <v>77</v>
      </c>
      <c r="BI987" t="s">
        <v>88</v>
      </c>
      <c r="BM987">
        <v>2</v>
      </c>
      <c r="BN987">
        <v>2</v>
      </c>
      <c r="BO987">
        <v>4</v>
      </c>
      <c r="BP987" t="s">
        <v>80</v>
      </c>
      <c r="BR987">
        <v>0</v>
      </c>
      <c r="BS987">
        <v>6</v>
      </c>
      <c r="BU987">
        <v>139891</v>
      </c>
    </row>
    <row r="988" spans="1:73" x14ac:dyDescent="0.3">
      <c r="A988" t="s">
        <v>5204</v>
      </c>
      <c r="B988">
        <v>1</v>
      </c>
      <c r="C988">
        <v>701170</v>
      </c>
      <c r="D988">
        <v>2</v>
      </c>
      <c r="E988">
        <v>643636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242727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73535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24243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13</v>
      </c>
      <c r="BC988" s="1">
        <v>2723998</v>
      </c>
      <c r="BD988" t="s">
        <v>74</v>
      </c>
      <c r="BE988" t="s">
        <v>5205</v>
      </c>
      <c r="BF988" t="s">
        <v>5206</v>
      </c>
      <c r="BH988" t="s">
        <v>77</v>
      </c>
      <c r="BI988" t="s">
        <v>92</v>
      </c>
      <c r="BJ988" t="s">
        <v>79</v>
      </c>
      <c r="BM988">
        <v>2</v>
      </c>
      <c r="BN988">
        <v>3</v>
      </c>
      <c r="BO988">
        <v>5</v>
      </c>
      <c r="BP988" t="s">
        <v>80</v>
      </c>
      <c r="BR988">
        <v>0</v>
      </c>
      <c r="BS988">
        <v>6</v>
      </c>
      <c r="BU988">
        <v>1685311</v>
      </c>
    </row>
    <row r="989" spans="1:73" x14ac:dyDescent="0.3">
      <c r="A989" t="s">
        <v>5209</v>
      </c>
      <c r="B989">
        <v>4</v>
      </c>
      <c r="C989">
        <v>855583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4</v>
      </c>
      <c r="BC989" s="1">
        <v>855583</v>
      </c>
      <c r="BD989" t="s">
        <v>74</v>
      </c>
      <c r="BE989" t="s">
        <v>5210</v>
      </c>
      <c r="BF989" t="s">
        <v>5211</v>
      </c>
      <c r="BH989" t="s">
        <v>77</v>
      </c>
      <c r="BI989" t="s">
        <v>593</v>
      </c>
      <c r="BJ989" t="s">
        <v>79</v>
      </c>
      <c r="BM989">
        <v>0</v>
      </c>
      <c r="BN989">
        <v>1</v>
      </c>
      <c r="BO989">
        <v>1</v>
      </c>
      <c r="BP989" t="s">
        <v>80</v>
      </c>
      <c r="BR989">
        <v>0</v>
      </c>
      <c r="BS989">
        <v>6</v>
      </c>
      <c r="BU989">
        <v>855583</v>
      </c>
    </row>
    <row r="990" spans="1:73" x14ac:dyDescent="0.3">
      <c r="A990" t="s">
        <v>5212</v>
      </c>
      <c r="B990">
        <v>0</v>
      </c>
      <c r="C990">
        <v>0</v>
      </c>
      <c r="D990">
        <v>4</v>
      </c>
      <c r="E990">
        <v>937584</v>
      </c>
      <c r="F990">
        <v>0</v>
      </c>
      <c r="G990">
        <v>0</v>
      </c>
      <c r="H990">
        <v>6</v>
      </c>
      <c r="I990">
        <v>147168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135000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9</v>
      </c>
      <c r="BC990" s="1">
        <v>2010168</v>
      </c>
      <c r="BD990" t="s">
        <v>74</v>
      </c>
      <c r="BE990" t="s">
        <v>5213</v>
      </c>
      <c r="BF990" t="s">
        <v>4139</v>
      </c>
      <c r="BH990" t="s">
        <v>77</v>
      </c>
      <c r="BI990" t="s">
        <v>593</v>
      </c>
      <c r="BJ990" t="s">
        <v>79</v>
      </c>
      <c r="BM990">
        <v>0</v>
      </c>
      <c r="BN990">
        <v>3</v>
      </c>
      <c r="BO990">
        <v>3</v>
      </c>
      <c r="BP990" t="s">
        <v>80</v>
      </c>
      <c r="BR990">
        <v>0</v>
      </c>
      <c r="BS990">
        <v>6</v>
      </c>
      <c r="BU990">
        <v>1219752</v>
      </c>
    </row>
    <row r="991" spans="1:73" x14ac:dyDescent="0.3">
      <c r="A991" t="s">
        <v>5214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10</v>
      </c>
      <c r="BC991" s="1">
        <v>2102273</v>
      </c>
      <c r="BD991" t="s">
        <v>74</v>
      </c>
      <c r="BE991" t="s">
        <v>5215</v>
      </c>
      <c r="BF991" t="s">
        <v>5216</v>
      </c>
      <c r="BH991" t="s">
        <v>476</v>
      </c>
      <c r="BI991" t="s">
        <v>1472</v>
      </c>
      <c r="BJ991" t="s">
        <v>125</v>
      </c>
      <c r="BM991">
        <v>0</v>
      </c>
      <c r="BN991">
        <v>0</v>
      </c>
      <c r="BO991">
        <v>0</v>
      </c>
      <c r="BP991" t="s">
        <v>514</v>
      </c>
      <c r="BR991">
        <v>0</v>
      </c>
      <c r="BS991">
        <v>0</v>
      </c>
      <c r="BU991">
        <v>0</v>
      </c>
    </row>
    <row r="992" spans="1:73" x14ac:dyDescent="0.3">
      <c r="A992" t="s">
        <v>5220</v>
      </c>
      <c r="B992">
        <v>4</v>
      </c>
      <c r="C992">
        <v>1340549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4</v>
      </c>
      <c r="BC992" s="1">
        <v>1340549</v>
      </c>
      <c r="BD992" t="s">
        <v>74</v>
      </c>
      <c r="BE992" t="s">
        <v>5221</v>
      </c>
      <c r="BF992" t="s">
        <v>5222</v>
      </c>
      <c r="BH992" t="s">
        <v>77</v>
      </c>
      <c r="BI992" t="s">
        <v>228</v>
      </c>
      <c r="BJ992" t="s">
        <v>79</v>
      </c>
      <c r="BM992">
        <v>0</v>
      </c>
      <c r="BN992">
        <v>1</v>
      </c>
      <c r="BO992">
        <v>1</v>
      </c>
      <c r="BP992" t="s">
        <v>80</v>
      </c>
      <c r="BR992">
        <v>0</v>
      </c>
      <c r="BS992">
        <v>6</v>
      </c>
      <c r="BU992">
        <v>1340549</v>
      </c>
    </row>
    <row r="993" spans="1:73" x14ac:dyDescent="0.3">
      <c r="A993" t="s">
        <v>5228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25000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 s="1">
        <v>25000</v>
      </c>
      <c r="BD993" t="s">
        <v>74</v>
      </c>
      <c r="BE993" t="s">
        <v>5229</v>
      </c>
      <c r="BF993" t="s">
        <v>5230</v>
      </c>
      <c r="BH993" t="s">
        <v>77</v>
      </c>
      <c r="BI993" t="s">
        <v>204</v>
      </c>
      <c r="BJ993" t="s">
        <v>79</v>
      </c>
      <c r="BM993">
        <v>0</v>
      </c>
      <c r="BN993">
        <v>1</v>
      </c>
      <c r="BO993">
        <v>1</v>
      </c>
      <c r="BP993" t="s">
        <v>80</v>
      </c>
      <c r="BR993">
        <v>0</v>
      </c>
      <c r="BS993">
        <v>6</v>
      </c>
      <c r="BU993">
        <v>25000</v>
      </c>
    </row>
    <row r="994" spans="1:73" x14ac:dyDescent="0.3">
      <c r="A994" t="s">
        <v>5231</v>
      </c>
      <c r="B994">
        <v>5</v>
      </c>
      <c r="C994">
        <v>1087517</v>
      </c>
      <c r="D994">
        <v>9</v>
      </c>
      <c r="E994">
        <v>930109</v>
      </c>
      <c r="F994">
        <v>0</v>
      </c>
      <c r="G994">
        <v>0</v>
      </c>
      <c r="H994">
        <v>6</v>
      </c>
      <c r="I994">
        <v>227496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19</v>
      </c>
      <c r="BC994" s="1">
        <v>2854231</v>
      </c>
      <c r="BD994" t="s">
        <v>74</v>
      </c>
      <c r="BE994" t="s">
        <v>5232</v>
      </c>
      <c r="BF994" t="s">
        <v>245</v>
      </c>
      <c r="BH994" t="s">
        <v>136</v>
      </c>
      <c r="BI994" t="s">
        <v>191</v>
      </c>
      <c r="BJ994" t="s">
        <v>125</v>
      </c>
      <c r="BM994">
        <v>0</v>
      </c>
      <c r="BN994">
        <v>3</v>
      </c>
      <c r="BO994">
        <v>3</v>
      </c>
      <c r="BP994" t="s">
        <v>80</v>
      </c>
      <c r="BR994">
        <v>0</v>
      </c>
      <c r="BS994">
        <v>6</v>
      </c>
      <c r="BU994">
        <v>2245122</v>
      </c>
    </row>
    <row r="995" spans="1:73" x14ac:dyDescent="0.3">
      <c r="A995" t="s">
        <v>5233</v>
      </c>
      <c r="B995">
        <v>0</v>
      </c>
      <c r="C995">
        <v>0</v>
      </c>
      <c r="D995">
        <v>2</v>
      </c>
      <c r="E995">
        <v>2270000</v>
      </c>
      <c r="F995">
        <v>0</v>
      </c>
      <c r="G995">
        <v>0</v>
      </c>
      <c r="H995">
        <v>2</v>
      </c>
      <c r="I995">
        <v>40000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165000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6</v>
      </c>
      <c r="BC995" s="1">
        <v>5085000</v>
      </c>
      <c r="BD995" t="s">
        <v>74</v>
      </c>
      <c r="BE995" t="s">
        <v>5234</v>
      </c>
      <c r="BF995" t="s">
        <v>5235</v>
      </c>
      <c r="BH995" t="s">
        <v>136</v>
      </c>
      <c r="BI995" t="s">
        <v>439</v>
      </c>
      <c r="BJ995" t="s">
        <v>125</v>
      </c>
      <c r="BM995">
        <v>1</v>
      </c>
      <c r="BN995">
        <v>2</v>
      </c>
      <c r="BO995">
        <v>3</v>
      </c>
      <c r="BP995" t="s">
        <v>514</v>
      </c>
      <c r="BR995">
        <v>0</v>
      </c>
      <c r="BS995">
        <v>6</v>
      </c>
      <c r="BU995">
        <v>2475000</v>
      </c>
    </row>
    <row r="996" spans="1:73" x14ac:dyDescent="0.3">
      <c r="A996" t="s">
        <v>5236</v>
      </c>
      <c r="B996">
        <v>0</v>
      </c>
      <c r="C996">
        <v>0</v>
      </c>
      <c r="D996">
        <v>3</v>
      </c>
      <c r="E996">
        <v>310000</v>
      </c>
      <c r="F996">
        <v>0</v>
      </c>
      <c r="G996">
        <v>0</v>
      </c>
      <c r="H996">
        <v>4</v>
      </c>
      <c r="I996">
        <v>80000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6</v>
      </c>
      <c r="BC996" s="1">
        <v>620000</v>
      </c>
      <c r="BD996" t="s">
        <v>74</v>
      </c>
      <c r="BE996" t="s">
        <v>5237</v>
      </c>
      <c r="BF996" t="s">
        <v>5238</v>
      </c>
      <c r="BH996" t="s">
        <v>77</v>
      </c>
      <c r="BI996" t="s">
        <v>281</v>
      </c>
      <c r="BJ996" t="s">
        <v>79</v>
      </c>
      <c r="BM996">
        <v>0</v>
      </c>
      <c r="BN996">
        <v>2</v>
      </c>
      <c r="BO996">
        <v>2</v>
      </c>
      <c r="BP996" t="s">
        <v>80</v>
      </c>
      <c r="BR996">
        <v>0</v>
      </c>
      <c r="BS996">
        <v>6</v>
      </c>
      <c r="BU996">
        <v>390000</v>
      </c>
    </row>
    <row r="997" spans="1:73" x14ac:dyDescent="0.3">
      <c r="A997" t="s">
        <v>5239</v>
      </c>
      <c r="B997">
        <v>0</v>
      </c>
      <c r="C997">
        <v>0</v>
      </c>
      <c r="D997">
        <v>1</v>
      </c>
      <c r="E997">
        <v>175000</v>
      </c>
      <c r="F997">
        <v>0</v>
      </c>
      <c r="G997">
        <v>0</v>
      </c>
      <c r="H997">
        <v>1</v>
      </c>
      <c r="I997">
        <v>20000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3</v>
      </c>
      <c r="BC997" s="1">
        <v>214792</v>
      </c>
      <c r="BD997" t="s">
        <v>74</v>
      </c>
      <c r="BE997" t="s">
        <v>5240</v>
      </c>
      <c r="BF997" t="s">
        <v>5241</v>
      </c>
      <c r="BH997" t="s">
        <v>77</v>
      </c>
      <c r="BI997" t="s">
        <v>88</v>
      </c>
      <c r="BJ997" t="s">
        <v>79</v>
      </c>
      <c r="BM997">
        <v>0</v>
      </c>
      <c r="BN997">
        <v>2</v>
      </c>
      <c r="BO997">
        <v>2</v>
      </c>
      <c r="BP997" t="s">
        <v>80</v>
      </c>
      <c r="BR997">
        <v>0</v>
      </c>
      <c r="BS997">
        <v>6</v>
      </c>
      <c r="BU997">
        <v>195000</v>
      </c>
    </row>
    <row r="998" spans="1:73" x14ac:dyDescent="0.3">
      <c r="A998" t="s">
        <v>5242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78585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</v>
      </c>
      <c r="BC998" s="1">
        <v>157170</v>
      </c>
      <c r="BD998" t="s">
        <v>74</v>
      </c>
      <c r="BE998" t="s">
        <v>5243</v>
      </c>
      <c r="BF998" t="s">
        <v>5244</v>
      </c>
      <c r="BH998" t="s">
        <v>77</v>
      </c>
      <c r="BI998" t="s">
        <v>228</v>
      </c>
      <c r="BJ998" t="s">
        <v>79</v>
      </c>
      <c r="BM998">
        <v>1</v>
      </c>
      <c r="BN998">
        <v>0</v>
      </c>
      <c r="BO998">
        <v>1</v>
      </c>
      <c r="BP998" t="s">
        <v>80</v>
      </c>
      <c r="BR998">
        <v>0</v>
      </c>
      <c r="BS998">
        <v>6</v>
      </c>
      <c r="BU998">
        <v>78585</v>
      </c>
    </row>
    <row r="999" spans="1:73" x14ac:dyDescent="0.3">
      <c r="A999" t="s">
        <v>5248</v>
      </c>
      <c r="B999">
        <v>0</v>
      </c>
      <c r="C999">
        <v>0</v>
      </c>
      <c r="D999">
        <v>1</v>
      </c>
      <c r="E999">
        <v>260000</v>
      </c>
      <c r="F999">
        <v>0</v>
      </c>
      <c r="G999">
        <v>0</v>
      </c>
      <c r="H999">
        <v>1</v>
      </c>
      <c r="I999">
        <v>41277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2</v>
      </c>
      <c r="BC999" s="1">
        <v>301277</v>
      </c>
      <c r="BD999" t="s">
        <v>74</v>
      </c>
      <c r="BE999" t="s">
        <v>5249</v>
      </c>
      <c r="BF999" t="s">
        <v>5250</v>
      </c>
      <c r="BH999" t="s">
        <v>77</v>
      </c>
      <c r="BI999" t="s">
        <v>84</v>
      </c>
      <c r="BJ999" t="s">
        <v>79</v>
      </c>
      <c r="BM999">
        <v>0</v>
      </c>
      <c r="BN999">
        <v>2</v>
      </c>
      <c r="BO999">
        <v>2</v>
      </c>
      <c r="BP999" t="s">
        <v>80</v>
      </c>
      <c r="BR999">
        <v>0</v>
      </c>
      <c r="BS999">
        <v>6</v>
      </c>
      <c r="BU999">
        <v>301277</v>
      </c>
    </row>
    <row r="1000" spans="1:73" x14ac:dyDescent="0.3">
      <c r="A1000" t="s">
        <v>5259</v>
      </c>
      <c r="B1000">
        <v>0</v>
      </c>
      <c r="C1000">
        <v>0</v>
      </c>
      <c r="D1000">
        <v>2</v>
      </c>
      <c r="E1000">
        <v>1346285</v>
      </c>
      <c r="F1000">
        <v>0</v>
      </c>
      <c r="G1000">
        <v>0</v>
      </c>
      <c r="H1000">
        <v>2</v>
      </c>
      <c r="I1000">
        <v>106285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4</v>
      </c>
      <c r="BC1000" s="1">
        <v>2626285</v>
      </c>
      <c r="BD1000" t="s">
        <v>74</v>
      </c>
      <c r="BE1000" t="s">
        <v>5260</v>
      </c>
      <c r="BF1000" t="s">
        <v>5261</v>
      </c>
      <c r="BH1000" t="s">
        <v>77</v>
      </c>
      <c r="BI1000" t="s">
        <v>204</v>
      </c>
      <c r="BJ1000" t="s">
        <v>79</v>
      </c>
      <c r="BM1000">
        <v>0</v>
      </c>
      <c r="BN1000">
        <v>2</v>
      </c>
      <c r="BO1000">
        <v>2</v>
      </c>
      <c r="BP1000" t="s">
        <v>514</v>
      </c>
      <c r="BR1000">
        <v>0</v>
      </c>
      <c r="BS1000">
        <v>6</v>
      </c>
      <c r="BU1000">
        <v>1452570</v>
      </c>
    </row>
    <row r="1001" spans="1:73" x14ac:dyDescent="0.3">
      <c r="A1001" t="s">
        <v>5262</v>
      </c>
      <c r="B1001">
        <v>0</v>
      </c>
      <c r="C1001">
        <v>0</v>
      </c>
      <c r="D1001">
        <v>2</v>
      </c>
      <c r="E1001">
        <v>433628</v>
      </c>
      <c r="F1001">
        <v>0</v>
      </c>
      <c r="G1001">
        <v>0</v>
      </c>
      <c r="H1001">
        <v>4</v>
      </c>
      <c r="I1001">
        <v>84400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6</v>
      </c>
      <c r="BC1001" s="1">
        <v>907256</v>
      </c>
      <c r="BD1001" t="s">
        <v>74</v>
      </c>
      <c r="BE1001" t="s">
        <v>5263</v>
      </c>
      <c r="BF1001" t="s">
        <v>5264</v>
      </c>
      <c r="BH1001" t="s">
        <v>77</v>
      </c>
      <c r="BI1001" t="s">
        <v>92</v>
      </c>
      <c r="BJ1001" t="s">
        <v>79</v>
      </c>
      <c r="BM1001">
        <v>0</v>
      </c>
      <c r="BN1001">
        <v>2</v>
      </c>
      <c r="BO1001">
        <v>2</v>
      </c>
      <c r="BP1001" t="s">
        <v>80</v>
      </c>
      <c r="BR1001">
        <v>0</v>
      </c>
      <c r="BS1001">
        <v>6</v>
      </c>
      <c r="BU1001">
        <v>518028</v>
      </c>
    </row>
    <row r="1002" spans="1:73" x14ac:dyDescent="0.3">
      <c r="A1002" t="s">
        <v>5265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78585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2</v>
      </c>
      <c r="BC1002" s="1">
        <v>157170</v>
      </c>
      <c r="BD1002" t="s">
        <v>74</v>
      </c>
      <c r="BE1002" t="s">
        <v>5266</v>
      </c>
      <c r="BF1002" t="s">
        <v>5267</v>
      </c>
      <c r="BH1002" t="s">
        <v>77</v>
      </c>
      <c r="BI1002" t="s">
        <v>574</v>
      </c>
      <c r="BJ1002" t="s">
        <v>79</v>
      </c>
      <c r="BM1002">
        <v>1</v>
      </c>
      <c r="BN1002">
        <v>0</v>
      </c>
      <c r="BO1002">
        <v>1</v>
      </c>
      <c r="BP1002" t="s">
        <v>80</v>
      </c>
      <c r="BR1002">
        <v>0</v>
      </c>
      <c r="BS1002">
        <v>6</v>
      </c>
      <c r="BU1002">
        <v>78585</v>
      </c>
    </row>
    <row r="1003" spans="1:73" x14ac:dyDescent="0.3">
      <c r="A1003" t="s">
        <v>5268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390000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 s="1">
        <v>390000</v>
      </c>
      <c r="BD1003" t="s">
        <v>74</v>
      </c>
      <c r="BE1003" t="s">
        <v>5269</v>
      </c>
      <c r="BF1003" t="s">
        <v>5270</v>
      </c>
      <c r="BH1003" t="s">
        <v>77</v>
      </c>
      <c r="BI1003" t="s">
        <v>92</v>
      </c>
      <c r="BJ1003" t="s">
        <v>79</v>
      </c>
      <c r="BM1003">
        <v>1</v>
      </c>
      <c r="BN1003">
        <v>0</v>
      </c>
      <c r="BO1003">
        <v>1</v>
      </c>
      <c r="BP1003" t="s">
        <v>80</v>
      </c>
      <c r="BR1003">
        <v>0</v>
      </c>
      <c r="BS1003">
        <v>0</v>
      </c>
      <c r="BU1003">
        <v>390000</v>
      </c>
    </row>
    <row r="1004" spans="1:73" x14ac:dyDescent="0.3">
      <c r="A1004" t="s">
        <v>5274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19792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2</v>
      </c>
      <c r="BC1004" s="1">
        <v>39584</v>
      </c>
      <c r="BD1004" t="s">
        <v>74</v>
      </c>
      <c r="BE1004" t="s">
        <v>5275</v>
      </c>
      <c r="BF1004" t="s">
        <v>5276</v>
      </c>
      <c r="BH1004" t="s">
        <v>77</v>
      </c>
      <c r="BI1004" t="s">
        <v>228</v>
      </c>
      <c r="BJ1004" t="s">
        <v>79</v>
      </c>
      <c r="BM1004">
        <v>1</v>
      </c>
      <c r="BN1004">
        <v>0</v>
      </c>
      <c r="BO1004">
        <v>1</v>
      </c>
      <c r="BP1004" t="s">
        <v>80</v>
      </c>
      <c r="BR1004">
        <v>0</v>
      </c>
      <c r="BS1004">
        <v>6</v>
      </c>
      <c r="BU1004">
        <v>19792</v>
      </c>
    </row>
    <row r="1005" spans="1:73" x14ac:dyDescent="0.3">
      <c r="A1005" t="s">
        <v>5277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43523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4394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2</v>
      </c>
      <c r="BC1005" s="1">
        <v>47917</v>
      </c>
      <c r="BD1005" t="s">
        <v>74</v>
      </c>
      <c r="BE1005" t="s">
        <v>5278</v>
      </c>
      <c r="BF1005" t="s">
        <v>2596</v>
      </c>
      <c r="BH1005" t="s">
        <v>77</v>
      </c>
      <c r="BI1005" t="s">
        <v>88</v>
      </c>
      <c r="BJ1005" t="s">
        <v>79</v>
      </c>
      <c r="BM1005">
        <v>2</v>
      </c>
      <c r="BN1005">
        <v>0</v>
      </c>
      <c r="BO1005">
        <v>2</v>
      </c>
      <c r="BP1005" t="s">
        <v>80</v>
      </c>
      <c r="BR1005">
        <v>0</v>
      </c>
      <c r="BS1005">
        <v>0</v>
      </c>
      <c r="BU1005">
        <v>47917</v>
      </c>
    </row>
    <row r="1006" spans="1:73" x14ac:dyDescent="0.3">
      <c r="A1006" t="s">
        <v>5279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73535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2</v>
      </c>
      <c r="BC1006" s="1">
        <v>147070</v>
      </c>
      <c r="BD1006" t="s">
        <v>74</v>
      </c>
      <c r="BE1006" t="s">
        <v>5280</v>
      </c>
      <c r="BF1006" t="s">
        <v>3854</v>
      </c>
      <c r="BH1006" t="s">
        <v>77</v>
      </c>
      <c r="BI1006" t="s">
        <v>228</v>
      </c>
      <c r="BJ1006" t="s">
        <v>79</v>
      </c>
      <c r="BM1006">
        <v>1</v>
      </c>
      <c r="BN1006">
        <v>0</v>
      </c>
      <c r="BO1006">
        <v>1</v>
      </c>
      <c r="BP1006" t="s">
        <v>80</v>
      </c>
      <c r="BR1006">
        <v>0</v>
      </c>
      <c r="BS1006">
        <v>0</v>
      </c>
      <c r="BU1006">
        <v>73535</v>
      </c>
    </row>
    <row r="1007" spans="1:73" x14ac:dyDescent="0.3">
      <c r="A1007" t="s">
        <v>5281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2</v>
      </c>
      <c r="I1007">
        <v>50000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2</v>
      </c>
      <c r="BC1007" s="1">
        <v>50000</v>
      </c>
      <c r="BD1007" t="s">
        <v>74</v>
      </c>
      <c r="BE1007" t="s">
        <v>5282</v>
      </c>
      <c r="BF1007" t="s">
        <v>5283</v>
      </c>
      <c r="BH1007" t="s">
        <v>77</v>
      </c>
      <c r="BI1007" t="s">
        <v>593</v>
      </c>
      <c r="BJ1007" t="s">
        <v>79</v>
      </c>
      <c r="BM1007">
        <v>0</v>
      </c>
      <c r="BN1007">
        <v>1</v>
      </c>
      <c r="BO1007">
        <v>1</v>
      </c>
      <c r="BP1007" t="s">
        <v>80</v>
      </c>
      <c r="BR1007">
        <v>0</v>
      </c>
      <c r="BS1007">
        <v>6</v>
      </c>
      <c r="BU1007">
        <v>50000</v>
      </c>
    </row>
    <row r="1008" spans="1:73" x14ac:dyDescent="0.3">
      <c r="A1008" t="s">
        <v>5289</v>
      </c>
      <c r="B1008">
        <v>0</v>
      </c>
      <c r="C1008">
        <v>0</v>
      </c>
      <c r="D1008">
        <v>1</v>
      </c>
      <c r="E1008">
        <v>192000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</v>
      </c>
      <c r="BC1008" s="1">
        <v>192000</v>
      </c>
      <c r="BD1008" t="s">
        <v>74</v>
      </c>
      <c r="BE1008" t="s">
        <v>5290</v>
      </c>
      <c r="BF1008" t="s">
        <v>5291</v>
      </c>
      <c r="BH1008" t="s">
        <v>77</v>
      </c>
      <c r="BI1008" t="s">
        <v>593</v>
      </c>
      <c r="BJ1008" t="s">
        <v>79</v>
      </c>
      <c r="BM1008">
        <v>0</v>
      </c>
      <c r="BN1008">
        <v>1</v>
      </c>
      <c r="BO1008">
        <v>1</v>
      </c>
      <c r="BP1008" t="s">
        <v>80</v>
      </c>
      <c r="BR1008">
        <v>0</v>
      </c>
      <c r="BS1008">
        <v>6</v>
      </c>
      <c r="BU1008">
        <v>192000</v>
      </c>
    </row>
    <row r="1009" spans="1:73" x14ac:dyDescent="0.3">
      <c r="A1009" t="s">
        <v>5292</v>
      </c>
      <c r="B1009">
        <v>3</v>
      </c>
      <c r="C1009">
        <v>565453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3</v>
      </c>
      <c r="BC1009" s="1">
        <v>565453</v>
      </c>
      <c r="BD1009" t="s">
        <v>74</v>
      </c>
      <c r="BE1009" t="s">
        <v>5293</v>
      </c>
      <c r="BF1009" t="s">
        <v>5294</v>
      </c>
      <c r="BH1009" t="s">
        <v>77</v>
      </c>
      <c r="BI1009" t="s">
        <v>129</v>
      </c>
      <c r="BJ1009" t="s">
        <v>79</v>
      </c>
      <c r="BM1009">
        <v>0</v>
      </c>
      <c r="BN1009">
        <v>1</v>
      </c>
      <c r="BO1009">
        <v>1</v>
      </c>
      <c r="BP1009" t="s">
        <v>80</v>
      </c>
      <c r="BR1009">
        <v>0</v>
      </c>
      <c r="BS1009">
        <v>0</v>
      </c>
      <c r="BU1009">
        <v>565453</v>
      </c>
    </row>
    <row r="1010" spans="1:73" x14ac:dyDescent="0.3">
      <c r="A1010" t="s">
        <v>5295</v>
      </c>
      <c r="B1010">
        <v>0</v>
      </c>
      <c r="C1010">
        <v>0</v>
      </c>
      <c r="D1010">
        <v>1</v>
      </c>
      <c r="E1010">
        <v>338709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2</v>
      </c>
      <c r="BC1010" s="1">
        <v>677418</v>
      </c>
      <c r="BD1010" t="s">
        <v>74</v>
      </c>
      <c r="BE1010" t="s">
        <v>5296</v>
      </c>
      <c r="BF1010" t="s">
        <v>5297</v>
      </c>
      <c r="BH1010" t="s">
        <v>77</v>
      </c>
      <c r="BI1010" t="s">
        <v>593</v>
      </c>
      <c r="BJ1010" t="s">
        <v>79</v>
      </c>
      <c r="BM1010">
        <v>0</v>
      </c>
      <c r="BN1010">
        <v>1</v>
      </c>
      <c r="BO1010">
        <v>1</v>
      </c>
      <c r="BP1010" t="s">
        <v>80</v>
      </c>
      <c r="BR1010">
        <v>0</v>
      </c>
      <c r="BS1010">
        <v>6</v>
      </c>
      <c r="BU1010">
        <v>338709</v>
      </c>
    </row>
    <row r="1011" spans="1:73" x14ac:dyDescent="0.3">
      <c r="A1011" t="s">
        <v>5298</v>
      </c>
      <c r="B1011">
        <v>0</v>
      </c>
      <c r="C1011">
        <v>1054546</v>
      </c>
      <c r="D1011">
        <v>3</v>
      </c>
      <c r="E1011">
        <v>210909</v>
      </c>
      <c r="F1011">
        <v>0</v>
      </c>
      <c r="G1011">
        <v>0</v>
      </c>
      <c r="H1011">
        <v>4</v>
      </c>
      <c r="I1011">
        <v>80000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6</v>
      </c>
      <c r="BC1011" s="1">
        <v>1476364</v>
      </c>
      <c r="BD1011" t="s">
        <v>74</v>
      </c>
      <c r="BE1011" t="s">
        <v>5299</v>
      </c>
      <c r="BF1011" t="s">
        <v>5300</v>
      </c>
      <c r="BH1011" t="s">
        <v>136</v>
      </c>
      <c r="BI1011" t="s">
        <v>333</v>
      </c>
      <c r="BJ1011" t="s">
        <v>125</v>
      </c>
      <c r="BM1011">
        <v>0</v>
      </c>
      <c r="BN1011">
        <v>2</v>
      </c>
      <c r="BO1011">
        <v>2</v>
      </c>
      <c r="BP1011" t="s">
        <v>80</v>
      </c>
      <c r="BR1011">
        <v>0</v>
      </c>
      <c r="BS1011">
        <v>6</v>
      </c>
      <c r="BU1011">
        <v>1345455</v>
      </c>
    </row>
    <row r="1012" spans="1:73" x14ac:dyDescent="0.3">
      <c r="A1012" t="s">
        <v>5301</v>
      </c>
      <c r="B1012">
        <v>0</v>
      </c>
      <c r="C1012">
        <v>0</v>
      </c>
      <c r="D1012">
        <v>12</v>
      </c>
      <c r="E1012">
        <v>8947394</v>
      </c>
      <c r="F1012">
        <v>0</v>
      </c>
      <c r="G1012">
        <v>0</v>
      </c>
      <c r="H1012">
        <v>20</v>
      </c>
      <c r="I1012">
        <v>614788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82993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27</v>
      </c>
      <c r="BC1012" s="1">
        <v>18394108</v>
      </c>
      <c r="BD1012" t="s">
        <v>74</v>
      </c>
      <c r="BE1012" t="s">
        <v>5302</v>
      </c>
      <c r="BF1012" t="s">
        <v>3229</v>
      </c>
      <c r="BH1012" t="s">
        <v>77</v>
      </c>
      <c r="BI1012" t="s">
        <v>593</v>
      </c>
      <c r="BJ1012" t="s">
        <v>79</v>
      </c>
      <c r="BM1012">
        <v>1</v>
      </c>
      <c r="BN1012">
        <v>2</v>
      </c>
      <c r="BO1012">
        <v>3</v>
      </c>
      <c r="BP1012" t="s">
        <v>80</v>
      </c>
      <c r="BR1012">
        <v>0</v>
      </c>
      <c r="BS1012">
        <v>4</v>
      </c>
      <c r="BU1012">
        <v>9645175</v>
      </c>
    </row>
    <row r="1013" spans="1:73" x14ac:dyDescent="0.3">
      <c r="A1013" t="s">
        <v>5303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96439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 s="1">
        <v>96439</v>
      </c>
      <c r="BD1013" t="s">
        <v>74</v>
      </c>
      <c r="BE1013" t="s">
        <v>5304</v>
      </c>
      <c r="BF1013" t="s">
        <v>5152</v>
      </c>
      <c r="BH1013" t="s">
        <v>77</v>
      </c>
      <c r="BI1013" t="s">
        <v>84</v>
      </c>
      <c r="BJ1013" t="s">
        <v>79</v>
      </c>
      <c r="BM1013">
        <v>1</v>
      </c>
      <c r="BN1013">
        <v>0</v>
      </c>
      <c r="BO1013">
        <v>1</v>
      </c>
      <c r="BP1013" t="s">
        <v>80</v>
      </c>
      <c r="BR1013">
        <v>0</v>
      </c>
      <c r="BS1013">
        <v>0</v>
      </c>
      <c r="BU1013">
        <v>96439</v>
      </c>
    </row>
    <row r="1014" spans="1:73" x14ac:dyDescent="0.3">
      <c r="A1014" t="s">
        <v>5305</v>
      </c>
      <c r="B1014">
        <v>0</v>
      </c>
      <c r="C1014">
        <v>0</v>
      </c>
      <c r="D1014">
        <v>5</v>
      </c>
      <c r="E1014">
        <v>627247</v>
      </c>
      <c r="F1014">
        <v>0</v>
      </c>
      <c r="G1014">
        <v>0</v>
      </c>
      <c r="H1014">
        <v>8</v>
      </c>
      <c r="I1014">
        <v>214494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10</v>
      </c>
      <c r="BC1014" s="1">
        <v>1254494</v>
      </c>
      <c r="BD1014" t="s">
        <v>74</v>
      </c>
      <c r="BE1014" t="s">
        <v>5306</v>
      </c>
      <c r="BF1014" t="s">
        <v>5307</v>
      </c>
      <c r="BH1014" t="s">
        <v>77</v>
      </c>
      <c r="BI1014" t="s">
        <v>593</v>
      </c>
      <c r="BJ1014" t="s">
        <v>79</v>
      </c>
      <c r="BM1014">
        <v>0</v>
      </c>
      <c r="BN1014">
        <v>2</v>
      </c>
      <c r="BO1014">
        <v>2</v>
      </c>
      <c r="BP1014" t="s">
        <v>80</v>
      </c>
      <c r="BR1014">
        <v>0</v>
      </c>
      <c r="BS1014">
        <v>6</v>
      </c>
      <c r="BU1014">
        <v>841741</v>
      </c>
    </row>
    <row r="1015" spans="1:73" x14ac:dyDescent="0.3">
      <c r="A1015" t="s">
        <v>5308</v>
      </c>
      <c r="B1015">
        <v>0</v>
      </c>
      <c r="C1015">
        <v>0</v>
      </c>
      <c r="D1015">
        <v>1</v>
      </c>
      <c r="E1015">
        <v>163636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2</v>
      </c>
      <c r="BC1015" s="1">
        <v>327272</v>
      </c>
      <c r="BD1015" t="s">
        <v>74</v>
      </c>
      <c r="BE1015" t="s">
        <v>5309</v>
      </c>
      <c r="BF1015" t="s">
        <v>5310</v>
      </c>
      <c r="BH1015" t="s">
        <v>77</v>
      </c>
      <c r="BI1015" t="s">
        <v>593</v>
      </c>
      <c r="BJ1015" t="s">
        <v>79</v>
      </c>
      <c r="BM1015">
        <v>0</v>
      </c>
      <c r="BN1015">
        <v>1</v>
      </c>
      <c r="BO1015">
        <v>1</v>
      </c>
      <c r="BP1015" t="s">
        <v>80</v>
      </c>
      <c r="BR1015">
        <v>0</v>
      </c>
      <c r="BS1015">
        <v>6</v>
      </c>
      <c r="BU1015">
        <v>163636</v>
      </c>
    </row>
    <row r="1016" spans="1:73" x14ac:dyDescent="0.3">
      <c r="A1016" t="s">
        <v>5311</v>
      </c>
      <c r="B1016">
        <v>0</v>
      </c>
      <c r="C1016">
        <v>0</v>
      </c>
      <c r="D1016">
        <v>1</v>
      </c>
      <c r="E1016">
        <v>520000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2</v>
      </c>
      <c r="BC1016" s="1">
        <v>1040000</v>
      </c>
      <c r="BD1016" t="s">
        <v>74</v>
      </c>
      <c r="BE1016" t="s">
        <v>5312</v>
      </c>
      <c r="BF1016" t="s">
        <v>5313</v>
      </c>
      <c r="BH1016" t="s">
        <v>175</v>
      </c>
      <c r="BI1016" t="s">
        <v>176</v>
      </c>
      <c r="BJ1016" t="s">
        <v>125</v>
      </c>
      <c r="BM1016">
        <v>0</v>
      </c>
      <c r="BN1016">
        <v>1</v>
      </c>
      <c r="BO1016">
        <v>1</v>
      </c>
      <c r="BP1016" t="s">
        <v>80</v>
      </c>
      <c r="BR1016">
        <v>0</v>
      </c>
      <c r="BS1016">
        <v>6</v>
      </c>
      <c r="BU1016">
        <v>520000</v>
      </c>
    </row>
    <row r="1017" spans="1:73" x14ac:dyDescent="0.3">
      <c r="A1017" t="s">
        <v>5317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 s="1">
        <v>78585</v>
      </c>
      <c r="BD1017" t="s">
        <v>74</v>
      </c>
      <c r="BE1017" t="s">
        <v>5318</v>
      </c>
      <c r="BF1017" t="s">
        <v>5319</v>
      </c>
      <c r="BM1017">
        <v>0</v>
      </c>
      <c r="BN1017">
        <v>0</v>
      </c>
      <c r="BO1017">
        <v>0</v>
      </c>
      <c r="BP1017" t="s">
        <v>80</v>
      </c>
      <c r="BR1017">
        <v>0</v>
      </c>
      <c r="BS1017">
        <v>0</v>
      </c>
      <c r="BU1017">
        <v>0</v>
      </c>
    </row>
    <row r="1018" spans="1:73" x14ac:dyDescent="0.3">
      <c r="A1018" t="s">
        <v>5320</v>
      </c>
      <c r="B1018">
        <v>3</v>
      </c>
      <c r="C1018">
        <v>3556966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73535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6</v>
      </c>
      <c r="BC1018" s="1">
        <v>3723828</v>
      </c>
      <c r="BD1018" t="s">
        <v>74</v>
      </c>
      <c r="BE1018" t="s">
        <v>5321</v>
      </c>
      <c r="BF1018" t="s">
        <v>962</v>
      </c>
      <c r="BH1018" t="s">
        <v>77</v>
      </c>
      <c r="BI1018" t="s">
        <v>593</v>
      </c>
      <c r="BJ1018" t="s">
        <v>79</v>
      </c>
      <c r="BM1018">
        <v>1</v>
      </c>
      <c r="BN1018">
        <v>1</v>
      </c>
      <c r="BO1018">
        <v>2</v>
      </c>
      <c r="BP1018" t="s">
        <v>80</v>
      </c>
      <c r="BR1018">
        <v>0</v>
      </c>
      <c r="BS1018">
        <v>6</v>
      </c>
      <c r="BU1018">
        <v>3630501</v>
      </c>
    </row>
    <row r="1019" spans="1:73" x14ac:dyDescent="0.3">
      <c r="A1019" t="s">
        <v>5322</v>
      </c>
      <c r="B1019">
        <v>0</v>
      </c>
      <c r="C1019">
        <v>0</v>
      </c>
      <c r="D1019">
        <v>1</v>
      </c>
      <c r="E1019">
        <v>153000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 s="1">
        <v>153000</v>
      </c>
      <c r="BD1019" t="s">
        <v>74</v>
      </c>
      <c r="BE1019" t="s">
        <v>5323</v>
      </c>
      <c r="BF1019" t="s">
        <v>5324</v>
      </c>
      <c r="BH1019" t="s">
        <v>77</v>
      </c>
      <c r="BI1019" t="s">
        <v>593</v>
      </c>
      <c r="BJ1019" t="s">
        <v>79</v>
      </c>
      <c r="BM1019">
        <v>0</v>
      </c>
      <c r="BN1019">
        <v>1</v>
      </c>
      <c r="BO1019">
        <v>1</v>
      </c>
      <c r="BP1019" t="s">
        <v>80</v>
      </c>
      <c r="BR1019">
        <v>0</v>
      </c>
      <c r="BS1019">
        <v>6</v>
      </c>
      <c r="BU1019">
        <v>153000</v>
      </c>
    </row>
    <row r="1020" spans="1:73" x14ac:dyDescent="0.3">
      <c r="A1020" t="s">
        <v>5325</v>
      </c>
      <c r="B1020">
        <v>0</v>
      </c>
      <c r="C1020">
        <v>0</v>
      </c>
      <c r="D1020">
        <v>2</v>
      </c>
      <c r="E1020">
        <v>320681</v>
      </c>
      <c r="F1020">
        <v>0</v>
      </c>
      <c r="G1020">
        <v>0</v>
      </c>
      <c r="H1020">
        <v>2</v>
      </c>
      <c r="I1020">
        <v>65362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4</v>
      </c>
      <c r="BC1020" s="1">
        <v>641362</v>
      </c>
      <c r="BD1020" t="s">
        <v>74</v>
      </c>
      <c r="BE1020" t="s">
        <v>5326</v>
      </c>
      <c r="BF1020" t="s">
        <v>5327</v>
      </c>
      <c r="BH1020" t="s">
        <v>77</v>
      </c>
      <c r="BI1020" t="s">
        <v>574</v>
      </c>
      <c r="BJ1020" t="s">
        <v>79</v>
      </c>
      <c r="BM1020">
        <v>0</v>
      </c>
      <c r="BN1020">
        <v>2</v>
      </c>
      <c r="BO1020">
        <v>2</v>
      </c>
      <c r="BP1020" t="s">
        <v>80</v>
      </c>
      <c r="BR1020">
        <v>0</v>
      </c>
      <c r="BS1020">
        <v>6</v>
      </c>
      <c r="BU1020">
        <v>386043</v>
      </c>
    </row>
    <row r="1021" spans="1:73" x14ac:dyDescent="0.3">
      <c r="A1021" t="s">
        <v>5331</v>
      </c>
      <c r="B1021">
        <v>0</v>
      </c>
      <c r="C1021">
        <v>0</v>
      </c>
      <c r="D1021">
        <v>5</v>
      </c>
      <c r="E1021">
        <v>1681646</v>
      </c>
      <c r="F1021">
        <v>0</v>
      </c>
      <c r="G1021">
        <v>0</v>
      </c>
      <c r="H1021">
        <v>8</v>
      </c>
      <c r="I1021">
        <v>163292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10</v>
      </c>
      <c r="BC1021" s="1">
        <v>3363292</v>
      </c>
      <c r="BD1021" t="s">
        <v>74</v>
      </c>
      <c r="BE1021" t="s">
        <v>5332</v>
      </c>
      <c r="BF1021" t="s">
        <v>3229</v>
      </c>
      <c r="BH1021" t="s">
        <v>77</v>
      </c>
      <c r="BI1021" t="s">
        <v>593</v>
      </c>
      <c r="BJ1021" t="s">
        <v>79</v>
      </c>
      <c r="BM1021">
        <v>0</v>
      </c>
      <c r="BN1021">
        <v>2</v>
      </c>
      <c r="BO1021">
        <v>2</v>
      </c>
      <c r="BP1021" t="s">
        <v>80</v>
      </c>
      <c r="BR1021">
        <v>0</v>
      </c>
      <c r="BS1021">
        <v>6</v>
      </c>
      <c r="BU1021">
        <v>1844938</v>
      </c>
    </row>
    <row r="1022" spans="1:73" x14ac:dyDescent="0.3">
      <c r="A1022" t="s">
        <v>5336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48486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2</v>
      </c>
      <c r="BC1022" s="1">
        <v>48486</v>
      </c>
      <c r="BD1022" t="s">
        <v>74</v>
      </c>
      <c r="BE1022" t="s">
        <v>5337</v>
      </c>
      <c r="BF1022" t="s">
        <v>5338</v>
      </c>
      <c r="BH1022" t="s">
        <v>77</v>
      </c>
      <c r="BI1022" t="s">
        <v>204</v>
      </c>
      <c r="BJ1022" t="s">
        <v>79</v>
      </c>
      <c r="BM1022">
        <v>1</v>
      </c>
      <c r="BN1022">
        <v>0</v>
      </c>
      <c r="BO1022">
        <v>1</v>
      </c>
      <c r="BP1022" t="s">
        <v>80</v>
      </c>
      <c r="BR1022">
        <v>0</v>
      </c>
      <c r="BS1022">
        <v>0</v>
      </c>
      <c r="BU1022">
        <v>48486</v>
      </c>
    </row>
    <row r="1023" spans="1:73" x14ac:dyDescent="0.3">
      <c r="A1023" t="s">
        <v>5339</v>
      </c>
      <c r="B1023">
        <v>0</v>
      </c>
      <c r="C1023">
        <v>0</v>
      </c>
      <c r="D1023">
        <v>1</v>
      </c>
      <c r="E1023">
        <v>222857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2</v>
      </c>
      <c r="BC1023" s="1">
        <v>445714</v>
      </c>
      <c r="BD1023" t="s">
        <v>74</v>
      </c>
      <c r="BE1023" t="s">
        <v>5340</v>
      </c>
      <c r="BF1023" t="s">
        <v>5341</v>
      </c>
      <c r="BH1023" t="s">
        <v>77</v>
      </c>
      <c r="BI1023" t="s">
        <v>84</v>
      </c>
      <c r="BJ1023" t="s">
        <v>79</v>
      </c>
      <c r="BM1023">
        <v>0</v>
      </c>
      <c r="BN1023">
        <v>1</v>
      </c>
      <c r="BO1023">
        <v>1</v>
      </c>
      <c r="BP1023" t="s">
        <v>80</v>
      </c>
      <c r="BR1023">
        <v>0</v>
      </c>
      <c r="BS1023">
        <v>6</v>
      </c>
      <c r="BU1023">
        <v>222857</v>
      </c>
    </row>
    <row r="1024" spans="1:73" x14ac:dyDescent="0.3">
      <c r="A1024" t="s">
        <v>5342</v>
      </c>
      <c r="B1024">
        <v>0</v>
      </c>
      <c r="C1024">
        <v>0</v>
      </c>
      <c r="D1024">
        <v>1</v>
      </c>
      <c r="E1024">
        <v>771428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 s="1">
        <v>771428</v>
      </c>
      <c r="BD1024" t="s">
        <v>74</v>
      </c>
      <c r="BE1024" t="s">
        <v>5343</v>
      </c>
      <c r="BF1024" t="s">
        <v>76</v>
      </c>
      <c r="BH1024" t="s">
        <v>77</v>
      </c>
      <c r="BI1024" t="s">
        <v>78</v>
      </c>
      <c r="BJ1024" t="s">
        <v>79</v>
      </c>
      <c r="BM1024">
        <v>0</v>
      </c>
      <c r="BN1024">
        <v>1</v>
      </c>
      <c r="BO1024">
        <v>1</v>
      </c>
      <c r="BP1024" t="s">
        <v>80</v>
      </c>
      <c r="BR1024">
        <v>0</v>
      </c>
      <c r="BS1024">
        <v>6</v>
      </c>
      <c r="BU1024">
        <v>771428</v>
      </c>
    </row>
    <row r="1025" spans="1:73" x14ac:dyDescent="0.3">
      <c r="A1025" t="s">
        <v>5347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90909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 s="1">
        <v>90909</v>
      </c>
      <c r="BD1025" t="s">
        <v>74</v>
      </c>
      <c r="BE1025" t="s">
        <v>5348</v>
      </c>
      <c r="BF1025" t="s">
        <v>5349</v>
      </c>
      <c r="BH1025" t="s">
        <v>77</v>
      </c>
      <c r="BI1025" t="s">
        <v>88</v>
      </c>
      <c r="BJ1025" t="s">
        <v>79</v>
      </c>
      <c r="BM1025">
        <v>1</v>
      </c>
      <c r="BN1025">
        <v>0</v>
      </c>
      <c r="BO1025">
        <v>1</v>
      </c>
      <c r="BP1025" t="s">
        <v>80</v>
      </c>
      <c r="BR1025">
        <v>0</v>
      </c>
      <c r="BS1025">
        <v>6</v>
      </c>
      <c r="BU1025">
        <v>90909</v>
      </c>
    </row>
    <row r="1026" spans="1:73" x14ac:dyDescent="0.3">
      <c r="A1026" t="s">
        <v>5350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41665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25000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4</v>
      </c>
      <c r="BC1026" s="1">
        <v>133330</v>
      </c>
      <c r="BD1026" t="s">
        <v>74</v>
      </c>
      <c r="BE1026" t="s">
        <v>5351</v>
      </c>
      <c r="BF1026" t="s">
        <v>5352</v>
      </c>
      <c r="BH1026" t="s">
        <v>77</v>
      </c>
      <c r="BI1026" t="s">
        <v>84</v>
      </c>
      <c r="BJ1026" t="s">
        <v>79</v>
      </c>
      <c r="BM1026">
        <v>2</v>
      </c>
      <c r="BN1026">
        <v>0</v>
      </c>
      <c r="BO1026">
        <v>2</v>
      </c>
      <c r="BP1026" t="s">
        <v>80</v>
      </c>
      <c r="BR1026">
        <v>0</v>
      </c>
      <c r="BS1026">
        <v>6</v>
      </c>
      <c r="BU1026">
        <v>66665</v>
      </c>
    </row>
    <row r="1027" spans="1:73" x14ac:dyDescent="0.3">
      <c r="A1027" t="s">
        <v>5353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73535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2</v>
      </c>
      <c r="BC1027" s="1">
        <v>147070</v>
      </c>
      <c r="BD1027" t="s">
        <v>74</v>
      </c>
      <c r="BE1027" t="s">
        <v>5354</v>
      </c>
      <c r="BF1027" t="s">
        <v>5355</v>
      </c>
      <c r="BH1027" t="s">
        <v>77</v>
      </c>
      <c r="BI1027" t="s">
        <v>84</v>
      </c>
      <c r="BJ1027" t="s">
        <v>79</v>
      </c>
      <c r="BM1027">
        <v>1</v>
      </c>
      <c r="BN1027">
        <v>0</v>
      </c>
      <c r="BO1027">
        <v>1</v>
      </c>
      <c r="BP1027" t="s">
        <v>80</v>
      </c>
      <c r="BR1027">
        <v>0</v>
      </c>
      <c r="BS1027">
        <v>6</v>
      </c>
      <c r="BU1027">
        <v>73535</v>
      </c>
    </row>
    <row r="1028" spans="1:73" x14ac:dyDescent="0.3">
      <c r="A1028" t="s">
        <v>5356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96439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 s="1">
        <v>96439</v>
      </c>
      <c r="BD1028" t="s">
        <v>74</v>
      </c>
      <c r="BE1028" t="s">
        <v>5357</v>
      </c>
      <c r="BF1028" t="s">
        <v>5358</v>
      </c>
      <c r="BH1028" t="s">
        <v>77</v>
      </c>
      <c r="BI1028" t="s">
        <v>204</v>
      </c>
      <c r="BJ1028" t="s">
        <v>79</v>
      </c>
      <c r="BM1028">
        <v>1</v>
      </c>
      <c r="BN1028">
        <v>0</v>
      </c>
      <c r="BO1028">
        <v>1</v>
      </c>
      <c r="BP1028" t="s">
        <v>80</v>
      </c>
      <c r="BR1028">
        <v>0</v>
      </c>
      <c r="BS1028">
        <v>6</v>
      </c>
      <c r="BU1028">
        <v>96439</v>
      </c>
    </row>
    <row r="1029" spans="1:73" x14ac:dyDescent="0.3">
      <c r="A1029" t="s">
        <v>5362</v>
      </c>
      <c r="B1029">
        <v>0</v>
      </c>
      <c r="C1029">
        <v>0</v>
      </c>
      <c r="D1029">
        <v>1</v>
      </c>
      <c r="E1029">
        <v>270000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</v>
      </c>
      <c r="BC1029" s="1">
        <v>1940000</v>
      </c>
      <c r="BD1029" t="s">
        <v>74</v>
      </c>
      <c r="BE1029" t="s">
        <v>5363</v>
      </c>
      <c r="BF1029" t="s">
        <v>5364</v>
      </c>
      <c r="BH1029" t="s">
        <v>77</v>
      </c>
      <c r="BI1029" t="s">
        <v>204</v>
      </c>
      <c r="BJ1029" t="s">
        <v>79</v>
      </c>
      <c r="BM1029">
        <v>0</v>
      </c>
      <c r="BN1029">
        <v>1</v>
      </c>
      <c r="BO1029">
        <v>1</v>
      </c>
      <c r="BP1029" t="s">
        <v>80</v>
      </c>
      <c r="BR1029">
        <v>0</v>
      </c>
      <c r="BS1029">
        <v>6</v>
      </c>
      <c r="BU1029">
        <v>270000</v>
      </c>
    </row>
    <row r="1030" spans="1:73" x14ac:dyDescent="0.3">
      <c r="A1030" t="s">
        <v>5368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78585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2</v>
      </c>
      <c r="BC1030" s="1">
        <v>157170</v>
      </c>
      <c r="BD1030" t="s">
        <v>74</v>
      </c>
      <c r="BE1030" t="s">
        <v>5369</v>
      </c>
      <c r="BF1030" t="s">
        <v>5370</v>
      </c>
      <c r="BH1030" t="s">
        <v>77</v>
      </c>
      <c r="BI1030" t="s">
        <v>88</v>
      </c>
      <c r="BJ1030" t="s">
        <v>79</v>
      </c>
      <c r="BM1030">
        <v>1</v>
      </c>
      <c r="BN1030">
        <v>0</v>
      </c>
      <c r="BO1030">
        <v>1</v>
      </c>
      <c r="BP1030" t="s">
        <v>80</v>
      </c>
      <c r="BR1030">
        <v>0</v>
      </c>
      <c r="BS1030">
        <v>6</v>
      </c>
      <c r="BU1030">
        <v>78585</v>
      </c>
    </row>
    <row r="1031" spans="1:73" x14ac:dyDescent="0.3">
      <c r="A1031" t="s">
        <v>5371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73535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 s="1">
        <v>73535</v>
      </c>
      <c r="BD1031" t="s">
        <v>74</v>
      </c>
      <c r="BE1031" t="s">
        <v>5372</v>
      </c>
      <c r="BF1031" t="s">
        <v>5373</v>
      </c>
      <c r="BH1031" t="s">
        <v>77</v>
      </c>
      <c r="BI1031" t="s">
        <v>574</v>
      </c>
      <c r="BJ1031" t="s">
        <v>79</v>
      </c>
      <c r="BM1031">
        <v>1</v>
      </c>
      <c r="BN1031">
        <v>0</v>
      </c>
      <c r="BO1031">
        <v>1</v>
      </c>
      <c r="BP1031" t="s">
        <v>80</v>
      </c>
      <c r="BR1031">
        <v>0</v>
      </c>
      <c r="BS1031">
        <v>0</v>
      </c>
      <c r="BU1031">
        <v>73535</v>
      </c>
    </row>
    <row r="1032" spans="1:73" x14ac:dyDescent="0.3">
      <c r="A1032" t="s">
        <v>5374</v>
      </c>
      <c r="B1032">
        <v>1</v>
      </c>
      <c r="C1032">
        <v>325326</v>
      </c>
      <c r="D1032">
        <v>3</v>
      </c>
      <c r="E1032">
        <v>840760</v>
      </c>
      <c r="F1032">
        <v>0</v>
      </c>
      <c r="G1032">
        <v>0</v>
      </c>
      <c r="H1032">
        <v>4</v>
      </c>
      <c r="I1032">
        <v>381520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7</v>
      </c>
      <c r="BC1032" s="1">
        <v>2006846</v>
      </c>
      <c r="BD1032" t="s">
        <v>74</v>
      </c>
      <c r="BE1032" t="s">
        <v>5375</v>
      </c>
      <c r="BF1032" t="s">
        <v>4133</v>
      </c>
      <c r="BH1032" t="s">
        <v>77</v>
      </c>
      <c r="BI1032" t="s">
        <v>92</v>
      </c>
      <c r="BJ1032" t="s">
        <v>79</v>
      </c>
      <c r="BM1032">
        <v>0</v>
      </c>
      <c r="BN1032">
        <v>3</v>
      </c>
      <c r="BO1032">
        <v>3</v>
      </c>
      <c r="BP1032" t="s">
        <v>80</v>
      </c>
      <c r="BR1032">
        <v>0</v>
      </c>
      <c r="BS1032">
        <v>6</v>
      </c>
      <c r="BU1032">
        <v>1547606</v>
      </c>
    </row>
    <row r="1033" spans="1:73" x14ac:dyDescent="0.3">
      <c r="A1033" t="s">
        <v>5376</v>
      </c>
      <c r="B1033">
        <v>0</v>
      </c>
      <c r="C1033">
        <v>0</v>
      </c>
      <c r="D1033">
        <v>1</v>
      </c>
      <c r="E1033">
        <v>270000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82000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</v>
      </c>
      <c r="BC1033" s="1">
        <v>352000</v>
      </c>
      <c r="BD1033" t="s">
        <v>74</v>
      </c>
      <c r="BE1033" t="s">
        <v>5377</v>
      </c>
      <c r="BF1033" t="s">
        <v>5378</v>
      </c>
      <c r="BH1033" t="s">
        <v>77</v>
      </c>
      <c r="BI1033" t="s">
        <v>593</v>
      </c>
      <c r="BJ1033" t="s">
        <v>79</v>
      </c>
      <c r="BM1033">
        <v>0</v>
      </c>
      <c r="BN1033">
        <v>2</v>
      </c>
      <c r="BO1033">
        <v>2</v>
      </c>
      <c r="BP1033" t="s">
        <v>80</v>
      </c>
      <c r="BR1033">
        <v>0</v>
      </c>
      <c r="BS1033">
        <v>6</v>
      </c>
      <c r="BU1033">
        <v>352000</v>
      </c>
    </row>
    <row r="1034" spans="1:73" x14ac:dyDescent="0.3">
      <c r="A1034" t="s">
        <v>5382</v>
      </c>
      <c r="B1034">
        <v>0</v>
      </c>
      <c r="C1034">
        <v>0</v>
      </c>
      <c r="D1034">
        <v>1</v>
      </c>
      <c r="E1034">
        <v>327273</v>
      </c>
      <c r="F1034">
        <v>0</v>
      </c>
      <c r="G1034">
        <v>0</v>
      </c>
      <c r="H1034">
        <v>1</v>
      </c>
      <c r="I1034">
        <v>20000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3</v>
      </c>
      <c r="BC1034" s="1">
        <v>365455</v>
      </c>
      <c r="BD1034" t="s">
        <v>74</v>
      </c>
      <c r="BE1034" t="s">
        <v>5383</v>
      </c>
      <c r="BF1034" t="s">
        <v>5384</v>
      </c>
      <c r="BH1034" t="s">
        <v>77</v>
      </c>
      <c r="BI1034" t="s">
        <v>281</v>
      </c>
      <c r="BJ1034" t="s">
        <v>79</v>
      </c>
      <c r="BM1034">
        <v>0</v>
      </c>
      <c r="BN1034">
        <v>2</v>
      </c>
      <c r="BO1034">
        <v>2</v>
      </c>
      <c r="BP1034" t="s">
        <v>514</v>
      </c>
      <c r="BR1034">
        <v>0</v>
      </c>
      <c r="BS1034">
        <v>6</v>
      </c>
      <c r="BU1034">
        <v>347273</v>
      </c>
    </row>
    <row r="1035" spans="1:73" x14ac:dyDescent="0.3">
      <c r="A1035" t="s">
        <v>5385</v>
      </c>
      <c r="B1035">
        <v>8</v>
      </c>
      <c r="C1035">
        <v>2142362</v>
      </c>
      <c r="D1035">
        <v>0</v>
      </c>
      <c r="E1035">
        <v>0</v>
      </c>
      <c r="F1035">
        <v>0</v>
      </c>
      <c r="G1035">
        <v>0</v>
      </c>
      <c r="H1035">
        <v>2</v>
      </c>
      <c r="I1035">
        <v>33637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73535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19792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14</v>
      </c>
      <c r="BC1035" s="1">
        <v>2362653</v>
      </c>
      <c r="BD1035" t="s">
        <v>74</v>
      </c>
      <c r="BE1035" t="s">
        <v>5386</v>
      </c>
      <c r="BF1035" t="s">
        <v>5387</v>
      </c>
      <c r="BH1035" t="s">
        <v>77</v>
      </c>
      <c r="BI1035" t="s">
        <v>574</v>
      </c>
      <c r="BJ1035" t="s">
        <v>79</v>
      </c>
      <c r="BM1035">
        <v>2</v>
      </c>
      <c r="BN1035">
        <v>2</v>
      </c>
      <c r="BO1035">
        <v>4</v>
      </c>
      <c r="BP1035" t="s">
        <v>80</v>
      </c>
      <c r="BR1035">
        <v>0</v>
      </c>
      <c r="BS1035">
        <v>6</v>
      </c>
      <c r="BU1035">
        <v>2269326</v>
      </c>
    </row>
    <row r="1036" spans="1:73" x14ac:dyDescent="0.3">
      <c r="A1036" t="s">
        <v>5391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19792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2</v>
      </c>
      <c r="BC1036" s="1">
        <v>39584</v>
      </c>
      <c r="BD1036" t="s">
        <v>74</v>
      </c>
      <c r="BE1036" t="s">
        <v>5392</v>
      </c>
      <c r="BF1036" t="s">
        <v>5393</v>
      </c>
      <c r="BH1036" t="s">
        <v>77</v>
      </c>
      <c r="BI1036" t="s">
        <v>92</v>
      </c>
      <c r="BJ1036" t="s">
        <v>79</v>
      </c>
      <c r="BM1036">
        <v>1</v>
      </c>
      <c r="BN1036">
        <v>0</v>
      </c>
      <c r="BO1036">
        <v>1</v>
      </c>
      <c r="BP1036" t="s">
        <v>80</v>
      </c>
      <c r="BR1036">
        <v>0</v>
      </c>
      <c r="BS1036">
        <v>6</v>
      </c>
      <c r="BU1036">
        <v>19792</v>
      </c>
    </row>
    <row r="1037" spans="1:73" x14ac:dyDescent="0.3">
      <c r="A1037" t="s">
        <v>5403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 s="1">
        <v>333334</v>
      </c>
      <c r="BD1037" t="s">
        <v>74</v>
      </c>
      <c r="BE1037" t="s">
        <v>5404</v>
      </c>
      <c r="BF1037" t="s">
        <v>5405</v>
      </c>
      <c r="BM1037">
        <v>0</v>
      </c>
      <c r="BN1037">
        <v>0</v>
      </c>
      <c r="BO1037">
        <v>0</v>
      </c>
      <c r="BP1037" t="s">
        <v>80</v>
      </c>
      <c r="BR1037">
        <v>0</v>
      </c>
      <c r="BS1037">
        <v>6</v>
      </c>
      <c r="BU1037">
        <v>0</v>
      </c>
    </row>
    <row r="1038" spans="1:73" x14ac:dyDescent="0.3">
      <c r="A1038" t="s">
        <v>5412</v>
      </c>
      <c r="B1038">
        <v>0</v>
      </c>
      <c r="C1038">
        <v>0</v>
      </c>
      <c r="D1038">
        <v>2</v>
      </c>
      <c r="E1038">
        <v>1310400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3</v>
      </c>
      <c r="BC1038" s="1">
        <v>2390400</v>
      </c>
      <c r="BD1038" t="s">
        <v>74</v>
      </c>
      <c r="BE1038" t="s">
        <v>5413</v>
      </c>
      <c r="BF1038" t="s">
        <v>5414</v>
      </c>
      <c r="BH1038" t="s">
        <v>77</v>
      </c>
      <c r="BI1038" t="s">
        <v>574</v>
      </c>
      <c r="BJ1038" t="s">
        <v>79</v>
      </c>
      <c r="BM1038">
        <v>0</v>
      </c>
      <c r="BN1038">
        <v>1</v>
      </c>
      <c r="BO1038">
        <v>1</v>
      </c>
      <c r="BP1038" t="s">
        <v>80</v>
      </c>
      <c r="BR1038">
        <v>0</v>
      </c>
      <c r="BS1038">
        <v>6</v>
      </c>
      <c r="BU1038">
        <v>1310400</v>
      </c>
    </row>
    <row r="1039" spans="1:73" x14ac:dyDescent="0.3">
      <c r="A1039" t="s">
        <v>5418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2</v>
      </c>
      <c r="I1039">
        <v>61709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2</v>
      </c>
      <c r="BC1039" s="1">
        <v>61709</v>
      </c>
      <c r="BD1039" t="s">
        <v>74</v>
      </c>
      <c r="BE1039" t="s">
        <v>5419</v>
      </c>
      <c r="BF1039" t="s">
        <v>5420</v>
      </c>
      <c r="BH1039" t="s">
        <v>77</v>
      </c>
      <c r="BI1039" t="s">
        <v>129</v>
      </c>
      <c r="BJ1039" t="s">
        <v>79</v>
      </c>
      <c r="BM1039">
        <v>0</v>
      </c>
      <c r="BN1039">
        <v>1</v>
      </c>
      <c r="BO1039">
        <v>1</v>
      </c>
      <c r="BP1039" t="s">
        <v>80</v>
      </c>
      <c r="BR1039">
        <v>0</v>
      </c>
      <c r="BS1039">
        <v>6</v>
      </c>
      <c r="BU1039">
        <v>61709</v>
      </c>
    </row>
    <row r="1040" spans="1:73" x14ac:dyDescent="0.3">
      <c r="A1040" t="s">
        <v>5424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38008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 s="1">
        <v>38008</v>
      </c>
      <c r="BD1040" t="s">
        <v>74</v>
      </c>
      <c r="BE1040" t="s">
        <v>5425</v>
      </c>
      <c r="BF1040" t="s">
        <v>5426</v>
      </c>
      <c r="BH1040" t="s">
        <v>77</v>
      </c>
      <c r="BI1040" t="s">
        <v>204</v>
      </c>
      <c r="BJ1040" t="s">
        <v>79</v>
      </c>
      <c r="BM1040">
        <v>0</v>
      </c>
      <c r="BN1040">
        <v>1</v>
      </c>
      <c r="BO1040">
        <v>1</v>
      </c>
      <c r="BP1040" t="s">
        <v>80</v>
      </c>
      <c r="BR1040">
        <v>0</v>
      </c>
      <c r="BS1040">
        <v>6</v>
      </c>
      <c r="BU1040">
        <v>38008</v>
      </c>
    </row>
    <row r="1041" spans="1:73" x14ac:dyDescent="0.3">
      <c r="A1041" t="s">
        <v>5433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20000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 s="1">
        <v>20000</v>
      </c>
      <c r="BD1041" t="s">
        <v>74</v>
      </c>
      <c r="BE1041" t="s">
        <v>5434</v>
      </c>
      <c r="BF1041" t="s">
        <v>5435</v>
      </c>
      <c r="BH1041" t="s">
        <v>77</v>
      </c>
      <c r="BI1041" t="s">
        <v>78</v>
      </c>
      <c r="BJ1041" t="s">
        <v>79</v>
      </c>
      <c r="BM1041">
        <v>0</v>
      </c>
      <c r="BN1041">
        <v>1</v>
      </c>
      <c r="BO1041">
        <v>1</v>
      </c>
      <c r="BP1041" t="s">
        <v>80</v>
      </c>
      <c r="BR1041">
        <v>0</v>
      </c>
      <c r="BS1041">
        <v>6</v>
      </c>
      <c r="BU1041">
        <v>20000</v>
      </c>
    </row>
    <row r="1042" spans="1:73" x14ac:dyDescent="0.3">
      <c r="A1042" t="s">
        <v>5436</v>
      </c>
      <c r="B1042">
        <v>0</v>
      </c>
      <c r="C1042">
        <v>0</v>
      </c>
      <c r="D1042">
        <v>1</v>
      </c>
      <c r="E1042">
        <v>53411</v>
      </c>
      <c r="F1042">
        <v>0</v>
      </c>
      <c r="G1042">
        <v>0</v>
      </c>
      <c r="H1042">
        <v>2</v>
      </c>
      <c r="I1042">
        <v>106822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</v>
      </c>
      <c r="BC1042" s="1">
        <v>106822</v>
      </c>
      <c r="BD1042" t="s">
        <v>74</v>
      </c>
      <c r="BE1042" t="s">
        <v>5437</v>
      </c>
      <c r="BF1042" t="s">
        <v>5438</v>
      </c>
      <c r="BH1042" t="s">
        <v>77</v>
      </c>
      <c r="BI1042" t="s">
        <v>593</v>
      </c>
      <c r="BJ1042" t="s">
        <v>79</v>
      </c>
      <c r="BM1042">
        <v>0</v>
      </c>
      <c r="BN1042">
        <v>2</v>
      </c>
      <c r="BO1042">
        <v>2</v>
      </c>
      <c r="BP1042" t="s">
        <v>80</v>
      </c>
      <c r="BR1042">
        <v>0</v>
      </c>
      <c r="BS1042">
        <v>6</v>
      </c>
      <c r="BU1042">
        <v>160233</v>
      </c>
    </row>
    <row r="1043" spans="1:73" x14ac:dyDescent="0.3">
      <c r="A1043" t="s">
        <v>5439</v>
      </c>
      <c r="B1043">
        <v>0</v>
      </c>
      <c r="C1043">
        <v>0</v>
      </c>
      <c r="D1043">
        <v>2</v>
      </c>
      <c r="E1043">
        <v>376000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4</v>
      </c>
      <c r="BC1043" s="1">
        <v>752000</v>
      </c>
      <c r="BD1043" t="s">
        <v>74</v>
      </c>
      <c r="BE1043" t="s">
        <v>5440</v>
      </c>
      <c r="BF1043" t="s">
        <v>5441</v>
      </c>
      <c r="BH1043" t="s">
        <v>77</v>
      </c>
      <c r="BI1043" t="s">
        <v>204</v>
      </c>
      <c r="BJ1043" t="s">
        <v>79</v>
      </c>
      <c r="BM1043">
        <v>0</v>
      </c>
      <c r="BN1043">
        <v>1</v>
      </c>
      <c r="BO1043">
        <v>1</v>
      </c>
      <c r="BP1043" t="s">
        <v>80</v>
      </c>
      <c r="BR1043">
        <v>0</v>
      </c>
      <c r="BS1043">
        <v>6</v>
      </c>
      <c r="BU1043">
        <v>376000</v>
      </c>
    </row>
    <row r="1044" spans="1:73" x14ac:dyDescent="0.3">
      <c r="A1044" t="s">
        <v>5442</v>
      </c>
      <c r="B1044">
        <v>0</v>
      </c>
      <c r="C1044">
        <v>0</v>
      </c>
      <c r="D1044">
        <v>2</v>
      </c>
      <c r="E1044">
        <v>196643</v>
      </c>
      <c r="F1044">
        <v>0</v>
      </c>
      <c r="G1044">
        <v>0</v>
      </c>
      <c r="H1044">
        <v>2</v>
      </c>
      <c r="I1044">
        <v>40000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7</v>
      </c>
      <c r="BC1044" s="1">
        <v>816642</v>
      </c>
      <c r="BD1044" t="s">
        <v>74</v>
      </c>
      <c r="BE1044" t="s">
        <v>5443</v>
      </c>
      <c r="BF1044" t="s">
        <v>5444</v>
      </c>
      <c r="BH1044" t="s">
        <v>77</v>
      </c>
      <c r="BI1044" t="s">
        <v>204</v>
      </c>
      <c r="BJ1044" t="s">
        <v>79</v>
      </c>
      <c r="BM1044">
        <v>0</v>
      </c>
      <c r="BN1044">
        <v>2</v>
      </c>
      <c r="BO1044">
        <v>2</v>
      </c>
      <c r="BP1044" t="s">
        <v>80</v>
      </c>
      <c r="BR1044">
        <v>0</v>
      </c>
      <c r="BS1044">
        <v>6</v>
      </c>
      <c r="BU1044">
        <v>236643</v>
      </c>
    </row>
    <row r="1045" spans="1:73" x14ac:dyDescent="0.3">
      <c r="A1045" t="s">
        <v>5448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73535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2</v>
      </c>
      <c r="BC1045" s="1">
        <v>152120</v>
      </c>
      <c r="BD1045" t="s">
        <v>74</v>
      </c>
      <c r="BE1045" t="s">
        <v>5449</v>
      </c>
      <c r="BF1045" t="s">
        <v>3824</v>
      </c>
      <c r="BH1045" t="s">
        <v>77</v>
      </c>
      <c r="BI1045" t="s">
        <v>593</v>
      </c>
      <c r="BJ1045" t="s">
        <v>79</v>
      </c>
      <c r="BM1045">
        <v>1</v>
      </c>
      <c r="BN1045">
        <v>0</v>
      </c>
      <c r="BO1045">
        <v>1</v>
      </c>
      <c r="BP1045" t="s">
        <v>80</v>
      </c>
      <c r="BR1045">
        <v>0</v>
      </c>
      <c r="BS1045">
        <v>0</v>
      </c>
      <c r="BU1045">
        <v>73535</v>
      </c>
    </row>
    <row r="1046" spans="1:73" x14ac:dyDescent="0.3">
      <c r="A1046" t="s">
        <v>5456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90909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 s="1">
        <v>90909</v>
      </c>
      <c r="BD1046" t="s">
        <v>74</v>
      </c>
      <c r="BE1046" t="s">
        <v>5457</v>
      </c>
      <c r="BF1046" t="s">
        <v>5458</v>
      </c>
      <c r="BH1046" t="s">
        <v>77</v>
      </c>
      <c r="BI1046" t="s">
        <v>574</v>
      </c>
      <c r="BJ1046" t="s">
        <v>79</v>
      </c>
      <c r="BM1046">
        <v>1</v>
      </c>
      <c r="BN1046">
        <v>0</v>
      </c>
      <c r="BO1046">
        <v>1</v>
      </c>
      <c r="BP1046" t="s">
        <v>80</v>
      </c>
      <c r="BR1046">
        <v>0</v>
      </c>
      <c r="BS1046">
        <v>6</v>
      </c>
      <c r="BU1046">
        <v>90909</v>
      </c>
    </row>
    <row r="1047" spans="1:73" x14ac:dyDescent="0.3">
      <c r="A1047" t="s">
        <v>5461</v>
      </c>
      <c r="B1047">
        <v>0</v>
      </c>
      <c r="C1047">
        <v>0</v>
      </c>
      <c r="D1047">
        <v>1</v>
      </c>
      <c r="E1047">
        <v>274285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 s="1">
        <v>274285</v>
      </c>
      <c r="BD1047" t="s">
        <v>74</v>
      </c>
      <c r="BE1047" t="s">
        <v>5462</v>
      </c>
      <c r="BF1047" t="s">
        <v>5463</v>
      </c>
      <c r="BH1047" t="s">
        <v>77</v>
      </c>
      <c r="BI1047" t="s">
        <v>281</v>
      </c>
      <c r="BJ1047" t="s">
        <v>79</v>
      </c>
      <c r="BM1047">
        <v>0</v>
      </c>
      <c r="BN1047">
        <v>1</v>
      </c>
      <c r="BO1047">
        <v>1</v>
      </c>
      <c r="BP1047" t="s">
        <v>80</v>
      </c>
      <c r="BR1047">
        <v>0</v>
      </c>
      <c r="BS1047">
        <v>6</v>
      </c>
      <c r="BU1047">
        <v>274285</v>
      </c>
    </row>
    <row r="1048" spans="1:73" x14ac:dyDescent="0.3">
      <c r="A1048" t="s">
        <v>5466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2</v>
      </c>
      <c r="Z1048">
        <v>147070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3</v>
      </c>
      <c r="BC1048" s="1">
        <v>220605</v>
      </c>
      <c r="BD1048" t="s">
        <v>74</v>
      </c>
      <c r="BE1048" t="s">
        <v>5467</v>
      </c>
      <c r="BF1048" t="s">
        <v>5468</v>
      </c>
      <c r="BH1048" t="s">
        <v>77</v>
      </c>
      <c r="BI1048" t="s">
        <v>88</v>
      </c>
      <c r="BJ1048" t="s">
        <v>79</v>
      </c>
      <c r="BM1048">
        <v>1</v>
      </c>
      <c r="BN1048">
        <v>0</v>
      </c>
      <c r="BO1048">
        <v>1</v>
      </c>
      <c r="BP1048" t="s">
        <v>80</v>
      </c>
      <c r="BR1048">
        <v>0</v>
      </c>
      <c r="BS1048">
        <v>0</v>
      </c>
      <c r="BU1048">
        <v>147070</v>
      </c>
    </row>
    <row r="1049" spans="1:73" x14ac:dyDescent="0.3">
      <c r="A1049" t="s">
        <v>5472</v>
      </c>
      <c r="B1049">
        <v>5</v>
      </c>
      <c r="C1049">
        <v>2125437</v>
      </c>
      <c r="D1049">
        <v>1</v>
      </c>
      <c r="E1049">
        <v>350000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7</v>
      </c>
      <c r="BC1049" s="1">
        <v>2825437</v>
      </c>
      <c r="BD1049" t="s">
        <v>74</v>
      </c>
      <c r="BE1049" t="s">
        <v>5473</v>
      </c>
      <c r="BF1049" t="s">
        <v>5474</v>
      </c>
      <c r="BH1049" t="s">
        <v>136</v>
      </c>
      <c r="BI1049" t="s">
        <v>137</v>
      </c>
      <c r="BJ1049" t="s">
        <v>125</v>
      </c>
      <c r="BM1049">
        <v>0</v>
      </c>
      <c r="BN1049">
        <v>2</v>
      </c>
      <c r="BO1049">
        <v>2</v>
      </c>
      <c r="BP1049" t="s">
        <v>80</v>
      </c>
      <c r="BR1049">
        <v>0</v>
      </c>
      <c r="BS1049">
        <v>6</v>
      </c>
      <c r="BU1049">
        <v>2475437</v>
      </c>
    </row>
    <row r="1050" spans="1:73" x14ac:dyDescent="0.3">
      <c r="A1050" t="s">
        <v>5478</v>
      </c>
      <c r="B1050">
        <v>1</v>
      </c>
      <c r="C1050">
        <v>222727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 s="1">
        <v>222727</v>
      </c>
      <c r="BD1050" t="s">
        <v>74</v>
      </c>
      <c r="BE1050" t="s">
        <v>5479</v>
      </c>
      <c r="BF1050" t="s">
        <v>5480</v>
      </c>
      <c r="BM1050">
        <v>0</v>
      </c>
      <c r="BN1050">
        <v>1</v>
      </c>
      <c r="BO1050">
        <v>1</v>
      </c>
      <c r="BP1050" t="s">
        <v>80</v>
      </c>
      <c r="BR1050">
        <v>0</v>
      </c>
      <c r="BS1050">
        <v>6</v>
      </c>
      <c r="BU1050">
        <v>222727</v>
      </c>
    </row>
    <row r="1051" spans="1:73" x14ac:dyDescent="0.3">
      <c r="A1051" t="s">
        <v>5481</v>
      </c>
      <c r="B1051">
        <v>0</v>
      </c>
      <c r="C1051">
        <v>0</v>
      </c>
      <c r="D1051">
        <v>3</v>
      </c>
      <c r="E1051">
        <v>1076564</v>
      </c>
      <c r="F1051">
        <v>0</v>
      </c>
      <c r="G1051">
        <v>0</v>
      </c>
      <c r="H1051">
        <v>4</v>
      </c>
      <c r="I1051">
        <v>153128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6</v>
      </c>
      <c r="BC1051" s="1">
        <v>2153128</v>
      </c>
      <c r="BD1051" t="s">
        <v>74</v>
      </c>
      <c r="BE1051" t="s">
        <v>5482</v>
      </c>
      <c r="BF1051" t="s">
        <v>5483</v>
      </c>
      <c r="BH1051" t="s">
        <v>77</v>
      </c>
      <c r="BI1051" t="s">
        <v>574</v>
      </c>
      <c r="BJ1051" t="s">
        <v>79</v>
      </c>
      <c r="BM1051">
        <v>0</v>
      </c>
      <c r="BN1051">
        <v>2</v>
      </c>
      <c r="BO1051">
        <v>2</v>
      </c>
      <c r="BP1051" t="s">
        <v>80</v>
      </c>
      <c r="BR1051">
        <v>0</v>
      </c>
      <c r="BS1051">
        <v>6</v>
      </c>
      <c r="BU1051">
        <v>1229692</v>
      </c>
    </row>
    <row r="1052" spans="1:73" x14ac:dyDescent="0.3">
      <c r="A1052" t="s">
        <v>5484</v>
      </c>
      <c r="B1052">
        <v>2</v>
      </c>
      <c r="C1052">
        <v>468569</v>
      </c>
      <c r="D1052">
        <v>1</v>
      </c>
      <c r="E1052">
        <v>150000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4</v>
      </c>
      <c r="BC1052" s="1">
        <v>768569</v>
      </c>
      <c r="BD1052" t="s">
        <v>74</v>
      </c>
      <c r="BE1052" t="s">
        <v>5485</v>
      </c>
      <c r="BF1052" t="s">
        <v>5486</v>
      </c>
      <c r="BH1052" t="s">
        <v>175</v>
      </c>
      <c r="BI1052" t="s">
        <v>176</v>
      </c>
      <c r="BJ1052" t="s">
        <v>125</v>
      </c>
      <c r="BM1052">
        <v>0</v>
      </c>
      <c r="BN1052">
        <v>2</v>
      </c>
      <c r="BO1052">
        <v>2</v>
      </c>
      <c r="BP1052" t="s">
        <v>80</v>
      </c>
      <c r="BR1052">
        <v>0</v>
      </c>
      <c r="BS1052">
        <v>6</v>
      </c>
      <c r="BU1052">
        <v>618569</v>
      </c>
    </row>
    <row r="1053" spans="1:73" x14ac:dyDescent="0.3">
      <c r="A1053" t="s">
        <v>5490</v>
      </c>
      <c r="B1053">
        <v>2</v>
      </c>
      <c r="C1053">
        <v>412383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2</v>
      </c>
      <c r="BC1053" s="1">
        <v>412383</v>
      </c>
      <c r="BD1053" t="s">
        <v>74</v>
      </c>
      <c r="BE1053" t="s">
        <v>5491</v>
      </c>
      <c r="BF1053" t="s">
        <v>5492</v>
      </c>
      <c r="BH1053" t="s">
        <v>77</v>
      </c>
      <c r="BI1053" t="s">
        <v>574</v>
      </c>
      <c r="BJ1053" t="s">
        <v>79</v>
      </c>
      <c r="BM1053">
        <v>0</v>
      </c>
      <c r="BN1053">
        <v>1</v>
      </c>
      <c r="BO1053">
        <v>1</v>
      </c>
      <c r="BP1053" t="s">
        <v>80</v>
      </c>
      <c r="BR1053">
        <v>0</v>
      </c>
      <c r="BS1053">
        <v>0</v>
      </c>
      <c r="BU1053">
        <v>412383</v>
      </c>
    </row>
    <row r="1054" spans="1:73" x14ac:dyDescent="0.3">
      <c r="A1054" t="s">
        <v>5505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73535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</v>
      </c>
      <c r="BC1054" s="1">
        <v>147070</v>
      </c>
      <c r="BD1054" t="s">
        <v>74</v>
      </c>
      <c r="BE1054" t="s">
        <v>5506</v>
      </c>
      <c r="BF1054" t="s">
        <v>5507</v>
      </c>
      <c r="BH1054" t="s">
        <v>77</v>
      </c>
      <c r="BI1054" t="s">
        <v>204</v>
      </c>
      <c r="BJ1054" t="s">
        <v>79</v>
      </c>
      <c r="BM1054">
        <v>1</v>
      </c>
      <c r="BN1054">
        <v>0</v>
      </c>
      <c r="BO1054">
        <v>1</v>
      </c>
      <c r="BP1054" t="s">
        <v>80</v>
      </c>
      <c r="BR1054">
        <v>0</v>
      </c>
      <c r="BS1054">
        <v>6</v>
      </c>
      <c r="BU1054">
        <v>73535</v>
      </c>
    </row>
    <row r="1055" spans="1:73" x14ac:dyDescent="0.3">
      <c r="A1055" t="s">
        <v>5508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73535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2</v>
      </c>
      <c r="BC1055" s="1">
        <v>147070</v>
      </c>
      <c r="BD1055" t="s">
        <v>74</v>
      </c>
      <c r="BE1055" t="s">
        <v>5509</v>
      </c>
      <c r="BF1055" t="s">
        <v>5510</v>
      </c>
      <c r="BH1055" t="s">
        <v>77</v>
      </c>
      <c r="BI1055" t="s">
        <v>92</v>
      </c>
      <c r="BJ1055" t="s">
        <v>79</v>
      </c>
      <c r="BM1055">
        <v>1</v>
      </c>
      <c r="BN1055">
        <v>0</v>
      </c>
      <c r="BO1055">
        <v>1</v>
      </c>
      <c r="BP1055" t="s">
        <v>80</v>
      </c>
      <c r="BR1055">
        <v>0</v>
      </c>
      <c r="BS1055">
        <v>6</v>
      </c>
      <c r="BU1055">
        <v>73535</v>
      </c>
    </row>
    <row r="1056" spans="1:73" x14ac:dyDescent="0.3">
      <c r="A1056" t="s">
        <v>5513</v>
      </c>
      <c r="B1056">
        <v>0</v>
      </c>
      <c r="C1056">
        <v>0</v>
      </c>
      <c r="D1056">
        <v>1</v>
      </c>
      <c r="E1056">
        <v>59500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 s="1">
        <v>59500</v>
      </c>
      <c r="BD1056" t="s">
        <v>74</v>
      </c>
      <c r="BE1056" t="s">
        <v>5514</v>
      </c>
      <c r="BF1056" t="s">
        <v>5515</v>
      </c>
      <c r="BH1056" t="s">
        <v>77</v>
      </c>
      <c r="BI1056" t="s">
        <v>78</v>
      </c>
      <c r="BJ1056" t="s">
        <v>79</v>
      </c>
      <c r="BM1056">
        <v>0</v>
      </c>
      <c r="BN1056">
        <v>1</v>
      </c>
      <c r="BO1056">
        <v>1</v>
      </c>
      <c r="BP1056" t="s">
        <v>80</v>
      </c>
      <c r="BR1056">
        <v>0</v>
      </c>
      <c r="BS1056">
        <v>6</v>
      </c>
      <c r="BU1056">
        <v>59500</v>
      </c>
    </row>
    <row r="1057" spans="1:73" x14ac:dyDescent="0.3">
      <c r="A1057" t="s">
        <v>5516</v>
      </c>
      <c r="B1057">
        <v>0</v>
      </c>
      <c r="C1057">
        <v>0</v>
      </c>
      <c r="D1057">
        <v>1</v>
      </c>
      <c r="E1057">
        <v>650000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 s="1">
        <v>650000</v>
      </c>
      <c r="BD1057" t="s">
        <v>74</v>
      </c>
      <c r="BE1057" t="s">
        <v>5517</v>
      </c>
      <c r="BF1057" t="s">
        <v>5518</v>
      </c>
      <c r="BH1057" t="s">
        <v>77</v>
      </c>
      <c r="BI1057" t="s">
        <v>92</v>
      </c>
      <c r="BJ1057" t="s">
        <v>79</v>
      </c>
      <c r="BM1057">
        <v>0</v>
      </c>
      <c r="BN1057">
        <v>1</v>
      </c>
      <c r="BO1057">
        <v>1</v>
      </c>
      <c r="BP1057" t="s">
        <v>80</v>
      </c>
      <c r="BR1057">
        <v>0</v>
      </c>
      <c r="BS1057">
        <v>6</v>
      </c>
      <c r="BU1057">
        <v>650000</v>
      </c>
    </row>
    <row r="1058" spans="1:73" x14ac:dyDescent="0.3">
      <c r="A1058" t="s">
        <v>5522</v>
      </c>
      <c r="B1058">
        <v>0</v>
      </c>
      <c r="C1058">
        <v>0</v>
      </c>
      <c r="D1058">
        <v>6</v>
      </c>
      <c r="E1058">
        <v>3870910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6</v>
      </c>
      <c r="BC1058" s="1">
        <v>3870910</v>
      </c>
      <c r="BD1058" t="s">
        <v>74</v>
      </c>
      <c r="BE1058" t="s">
        <v>5523</v>
      </c>
      <c r="BF1058" t="s">
        <v>5524</v>
      </c>
      <c r="BH1058" t="s">
        <v>114</v>
      </c>
      <c r="BI1058" t="s">
        <v>221</v>
      </c>
      <c r="BJ1058" t="s">
        <v>79</v>
      </c>
      <c r="BM1058">
        <v>0</v>
      </c>
      <c r="BN1058">
        <v>1</v>
      </c>
      <c r="BO1058">
        <v>1</v>
      </c>
      <c r="BP1058" t="s">
        <v>80</v>
      </c>
      <c r="BR1058">
        <v>0</v>
      </c>
      <c r="BS1058">
        <v>6</v>
      </c>
      <c r="BU1058">
        <v>3870910</v>
      </c>
    </row>
    <row r="1059" spans="1:73" x14ac:dyDescent="0.3">
      <c r="A1059" t="s">
        <v>5525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20000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73535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3</v>
      </c>
      <c r="BC1059" s="1">
        <v>121313</v>
      </c>
      <c r="BD1059" t="s">
        <v>74</v>
      </c>
      <c r="BE1059" t="s">
        <v>5526</v>
      </c>
      <c r="BF1059" t="s">
        <v>5527</v>
      </c>
      <c r="BH1059" t="s">
        <v>77</v>
      </c>
      <c r="BI1059" t="s">
        <v>593</v>
      </c>
      <c r="BJ1059" t="s">
        <v>79</v>
      </c>
      <c r="BM1059">
        <v>1</v>
      </c>
      <c r="BN1059">
        <v>1</v>
      </c>
      <c r="BO1059">
        <v>2</v>
      </c>
      <c r="BP1059" t="s">
        <v>80</v>
      </c>
      <c r="BR1059">
        <v>0</v>
      </c>
      <c r="BS1059">
        <v>6</v>
      </c>
      <c r="BU1059">
        <v>93535</v>
      </c>
    </row>
    <row r="1060" spans="1:73" x14ac:dyDescent="0.3">
      <c r="A1060" t="s">
        <v>5528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</v>
      </c>
      <c r="I1060">
        <v>40000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2</v>
      </c>
      <c r="BC1060" s="1">
        <v>40000</v>
      </c>
      <c r="BD1060" t="s">
        <v>74</v>
      </c>
      <c r="BE1060" t="s">
        <v>5529</v>
      </c>
      <c r="BF1060" t="s">
        <v>890</v>
      </c>
      <c r="BH1060" t="s">
        <v>77</v>
      </c>
      <c r="BI1060" t="s">
        <v>593</v>
      </c>
      <c r="BJ1060" t="s">
        <v>79</v>
      </c>
      <c r="BM1060">
        <v>0</v>
      </c>
      <c r="BN1060">
        <v>1</v>
      </c>
      <c r="BO1060">
        <v>1</v>
      </c>
      <c r="BP1060" t="s">
        <v>80</v>
      </c>
      <c r="BR1060">
        <v>0</v>
      </c>
      <c r="BS1060">
        <v>6</v>
      </c>
      <c r="BU1060">
        <v>40000</v>
      </c>
    </row>
    <row r="1061" spans="1:73" x14ac:dyDescent="0.3">
      <c r="A1061" t="s">
        <v>5532</v>
      </c>
      <c r="B1061">
        <v>6</v>
      </c>
      <c r="C1061">
        <v>1152512</v>
      </c>
      <c r="D1061">
        <v>1</v>
      </c>
      <c r="E1061">
        <v>231428</v>
      </c>
      <c r="F1061">
        <v>0</v>
      </c>
      <c r="G1061">
        <v>0</v>
      </c>
      <c r="H1061">
        <v>1</v>
      </c>
      <c r="I1061">
        <v>20000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9</v>
      </c>
      <c r="BC1061" s="1">
        <v>1635368</v>
      </c>
      <c r="BD1061" t="s">
        <v>74</v>
      </c>
      <c r="BE1061" t="s">
        <v>5533</v>
      </c>
      <c r="BF1061" t="s">
        <v>5534</v>
      </c>
      <c r="BH1061" t="s">
        <v>77</v>
      </c>
      <c r="BI1061" t="s">
        <v>228</v>
      </c>
      <c r="BJ1061" t="s">
        <v>79</v>
      </c>
      <c r="BM1061">
        <v>0</v>
      </c>
      <c r="BN1061">
        <v>3</v>
      </c>
      <c r="BO1061">
        <v>3</v>
      </c>
      <c r="BP1061" t="s">
        <v>80</v>
      </c>
      <c r="BR1061">
        <v>0</v>
      </c>
      <c r="BS1061">
        <v>6</v>
      </c>
      <c r="BU1061">
        <v>1403940</v>
      </c>
    </row>
    <row r="1062" spans="1:73" x14ac:dyDescent="0.3">
      <c r="A1062" t="s">
        <v>5543</v>
      </c>
      <c r="B1062">
        <v>0</v>
      </c>
      <c r="C1062">
        <v>0</v>
      </c>
      <c r="D1062">
        <v>1</v>
      </c>
      <c r="E1062">
        <v>150000</v>
      </c>
      <c r="F1062">
        <v>0</v>
      </c>
      <c r="G1062">
        <v>0</v>
      </c>
      <c r="H1062">
        <v>1</v>
      </c>
      <c r="I1062">
        <v>5000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</v>
      </c>
      <c r="BC1062" s="1">
        <v>155000</v>
      </c>
      <c r="BD1062" t="s">
        <v>74</v>
      </c>
      <c r="BE1062" t="s">
        <v>5544</v>
      </c>
      <c r="BF1062" t="s">
        <v>5545</v>
      </c>
      <c r="BH1062" t="s">
        <v>77</v>
      </c>
      <c r="BI1062" t="s">
        <v>204</v>
      </c>
      <c r="BJ1062" t="s">
        <v>79</v>
      </c>
      <c r="BM1062">
        <v>0</v>
      </c>
      <c r="BN1062">
        <v>2</v>
      </c>
      <c r="BO1062">
        <v>2</v>
      </c>
      <c r="BP1062" t="s">
        <v>514</v>
      </c>
      <c r="BR1062">
        <v>0</v>
      </c>
      <c r="BS1062">
        <v>6</v>
      </c>
      <c r="BU1062">
        <v>155000</v>
      </c>
    </row>
    <row r="1063" spans="1:73" x14ac:dyDescent="0.3">
      <c r="A1063" t="s">
        <v>5549</v>
      </c>
      <c r="B1063">
        <v>0</v>
      </c>
      <c r="C1063">
        <v>0</v>
      </c>
      <c r="D1063">
        <v>1</v>
      </c>
      <c r="E1063">
        <v>150000</v>
      </c>
      <c r="F1063">
        <v>0</v>
      </c>
      <c r="G1063">
        <v>0</v>
      </c>
      <c r="H1063">
        <v>4</v>
      </c>
      <c r="I1063">
        <v>80000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80000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8</v>
      </c>
      <c r="BC1063" s="1">
        <v>540000</v>
      </c>
      <c r="BD1063" t="s">
        <v>74</v>
      </c>
      <c r="BE1063" t="s">
        <v>5550</v>
      </c>
      <c r="BF1063" t="s">
        <v>5551</v>
      </c>
      <c r="BH1063" t="s">
        <v>77</v>
      </c>
      <c r="BI1063" t="s">
        <v>88</v>
      </c>
      <c r="BJ1063" t="s">
        <v>79</v>
      </c>
      <c r="BM1063">
        <v>0</v>
      </c>
      <c r="BN1063">
        <v>3</v>
      </c>
      <c r="BO1063">
        <v>3</v>
      </c>
      <c r="BP1063" t="s">
        <v>80</v>
      </c>
      <c r="BR1063">
        <v>0</v>
      </c>
      <c r="BS1063">
        <v>6</v>
      </c>
      <c r="BU1063">
        <v>310000</v>
      </c>
    </row>
    <row r="1064" spans="1:73" x14ac:dyDescent="0.3">
      <c r="A1064" t="s">
        <v>5555</v>
      </c>
      <c r="B1064">
        <v>13</v>
      </c>
      <c r="C1064">
        <v>2737292</v>
      </c>
      <c r="D1064">
        <v>8</v>
      </c>
      <c r="E1064">
        <v>1823212</v>
      </c>
      <c r="F1064">
        <v>0</v>
      </c>
      <c r="G1064">
        <v>0</v>
      </c>
      <c r="H1064">
        <v>14</v>
      </c>
      <c r="I1064">
        <v>446424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29</v>
      </c>
      <c r="BC1064" s="1">
        <v>6383716</v>
      </c>
      <c r="BD1064" t="s">
        <v>74</v>
      </c>
      <c r="BE1064" t="s">
        <v>5556</v>
      </c>
      <c r="BF1064" t="s">
        <v>5557</v>
      </c>
      <c r="BH1064" t="s">
        <v>1464</v>
      </c>
      <c r="BI1064" t="s">
        <v>2929</v>
      </c>
      <c r="BJ1064" t="s">
        <v>125</v>
      </c>
      <c r="BM1064">
        <v>0</v>
      </c>
      <c r="BN1064">
        <v>3</v>
      </c>
      <c r="BO1064">
        <v>3</v>
      </c>
      <c r="BP1064" t="s">
        <v>80</v>
      </c>
      <c r="BR1064">
        <v>0</v>
      </c>
      <c r="BS1064">
        <v>6</v>
      </c>
      <c r="BU1064">
        <v>5006928</v>
      </c>
    </row>
    <row r="1065" spans="1:73" x14ac:dyDescent="0.3">
      <c r="A1065" t="s">
        <v>5558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39584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2</v>
      </c>
      <c r="BC1065" s="1">
        <v>79168</v>
      </c>
      <c r="BD1065" t="s">
        <v>74</v>
      </c>
      <c r="BE1065" t="s">
        <v>5559</v>
      </c>
      <c r="BF1065" t="s">
        <v>5560</v>
      </c>
      <c r="BH1065" t="s">
        <v>77</v>
      </c>
      <c r="BI1065" t="s">
        <v>593</v>
      </c>
      <c r="BJ1065" t="s">
        <v>79</v>
      </c>
      <c r="BM1065">
        <v>1</v>
      </c>
      <c r="BN1065">
        <v>0</v>
      </c>
      <c r="BO1065">
        <v>1</v>
      </c>
      <c r="BP1065" t="s">
        <v>80</v>
      </c>
      <c r="BR1065">
        <v>0</v>
      </c>
      <c r="BS1065">
        <v>6</v>
      </c>
      <c r="BU1065">
        <v>39584</v>
      </c>
    </row>
    <row r="1066" spans="1:73" x14ac:dyDescent="0.3">
      <c r="A1066" t="s">
        <v>5561</v>
      </c>
      <c r="B1066">
        <v>1</v>
      </c>
      <c r="C1066">
        <v>246722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 s="1">
        <v>246722</v>
      </c>
      <c r="BD1066" t="s">
        <v>74</v>
      </c>
      <c r="BE1066" t="s">
        <v>5562</v>
      </c>
      <c r="BF1066" t="s">
        <v>5563</v>
      </c>
      <c r="BH1066" t="s">
        <v>77</v>
      </c>
      <c r="BI1066" t="s">
        <v>204</v>
      </c>
      <c r="BJ1066" t="s">
        <v>79</v>
      </c>
      <c r="BM1066">
        <v>0</v>
      </c>
      <c r="BN1066">
        <v>1</v>
      </c>
      <c r="BO1066">
        <v>1</v>
      </c>
      <c r="BP1066" t="s">
        <v>80</v>
      </c>
      <c r="BR1066">
        <v>0</v>
      </c>
      <c r="BS1066">
        <v>6</v>
      </c>
      <c r="BU1066">
        <v>246722</v>
      </c>
    </row>
    <row r="1067" spans="1:73" x14ac:dyDescent="0.3">
      <c r="A1067" t="s">
        <v>5569</v>
      </c>
      <c r="B1067">
        <v>1</v>
      </c>
      <c r="C1067">
        <v>376184</v>
      </c>
      <c r="D1067">
        <v>2</v>
      </c>
      <c r="E1067">
        <v>136365</v>
      </c>
      <c r="F1067">
        <v>0</v>
      </c>
      <c r="G1067">
        <v>0</v>
      </c>
      <c r="H1067">
        <v>2</v>
      </c>
      <c r="I1067">
        <v>40000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5</v>
      </c>
      <c r="BC1067" s="1">
        <v>648914</v>
      </c>
      <c r="BD1067" t="s">
        <v>74</v>
      </c>
      <c r="BE1067" t="s">
        <v>5570</v>
      </c>
      <c r="BF1067" t="s">
        <v>5571</v>
      </c>
      <c r="BH1067" t="s">
        <v>77</v>
      </c>
      <c r="BI1067" t="s">
        <v>92</v>
      </c>
      <c r="BJ1067" t="s">
        <v>79</v>
      </c>
      <c r="BM1067">
        <v>0</v>
      </c>
      <c r="BN1067">
        <v>3</v>
      </c>
      <c r="BO1067">
        <v>3</v>
      </c>
      <c r="BP1067" t="s">
        <v>80</v>
      </c>
      <c r="BR1067">
        <v>0</v>
      </c>
      <c r="BS1067">
        <v>6</v>
      </c>
      <c r="BU1067">
        <v>552549</v>
      </c>
    </row>
    <row r="1068" spans="1:73" x14ac:dyDescent="0.3">
      <c r="A1068" t="s">
        <v>5572</v>
      </c>
      <c r="B1068">
        <v>0</v>
      </c>
      <c r="C1068">
        <v>0</v>
      </c>
      <c r="D1068">
        <v>1</v>
      </c>
      <c r="E1068">
        <v>290323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73535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19792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5</v>
      </c>
      <c r="BC1068" s="1">
        <v>476977</v>
      </c>
      <c r="BD1068" t="s">
        <v>74</v>
      </c>
      <c r="BE1068" t="s">
        <v>5573</v>
      </c>
      <c r="BF1068" t="s">
        <v>5574</v>
      </c>
      <c r="BH1068" t="s">
        <v>77</v>
      </c>
      <c r="BI1068" t="s">
        <v>228</v>
      </c>
      <c r="BJ1068" t="s">
        <v>79</v>
      </c>
      <c r="BM1068">
        <v>2</v>
      </c>
      <c r="BN1068">
        <v>1</v>
      </c>
      <c r="BO1068">
        <v>3</v>
      </c>
      <c r="BP1068" t="s">
        <v>80</v>
      </c>
      <c r="BR1068">
        <v>0</v>
      </c>
      <c r="BS1068">
        <v>6</v>
      </c>
      <c r="BU1068">
        <v>383650</v>
      </c>
    </row>
    <row r="1069" spans="1:73" x14ac:dyDescent="0.3">
      <c r="A1069" t="s">
        <v>5577</v>
      </c>
      <c r="B1069">
        <v>0</v>
      </c>
      <c r="C1069">
        <v>0</v>
      </c>
      <c r="D1069">
        <v>3</v>
      </c>
      <c r="E1069">
        <v>1683482</v>
      </c>
      <c r="F1069">
        <v>0</v>
      </c>
      <c r="G1069">
        <v>0</v>
      </c>
      <c r="H1069">
        <v>4</v>
      </c>
      <c r="I1069">
        <v>152678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6</v>
      </c>
      <c r="BC1069" s="1">
        <v>3366964</v>
      </c>
      <c r="BD1069" t="s">
        <v>74</v>
      </c>
      <c r="BE1069" t="s">
        <v>5578</v>
      </c>
      <c r="BF1069" t="s">
        <v>5579</v>
      </c>
      <c r="BH1069" t="s">
        <v>77</v>
      </c>
      <c r="BI1069" t="s">
        <v>593</v>
      </c>
      <c r="BJ1069" t="s">
        <v>79</v>
      </c>
      <c r="BM1069">
        <v>0</v>
      </c>
      <c r="BN1069">
        <v>2</v>
      </c>
      <c r="BO1069">
        <v>2</v>
      </c>
      <c r="BP1069" t="s">
        <v>80</v>
      </c>
      <c r="BR1069">
        <v>0</v>
      </c>
      <c r="BS1069">
        <v>6</v>
      </c>
      <c r="BU1069">
        <v>1836160</v>
      </c>
    </row>
    <row r="1070" spans="1:73" x14ac:dyDescent="0.3">
      <c r="A1070" t="s">
        <v>5583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78585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2</v>
      </c>
      <c r="BC1070" s="1">
        <v>157170</v>
      </c>
      <c r="BD1070" t="s">
        <v>74</v>
      </c>
      <c r="BE1070" t="s">
        <v>5584</v>
      </c>
      <c r="BF1070" t="s">
        <v>5585</v>
      </c>
      <c r="BH1070" t="s">
        <v>77</v>
      </c>
      <c r="BI1070" t="s">
        <v>92</v>
      </c>
      <c r="BJ1070" t="s">
        <v>79</v>
      </c>
      <c r="BM1070">
        <v>1</v>
      </c>
      <c r="BN1070">
        <v>0</v>
      </c>
      <c r="BO1070">
        <v>1</v>
      </c>
      <c r="BP1070" t="s">
        <v>80</v>
      </c>
      <c r="BR1070">
        <v>0</v>
      </c>
      <c r="BS1070">
        <v>6</v>
      </c>
      <c r="BU1070">
        <v>78585</v>
      </c>
    </row>
    <row r="1071" spans="1:73" x14ac:dyDescent="0.3">
      <c r="A1071" t="s">
        <v>5586</v>
      </c>
      <c r="B1071">
        <v>2</v>
      </c>
      <c r="C1071">
        <v>89090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2</v>
      </c>
      <c r="BC1071" s="1">
        <v>89090</v>
      </c>
      <c r="BD1071" t="s">
        <v>74</v>
      </c>
      <c r="BE1071" t="s">
        <v>5587</v>
      </c>
      <c r="BF1071" t="s">
        <v>5588</v>
      </c>
      <c r="BH1071" t="s">
        <v>77</v>
      </c>
      <c r="BI1071" t="s">
        <v>204</v>
      </c>
      <c r="BJ1071" t="s">
        <v>79</v>
      </c>
      <c r="BM1071">
        <v>0</v>
      </c>
      <c r="BN1071">
        <v>1</v>
      </c>
      <c r="BO1071">
        <v>1</v>
      </c>
      <c r="BP1071" t="s">
        <v>80</v>
      </c>
      <c r="BR1071">
        <v>0</v>
      </c>
      <c r="BS1071">
        <v>6</v>
      </c>
      <c r="BU1071">
        <v>89090</v>
      </c>
    </row>
    <row r="1072" spans="1:73" x14ac:dyDescent="0.3">
      <c r="A1072" t="s">
        <v>5592</v>
      </c>
      <c r="B1072">
        <v>2</v>
      </c>
      <c r="C1072">
        <v>461750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2</v>
      </c>
      <c r="BC1072" s="1">
        <v>461750</v>
      </c>
      <c r="BD1072" t="s">
        <v>74</v>
      </c>
      <c r="BE1072" t="s">
        <v>5593</v>
      </c>
      <c r="BF1072" t="s">
        <v>5594</v>
      </c>
      <c r="BH1072" t="s">
        <v>114</v>
      </c>
      <c r="BI1072" t="s">
        <v>3617</v>
      </c>
      <c r="BJ1072" t="s">
        <v>79</v>
      </c>
      <c r="BM1072">
        <v>0</v>
      </c>
      <c r="BN1072">
        <v>1</v>
      </c>
      <c r="BO1072">
        <v>1</v>
      </c>
      <c r="BP1072" t="s">
        <v>80</v>
      </c>
      <c r="BR1072">
        <v>0</v>
      </c>
      <c r="BS1072">
        <v>6</v>
      </c>
      <c r="BU1072">
        <v>461750</v>
      </c>
    </row>
    <row r="1073" spans="1:73" x14ac:dyDescent="0.3">
      <c r="A1073" t="s">
        <v>5595</v>
      </c>
      <c r="B1073">
        <v>1</v>
      </c>
      <c r="C1073">
        <v>318181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 s="1">
        <v>318181</v>
      </c>
      <c r="BD1073" t="s">
        <v>74</v>
      </c>
      <c r="BE1073" t="s">
        <v>5596</v>
      </c>
      <c r="BF1073" t="s">
        <v>5597</v>
      </c>
      <c r="BH1073" t="s">
        <v>77</v>
      </c>
      <c r="BI1073" t="s">
        <v>92</v>
      </c>
      <c r="BJ1073" t="s">
        <v>79</v>
      </c>
      <c r="BM1073">
        <v>0</v>
      </c>
      <c r="BN1073">
        <v>1</v>
      </c>
      <c r="BO1073">
        <v>1</v>
      </c>
      <c r="BP1073" t="s">
        <v>80</v>
      </c>
      <c r="BR1073">
        <v>0</v>
      </c>
      <c r="BS1073">
        <v>6</v>
      </c>
      <c r="BU1073">
        <v>318181</v>
      </c>
    </row>
    <row r="1074" spans="1:73" x14ac:dyDescent="0.3">
      <c r="A1074" t="s">
        <v>5604</v>
      </c>
      <c r="B1074">
        <v>0</v>
      </c>
      <c r="C1074">
        <v>0</v>
      </c>
      <c r="D1074">
        <v>1</v>
      </c>
      <c r="E1074">
        <v>240000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</v>
      </c>
      <c r="BC1074" s="1">
        <v>480000</v>
      </c>
      <c r="BD1074" t="s">
        <v>74</v>
      </c>
      <c r="BE1074" t="s">
        <v>5605</v>
      </c>
      <c r="BF1074" t="s">
        <v>3781</v>
      </c>
      <c r="BH1074" t="s">
        <v>77</v>
      </c>
      <c r="BI1074" t="s">
        <v>92</v>
      </c>
      <c r="BJ1074" t="s">
        <v>79</v>
      </c>
      <c r="BM1074">
        <v>0</v>
      </c>
      <c r="BN1074">
        <v>1</v>
      </c>
      <c r="BO1074">
        <v>1</v>
      </c>
      <c r="BP1074" t="s">
        <v>80</v>
      </c>
      <c r="BR1074">
        <v>0</v>
      </c>
      <c r="BS1074">
        <v>6</v>
      </c>
      <c r="BU1074">
        <v>240000</v>
      </c>
    </row>
    <row r="1075" spans="1:73" x14ac:dyDescent="0.3">
      <c r="A1075" t="s">
        <v>5608</v>
      </c>
      <c r="B1075">
        <v>0</v>
      </c>
      <c r="C1075">
        <v>0</v>
      </c>
      <c r="D1075">
        <v>1</v>
      </c>
      <c r="E1075">
        <v>20000</v>
      </c>
      <c r="F1075">
        <v>0</v>
      </c>
      <c r="G1075">
        <v>0</v>
      </c>
      <c r="H1075">
        <v>1</v>
      </c>
      <c r="I1075">
        <v>20000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20000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2</v>
      </c>
      <c r="BC1075" s="1">
        <v>40000</v>
      </c>
      <c r="BD1075" t="s">
        <v>74</v>
      </c>
      <c r="BE1075" t="s">
        <v>5609</v>
      </c>
      <c r="BF1075" t="s">
        <v>5610</v>
      </c>
      <c r="BH1075" t="s">
        <v>77</v>
      </c>
      <c r="BI1075" t="s">
        <v>204</v>
      </c>
      <c r="BJ1075" t="s">
        <v>79</v>
      </c>
      <c r="BM1075">
        <v>1</v>
      </c>
      <c r="BN1075">
        <v>2</v>
      </c>
      <c r="BO1075">
        <v>3</v>
      </c>
      <c r="BP1075" t="s">
        <v>80</v>
      </c>
      <c r="BR1075">
        <v>0</v>
      </c>
      <c r="BS1075">
        <v>6</v>
      </c>
      <c r="BU1075">
        <v>60000</v>
      </c>
    </row>
    <row r="1076" spans="1:73" x14ac:dyDescent="0.3">
      <c r="A1076" t="s">
        <v>5613</v>
      </c>
      <c r="B1076">
        <v>0</v>
      </c>
      <c r="C1076">
        <v>0</v>
      </c>
      <c r="D1076">
        <v>1</v>
      </c>
      <c r="E1076">
        <v>2250000</v>
      </c>
      <c r="F1076">
        <v>0</v>
      </c>
      <c r="G1076">
        <v>0</v>
      </c>
      <c r="H1076">
        <v>3</v>
      </c>
      <c r="I1076">
        <v>63963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4</v>
      </c>
      <c r="BC1076" s="1">
        <v>2313963</v>
      </c>
      <c r="BD1076" t="s">
        <v>74</v>
      </c>
      <c r="BE1076" t="s">
        <v>5614</v>
      </c>
      <c r="BF1076" t="s">
        <v>5557</v>
      </c>
      <c r="BH1076" t="s">
        <v>77</v>
      </c>
      <c r="BI1076" t="s">
        <v>574</v>
      </c>
      <c r="BJ1076" t="s">
        <v>79</v>
      </c>
      <c r="BM1076">
        <v>0</v>
      </c>
      <c r="BN1076">
        <v>2</v>
      </c>
      <c r="BO1076">
        <v>2</v>
      </c>
      <c r="BP1076" t="s">
        <v>80</v>
      </c>
      <c r="BR1076">
        <v>0</v>
      </c>
      <c r="BS1076">
        <v>6</v>
      </c>
      <c r="BU1076">
        <v>2313963</v>
      </c>
    </row>
    <row r="1077" spans="1:73" x14ac:dyDescent="0.3">
      <c r="A1077" t="s">
        <v>5615</v>
      </c>
      <c r="B1077">
        <v>1</v>
      </c>
      <c r="C1077">
        <v>230579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</v>
      </c>
      <c r="BC1077" s="1">
        <v>230579</v>
      </c>
      <c r="BD1077" t="s">
        <v>74</v>
      </c>
      <c r="BE1077" t="s">
        <v>5616</v>
      </c>
      <c r="BF1077" t="s">
        <v>5617</v>
      </c>
      <c r="BH1077" t="s">
        <v>77</v>
      </c>
      <c r="BI1077" t="s">
        <v>593</v>
      </c>
      <c r="BJ1077" t="s">
        <v>79</v>
      </c>
      <c r="BM1077">
        <v>0</v>
      </c>
      <c r="BN1077">
        <v>1</v>
      </c>
      <c r="BO1077">
        <v>1</v>
      </c>
      <c r="BP1077" t="s">
        <v>80</v>
      </c>
      <c r="BR1077">
        <v>0</v>
      </c>
      <c r="BS1077">
        <v>6</v>
      </c>
      <c r="BU1077">
        <v>230579</v>
      </c>
    </row>
    <row r="1078" spans="1:73" x14ac:dyDescent="0.3">
      <c r="A1078" t="s">
        <v>5618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73535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57208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3</v>
      </c>
      <c r="BC1078" s="1">
        <v>204278</v>
      </c>
      <c r="BD1078" t="s">
        <v>74</v>
      </c>
      <c r="BE1078" t="s">
        <v>5619</v>
      </c>
      <c r="BF1078" t="s">
        <v>5620</v>
      </c>
      <c r="BH1078" t="s">
        <v>77</v>
      </c>
      <c r="BI1078" t="s">
        <v>228</v>
      </c>
      <c r="BJ1078" t="s">
        <v>79</v>
      </c>
      <c r="BM1078">
        <v>2</v>
      </c>
      <c r="BN1078">
        <v>0</v>
      </c>
      <c r="BO1078">
        <v>2</v>
      </c>
      <c r="BP1078" t="s">
        <v>80</v>
      </c>
      <c r="BR1078">
        <v>0</v>
      </c>
      <c r="BS1078">
        <v>6</v>
      </c>
      <c r="BU1078">
        <v>130743</v>
      </c>
    </row>
    <row r="1079" spans="1:73" x14ac:dyDescent="0.3">
      <c r="A1079" t="s">
        <v>5621</v>
      </c>
      <c r="B1079">
        <v>1</v>
      </c>
      <c r="C1079">
        <v>190012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96439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7916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5</v>
      </c>
      <c r="BC1079" s="1">
        <v>398722</v>
      </c>
      <c r="BD1079" t="s">
        <v>74</v>
      </c>
      <c r="BE1079" t="s">
        <v>5622</v>
      </c>
      <c r="BF1079" t="s">
        <v>5623</v>
      </c>
      <c r="BH1079" t="s">
        <v>77</v>
      </c>
      <c r="BI1079" t="s">
        <v>281</v>
      </c>
      <c r="BJ1079" t="s">
        <v>79</v>
      </c>
      <c r="BM1079">
        <v>2</v>
      </c>
      <c r="BN1079">
        <v>1</v>
      </c>
      <c r="BO1079">
        <v>3</v>
      </c>
      <c r="BP1079" t="s">
        <v>80</v>
      </c>
      <c r="BR1079">
        <v>0</v>
      </c>
      <c r="BS1079">
        <v>6</v>
      </c>
      <c r="BU1079">
        <v>294367</v>
      </c>
    </row>
    <row r="1080" spans="1:73" x14ac:dyDescent="0.3">
      <c r="A1080" t="s">
        <v>5624</v>
      </c>
      <c r="B1080">
        <v>0</v>
      </c>
      <c r="C1080">
        <v>0</v>
      </c>
      <c r="D1080">
        <v>1</v>
      </c>
      <c r="E1080">
        <v>170000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 s="1">
        <v>170000</v>
      </c>
      <c r="BD1080" t="s">
        <v>74</v>
      </c>
      <c r="BE1080" t="s">
        <v>5625</v>
      </c>
      <c r="BF1080" t="s">
        <v>5626</v>
      </c>
      <c r="BH1080" t="s">
        <v>77</v>
      </c>
      <c r="BI1080" t="s">
        <v>88</v>
      </c>
      <c r="BJ1080" t="s">
        <v>79</v>
      </c>
      <c r="BM1080">
        <v>0</v>
      </c>
      <c r="BN1080">
        <v>1</v>
      </c>
      <c r="BO1080">
        <v>1</v>
      </c>
      <c r="BP1080" t="s">
        <v>80</v>
      </c>
      <c r="BR1080">
        <v>0</v>
      </c>
      <c r="BS1080">
        <v>6</v>
      </c>
      <c r="BU1080">
        <v>170000</v>
      </c>
    </row>
    <row r="1081" spans="1:73" x14ac:dyDescent="0.3">
      <c r="A1081" t="s">
        <v>5627</v>
      </c>
      <c r="B1081">
        <v>0</v>
      </c>
      <c r="C1081">
        <v>0</v>
      </c>
      <c r="D1081">
        <v>2</v>
      </c>
      <c r="E1081">
        <v>210000</v>
      </c>
      <c r="F1081">
        <v>0</v>
      </c>
      <c r="G1081">
        <v>0</v>
      </c>
      <c r="H1081">
        <v>2</v>
      </c>
      <c r="I1081">
        <v>40000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4</v>
      </c>
      <c r="BC1081" s="1">
        <v>420000</v>
      </c>
      <c r="BD1081" t="s">
        <v>74</v>
      </c>
      <c r="BE1081" t="s">
        <v>5628</v>
      </c>
      <c r="BF1081" t="s">
        <v>5629</v>
      </c>
      <c r="BH1081" t="s">
        <v>77</v>
      </c>
      <c r="BI1081" t="s">
        <v>593</v>
      </c>
      <c r="BJ1081" t="s">
        <v>79</v>
      </c>
      <c r="BM1081">
        <v>0</v>
      </c>
      <c r="BN1081">
        <v>2</v>
      </c>
      <c r="BO1081">
        <v>2</v>
      </c>
      <c r="BP1081" t="s">
        <v>80</v>
      </c>
      <c r="BR1081">
        <v>0</v>
      </c>
      <c r="BS1081">
        <v>6</v>
      </c>
      <c r="BU1081">
        <v>250000</v>
      </c>
    </row>
    <row r="1082" spans="1:73" x14ac:dyDescent="0.3">
      <c r="A1082" t="s">
        <v>5633</v>
      </c>
      <c r="B1082">
        <v>0</v>
      </c>
      <c r="C1082">
        <v>0</v>
      </c>
      <c r="D1082">
        <v>2</v>
      </c>
      <c r="E1082">
        <v>609348</v>
      </c>
      <c r="F1082">
        <v>0</v>
      </c>
      <c r="G1082">
        <v>0</v>
      </c>
      <c r="H1082">
        <v>2</v>
      </c>
      <c r="I1082">
        <v>126696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4</v>
      </c>
      <c r="BC1082" s="1">
        <v>1218696</v>
      </c>
      <c r="BD1082" t="s">
        <v>74</v>
      </c>
      <c r="BE1082" t="s">
        <v>5634</v>
      </c>
      <c r="BF1082" t="s">
        <v>4139</v>
      </c>
      <c r="BH1082" t="s">
        <v>77</v>
      </c>
      <c r="BI1082" t="s">
        <v>593</v>
      </c>
      <c r="BJ1082" t="s">
        <v>79</v>
      </c>
      <c r="BM1082">
        <v>0</v>
      </c>
      <c r="BN1082">
        <v>2</v>
      </c>
      <c r="BO1082">
        <v>2</v>
      </c>
      <c r="BP1082" t="s">
        <v>80</v>
      </c>
      <c r="BR1082">
        <v>0</v>
      </c>
      <c r="BS1082">
        <v>6</v>
      </c>
      <c r="BU1082">
        <v>736044</v>
      </c>
    </row>
    <row r="1083" spans="1:73" x14ac:dyDescent="0.3">
      <c r="A1083" t="s">
        <v>5635</v>
      </c>
      <c r="B1083">
        <v>3</v>
      </c>
      <c r="C1083">
        <v>548186</v>
      </c>
      <c r="D1083">
        <v>4</v>
      </c>
      <c r="E1083">
        <v>1204647</v>
      </c>
      <c r="F1083">
        <v>0</v>
      </c>
      <c r="G1083">
        <v>0</v>
      </c>
      <c r="H1083">
        <v>6</v>
      </c>
      <c r="I1083">
        <v>169294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11</v>
      </c>
      <c r="BC1083" s="1">
        <v>2957480</v>
      </c>
      <c r="BD1083" t="s">
        <v>74</v>
      </c>
      <c r="BE1083" t="s">
        <v>5636</v>
      </c>
      <c r="BF1083" t="s">
        <v>3735</v>
      </c>
      <c r="BH1083" t="s">
        <v>1464</v>
      </c>
      <c r="BI1083" t="s">
        <v>2929</v>
      </c>
      <c r="BJ1083" t="s">
        <v>125</v>
      </c>
      <c r="BM1083">
        <v>0</v>
      </c>
      <c r="BN1083">
        <v>3</v>
      </c>
      <c r="BO1083">
        <v>3</v>
      </c>
      <c r="BP1083" t="s">
        <v>80</v>
      </c>
      <c r="BR1083">
        <v>0</v>
      </c>
      <c r="BS1083">
        <v>6</v>
      </c>
      <c r="BU1083">
        <v>1922127</v>
      </c>
    </row>
    <row r="1084" spans="1:73" x14ac:dyDescent="0.3">
      <c r="A1084" t="s">
        <v>5637</v>
      </c>
      <c r="B1084">
        <v>0</v>
      </c>
      <c r="C1084">
        <v>0</v>
      </c>
      <c r="D1084">
        <v>1</v>
      </c>
      <c r="E1084">
        <v>288000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73535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3</v>
      </c>
      <c r="BC1084" s="1">
        <v>435070</v>
      </c>
      <c r="BD1084" t="s">
        <v>74</v>
      </c>
      <c r="BE1084" t="s">
        <v>5638</v>
      </c>
      <c r="BF1084" t="s">
        <v>5639</v>
      </c>
      <c r="BH1084" t="s">
        <v>77</v>
      </c>
      <c r="BI1084" t="s">
        <v>78</v>
      </c>
      <c r="BJ1084" t="s">
        <v>79</v>
      </c>
      <c r="BM1084">
        <v>1</v>
      </c>
      <c r="BN1084">
        <v>1</v>
      </c>
      <c r="BO1084">
        <v>2</v>
      </c>
      <c r="BP1084" t="s">
        <v>80</v>
      </c>
      <c r="BR1084">
        <v>0</v>
      </c>
      <c r="BS1084">
        <v>6</v>
      </c>
      <c r="BU1084">
        <v>361535</v>
      </c>
    </row>
    <row r="1085" spans="1:73" x14ac:dyDescent="0.3">
      <c r="A1085" t="s">
        <v>5643</v>
      </c>
      <c r="B1085">
        <v>0</v>
      </c>
      <c r="C1085">
        <v>0</v>
      </c>
      <c r="D1085">
        <v>3</v>
      </c>
      <c r="E1085">
        <v>850159</v>
      </c>
      <c r="F1085">
        <v>0</v>
      </c>
      <c r="G1085">
        <v>0</v>
      </c>
      <c r="H1085">
        <v>4</v>
      </c>
      <c r="I1085">
        <v>100318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6</v>
      </c>
      <c r="BC1085" s="1">
        <v>1700318</v>
      </c>
      <c r="BD1085" t="s">
        <v>74</v>
      </c>
      <c r="BE1085" t="s">
        <v>5644</v>
      </c>
      <c r="BF1085" t="s">
        <v>5645</v>
      </c>
      <c r="BH1085" t="s">
        <v>77</v>
      </c>
      <c r="BI1085" t="s">
        <v>574</v>
      </c>
      <c r="BJ1085" t="s">
        <v>79</v>
      </c>
      <c r="BM1085">
        <v>0</v>
      </c>
      <c r="BN1085">
        <v>2</v>
      </c>
      <c r="BO1085">
        <v>2</v>
      </c>
      <c r="BP1085" t="s">
        <v>80</v>
      </c>
      <c r="BR1085">
        <v>0</v>
      </c>
      <c r="BS1085">
        <v>6</v>
      </c>
      <c r="BU1085">
        <v>950477</v>
      </c>
    </row>
    <row r="1086" spans="1:73" x14ac:dyDescent="0.3">
      <c r="A1086" t="s">
        <v>5646</v>
      </c>
      <c r="B1086">
        <v>0</v>
      </c>
      <c r="C1086">
        <v>0</v>
      </c>
      <c r="D1086">
        <v>3</v>
      </c>
      <c r="E1086">
        <v>137885</v>
      </c>
      <c r="F1086">
        <v>0</v>
      </c>
      <c r="G1086">
        <v>0</v>
      </c>
      <c r="H1086">
        <v>4</v>
      </c>
      <c r="I1086">
        <v>81484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6</v>
      </c>
      <c r="BC1086" s="1">
        <v>17177827</v>
      </c>
      <c r="BD1086" t="s">
        <v>74</v>
      </c>
      <c r="BE1086" t="s">
        <v>5647</v>
      </c>
      <c r="BF1086" t="s">
        <v>5648</v>
      </c>
      <c r="BH1086" t="s">
        <v>77</v>
      </c>
      <c r="BI1086" t="s">
        <v>129</v>
      </c>
      <c r="BJ1086" t="s">
        <v>79</v>
      </c>
      <c r="BM1086">
        <v>0</v>
      </c>
      <c r="BN1086">
        <v>2</v>
      </c>
      <c r="BO1086">
        <v>2</v>
      </c>
      <c r="BP1086" t="s">
        <v>80</v>
      </c>
      <c r="BR1086">
        <v>0</v>
      </c>
      <c r="BS1086">
        <v>6</v>
      </c>
      <c r="BU1086">
        <v>219369</v>
      </c>
    </row>
    <row r="1087" spans="1:73" x14ac:dyDescent="0.3">
      <c r="A1087" t="s">
        <v>5655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38089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1</v>
      </c>
      <c r="BC1087" s="1">
        <v>38089</v>
      </c>
      <c r="BD1087" t="s">
        <v>74</v>
      </c>
      <c r="BE1087" t="s">
        <v>5656</v>
      </c>
      <c r="BF1087" t="s">
        <v>2358</v>
      </c>
      <c r="BH1087" t="s">
        <v>77</v>
      </c>
      <c r="BI1087" t="s">
        <v>129</v>
      </c>
      <c r="BJ1087" t="s">
        <v>79</v>
      </c>
      <c r="BM1087">
        <v>0</v>
      </c>
      <c r="BN1087">
        <v>1</v>
      </c>
      <c r="BO1087">
        <v>1</v>
      </c>
      <c r="BP1087" t="s">
        <v>514</v>
      </c>
      <c r="BR1087">
        <v>0</v>
      </c>
      <c r="BS1087">
        <v>6</v>
      </c>
      <c r="BU1087">
        <v>38089</v>
      </c>
    </row>
    <row r="1088" spans="1:73" x14ac:dyDescent="0.3">
      <c r="A1088" t="s">
        <v>5657</v>
      </c>
      <c r="B1088">
        <v>0</v>
      </c>
      <c r="C1088">
        <v>0</v>
      </c>
      <c r="D1088">
        <v>4</v>
      </c>
      <c r="E1088">
        <v>1182228</v>
      </c>
      <c r="F1088">
        <v>0</v>
      </c>
      <c r="G1088">
        <v>0</v>
      </c>
      <c r="H1088">
        <v>6</v>
      </c>
      <c r="I1088">
        <v>124456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8</v>
      </c>
      <c r="BC1088" s="1">
        <v>2364456</v>
      </c>
      <c r="BD1088" t="s">
        <v>74</v>
      </c>
      <c r="BE1088" t="s">
        <v>5658</v>
      </c>
      <c r="BF1088" t="s">
        <v>5659</v>
      </c>
      <c r="BH1088" t="s">
        <v>77</v>
      </c>
      <c r="BI1088" t="s">
        <v>593</v>
      </c>
      <c r="BJ1088" t="s">
        <v>79</v>
      </c>
      <c r="BM1088">
        <v>0</v>
      </c>
      <c r="BN1088">
        <v>2</v>
      </c>
      <c r="BO1088">
        <v>2</v>
      </c>
      <c r="BP1088" t="s">
        <v>80</v>
      </c>
      <c r="BR1088">
        <v>0</v>
      </c>
      <c r="BS1088">
        <v>6</v>
      </c>
      <c r="BU1088">
        <v>1306684</v>
      </c>
    </row>
    <row r="1089" spans="1:73" x14ac:dyDescent="0.3">
      <c r="A1089" t="s">
        <v>5660</v>
      </c>
      <c r="B1089">
        <v>0</v>
      </c>
      <c r="C1089">
        <v>0</v>
      </c>
      <c r="D1089">
        <v>3</v>
      </c>
      <c r="E1089">
        <v>685455</v>
      </c>
      <c r="F1089">
        <v>0</v>
      </c>
      <c r="G1089">
        <v>0</v>
      </c>
      <c r="H1089">
        <v>4</v>
      </c>
      <c r="I1089">
        <v>80000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6</v>
      </c>
      <c r="BC1089" s="1">
        <v>1370910</v>
      </c>
      <c r="BD1089" t="s">
        <v>74</v>
      </c>
      <c r="BE1089" t="s">
        <v>5661</v>
      </c>
      <c r="BF1089" t="s">
        <v>5662</v>
      </c>
      <c r="BH1089" t="s">
        <v>77</v>
      </c>
      <c r="BI1089" t="s">
        <v>204</v>
      </c>
      <c r="BJ1089" t="s">
        <v>79</v>
      </c>
      <c r="BM1089">
        <v>0</v>
      </c>
      <c r="BN1089">
        <v>2</v>
      </c>
      <c r="BO1089">
        <v>2</v>
      </c>
      <c r="BP1089" t="s">
        <v>80</v>
      </c>
      <c r="BR1089">
        <v>0</v>
      </c>
      <c r="BS1089">
        <v>6</v>
      </c>
      <c r="BU1089">
        <v>765455</v>
      </c>
    </row>
    <row r="1090" spans="1:73" x14ac:dyDescent="0.3">
      <c r="A1090" t="s">
        <v>5663</v>
      </c>
      <c r="B1090">
        <v>0</v>
      </c>
      <c r="C1090">
        <v>0</v>
      </c>
      <c r="D1090">
        <v>1</v>
      </c>
      <c r="E1090">
        <v>193200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</v>
      </c>
      <c r="BC1090" s="1">
        <v>386400</v>
      </c>
      <c r="BD1090" t="s">
        <v>74</v>
      </c>
      <c r="BE1090" t="s">
        <v>5664</v>
      </c>
      <c r="BF1090" t="s">
        <v>5665</v>
      </c>
      <c r="BH1090" t="s">
        <v>77</v>
      </c>
      <c r="BI1090" t="s">
        <v>739</v>
      </c>
      <c r="BJ1090" t="s">
        <v>79</v>
      </c>
      <c r="BM1090">
        <v>0</v>
      </c>
      <c r="BN1090">
        <v>1</v>
      </c>
      <c r="BO1090">
        <v>1</v>
      </c>
      <c r="BP1090" t="s">
        <v>80</v>
      </c>
      <c r="BR1090">
        <v>0</v>
      </c>
      <c r="BS1090">
        <v>6</v>
      </c>
      <c r="BU1090">
        <v>193200</v>
      </c>
    </row>
    <row r="1091" spans="1:73" x14ac:dyDescent="0.3">
      <c r="A1091" t="s">
        <v>5666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73535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19792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</v>
      </c>
      <c r="BC1091" s="1">
        <v>186654</v>
      </c>
      <c r="BD1091" t="s">
        <v>74</v>
      </c>
      <c r="BE1091" t="s">
        <v>5667</v>
      </c>
      <c r="BF1091" t="s">
        <v>5668</v>
      </c>
      <c r="BH1091" t="s">
        <v>77</v>
      </c>
      <c r="BI1091" t="s">
        <v>88</v>
      </c>
      <c r="BJ1091" t="s">
        <v>79</v>
      </c>
      <c r="BM1091">
        <v>2</v>
      </c>
      <c r="BN1091">
        <v>0</v>
      </c>
      <c r="BO1091">
        <v>2</v>
      </c>
      <c r="BP1091" t="s">
        <v>80</v>
      </c>
      <c r="BR1091">
        <v>0</v>
      </c>
      <c r="BS1091">
        <v>6</v>
      </c>
      <c r="BU1091">
        <v>93327</v>
      </c>
    </row>
    <row r="1092" spans="1:73" x14ac:dyDescent="0.3">
      <c r="A1092" t="s">
        <v>5672</v>
      </c>
      <c r="B1092">
        <v>0</v>
      </c>
      <c r="C1092">
        <v>0</v>
      </c>
      <c r="D1092">
        <v>3</v>
      </c>
      <c r="E1092">
        <v>592612</v>
      </c>
      <c r="F1092">
        <v>0</v>
      </c>
      <c r="G1092">
        <v>0</v>
      </c>
      <c r="H1092">
        <v>4</v>
      </c>
      <c r="I1092">
        <v>152496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6</v>
      </c>
      <c r="BC1092" s="1">
        <v>1185224</v>
      </c>
      <c r="BD1092" t="s">
        <v>74</v>
      </c>
      <c r="BE1092" t="s">
        <v>5673</v>
      </c>
      <c r="BF1092" t="s">
        <v>4139</v>
      </c>
      <c r="BH1092" t="s">
        <v>77</v>
      </c>
      <c r="BI1092" t="s">
        <v>593</v>
      </c>
      <c r="BJ1092" t="s">
        <v>79</v>
      </c>
      <c r="BM1092">
        <v>0</v>
      </c>
      <c r="BN1092">
        <v>2</v>
      </c>
      <c r="BO1092">
        <v>2</v>
      </c>
      <c r="BP1092" t="s">
        <v>80</v>
      </c>
      <c r="BR1092">
        <v>0</v>
      </c>
      <c r="BS1092">
        <v>6</v>
      </c>
      <c r="BU1092">
        <v>745108</v>
      </c>
    </row>
    <row r="1093" spans="1:73" x14ac:dyDescent="0.3">
      <c r="A1093" t="s">
        <v>5679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19792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 s="1">
        <v>19792</v>
      </c>
      <c r="BD1093" t="s">
        <v>74</v>
      </c>
      <c r="BE1093" t="s">
        <v>5680</v>
      </c>
      <c r="BF1093" t="s">
        <v>5681</v>
      </c>
      <c r="BH1093" t="s">
        <v>77</v>
      </c>
      <c r="BI1093" t="s">
        <v>574</v>
      </c>
      <c r="BJ1093" t="s">
        <v>79</v>
      </c>
      <c r="BM1093">
        <v>1</v>
      </c>
      <c r="BN1093">
        <v>0</v>
      </c>
      <c r="BO1093">
        <v>1</v>
      </c>
      <c r="BP1093" t="s">
        <v>80</v>
      </c>
      <c r="BR1093">
        <v>0</v>
      </c>
      <c r="BS1093">
        <v>0</v>
      </c>
      <c r="BU1093">
        <v>19792</v>
      </c>
    </row>
    <row r="1094" spans="1:73" x14ac:dyDescent="0.3">
      <c r="A1094" t="s">
        <v>5682</v>
      </c>
      <c r="B1094">
        <v>0</v>
      </c>
      <c r="C1094">
        <v>0</v>
      </c>
      <c r="D1094">
        <v>9</v>
      </c>
      <c r="E1094">
        <v>1678948</v>
      </c>
      <c r="F1094">
        <v>0</v>
      </c>
      <c r="G1094">
        <v>0</v>
      </c>
      <c r="H1094">
        <v>16</v>
      </c>
      <c r="I1094">
        <v>557896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73535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20000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671428</v>
      </c>
      <c r="AY1094">
        <v>0</v>
      </c>
      <c r="AZ1094">
        <v>0</v>
      </c>
      <c r="BA1094">
        <v>0</v>
      </c>
      <c r="BB1094">
        <v>24</v>
      </c>
      <c r="BC1094" s="1">
        <v>4887822</v>
      </c>
      <c r="BD1094" t="s">
        <v>74</v>
      </c>
      <c r="BE1094" t="s">
        <v>5683</v>
      </c>
      <c r="BF1094" t="s">
        <v>5684</v>
      </c>
      <c r="BH1094" t="s">
        <v>77</v>
      </c>
      <c r="BI1094" t="s">
        <v>574</v>
      </c>
      <c r="BJ1094" t="s">
        <v>79</v>
      </c>
      <c r="BM1094">
        <v>2</v>
      </c>
      <c r="BN1094">
        <v>2</v>
      </c>
      <c r="BO1094">
        <v>4</v>
      </c>
      <c r="BP1094" t="s">
        <v>80</v>
      </c>
      <c r="BR1094">
        <v>0</v>
      </c>
      <c r="BS1094">
        <v>6</v>
      </c>
      <c r="BU1094">
        <v>3001807</v>
      </c>
    </row>
    <row r="1095" spans="1:73" x14ac:dyDescent="0.3">
      <c r="A1095" t="s">
        <v>5688</v>
      </c>
      <c r="B1095">
        <v>4</v>
      </c>
      <c r="C1095">
        <v>772058</v>
      </c>
      <c r="D1095">
        <v>9</v>
      </c>
      <c r="E1095">
        <v>4506169</v>
      </c>
      <c r="F1095">
        <v>0</v>
      </c>
      <c r="G1095">
        <v>0</v>
      </c>
      <c r="H1095">
        <v>16</v>
      </c>
      <c r="I1095">
        <v>372338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22</v>
      </c>
      <c r="BC1095" s="1">
        <v>9784396</v>
      </c>
      <c r="BD1095" t="s">
        <v>74</v>
      </c>
      <c r="BE1095" t="s">
        <v>5689</v>
      </c>
      <c r="BF1095" t="s">
        <v>5690</v>
      </c>
      <c r="BH1095" t="s">
        <v>1464</v>
      </c>
      <c r="BI1095" t="s">
        <v>2929</v>
      </c>
      <c r="BJ1095" t="s">
        <v>125</v>
      </c>
      <c r="BM1095">
        <v>0</v>
      </c>
      <c r="BN1095">
        <v>3</v>
      </c>
      <c r="BO1095">
        <v>3</v>
      </c>
      <c r="BP1095" t="s">
        <v>80</v>
      </c>
      <c r="BR1095">
        <v>0</v>
      </c>
      <c r="BS1095">
        <v>5</v>
      </c>
      <c r="BU1095">
        <v>5650565</v>
      </c>
    </row>
    <row r="1096" spans="1:73" x14ac:dyDescent="0.3">
      <c r="A1096" t="s">
        <v>5691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96439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 s="1">
        <v>96439</v>
      </c>
      <c r="BD1096" t="s">
        <v>74</v>
      </c>
      <c r="BE1096" t="s">
        <v>5692</v>
      </c>
      <c r="BF1096" t="s">
        <v>5693</v>
      </c>
      <c r="BH1096" t="s">
        <v>77</v>
      </c>
      <c r="BI1096" t="s">
        <v>574</v>
      </c>
      <c r="BJ1096" t="s">
        <v>79</v>
      </c>
      <c r="BM1096">
        <v>1</v>
      </c>
      <c r="BN1096">
        <v>0</v>
      </c>
      <c r="BO1096">
        <v>1</v>
      </c>
      <c r="BP1096" t="s">
        <v>80</v>
      </c>
      <c r="BR1096">
        <v>0</v>
      </c>
      <c r="BS1096">
        <v>6</v>
      </c>
      <c r="BU1096">
        <v>96439</v>
      </c>
    </row>
    <row r="1097" spans="1:73" x14ac:dyDescent="0.3">
      <c r="A1097" t="s">
        <v>5694</v>
      </c>
      <c r="B1097">
        <v>0</v>
      </c>
      <c r="C1097">
        <v>0</v>
      </c>
      <c r="D1097">
        <v>1</v>
      </c>
      <c r="E1097">
        <v>428571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2</v>
      </c>
      <c r="BC1097" s="1">
        <v>857142</v>
      </c>
      <c r="BD1097" t="s">
        <v>74</v>
      </c>
      <c r="BE1097" t="s">
        <v>5695</v>
      </c>
      <c r="BF1097" t="s">
        <v>4133</v>
      </c>
      <c r="BH1097" t="s">
        <v>77</v>
      </c>
      <c r="BI1097" t="s">
        <v>92</v>
      </c>
      <c r="BJ1097" t="s">
        <v>79</v>
      </c>
      <c r="BM1097">
        <v>0</v>
      </c>
      <c r="BN1097">
        <v>1</v>
      </c>
      <c r="BO1097">
        <v>1</v>
      </c>
      <c r="BP1097" t="s">
        <v>80</v>
      </c>
      <c r="BR1097">
        <v>0</v>
      </c>
      <c r="BS1097">
        <v>6</v>
      </c>
      <c r="BU1097">
        <v>428571</v>
      </c>
    </row>
    <row r="1098" spans="1:73" x14ac:dyDescent="0.3">
      <c r="A1098" t="s">
        <v>5696</v>
      </c>
      <c r="B1098">
        <v>8</v>
      </c>
      <c r="C1098">
        <v>1553447</v>
      </c>
      <c r="D1098">
        <v>3</v>
      </c>
      <c r="E1098">
        <v>1428528</v>
      </c>
      <c r="F1098">
        <v>0</v>
      </c>
      <c r="G1098">
        <v>0</v>
      </c>
      <c r="H1098">
        <v>4</v>
      </c>
      <c r="I1098">
        <v>157056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14</v>
      </c>
      <c r="BC1098" s="1">
        <v>4410503</v>
      </c>
      <c r="BD1098" t="s">
        <v>74</v>
      </c>
      <c r="BE1098" t="s">
        <v>5697</v>
      </c>
      <c r="BF1098" t="s">
        <v>5698</v>
      </c>
      <c r="BH1098" t="s">
        <v>1464</v>
      </c>
      <c r="BI1098" t="s">
        <v>2929</v>
      </c>
      <c r="BJ1098" t="s">
        <v>125</v>
      </c>
      <c r="BM1098">
        <v>0</v>
      </c>
      <c r="BN1098">
        <v>3</v>
      </c>
      <c r="BO1098">
        <v>3</v>
      </c>
      <c r="BP1098" t="s">
        <v>80</v>
      </c>
      <c r="BR1098">
        <v>0</v>
      </c>
      <c r="BS1098">
        <v>6</v>
      </c>
      <c r="BU1098">
        <v>3139031</v>
      </c>
    </row>
    <row r="1099" spans="1:73" x14ac:dyDescent="0.3">
      <c r="A1099" t="s">
        <v>5699</v>
      </c>
      <c r="B1099">
        <v>0</v>
      </c>
      <c r="C1099">
        <v>0</v>
      </c>
      <c r="D1099">
        <v>3</v>
      </c>
      <c r="E1099">
        <v>262581</v>
      </c>
      <c r="F1099">
        <v>0</v>
      </c>
      <c r="G1099">
        <v>0</v>
      </c>
      <c r="H1099">
        <v>4</v>
      </c>
      <c r="I1099">
        <v>80000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6</v>
      </c>
      <c r="BC1099" s="1">
        <v>525162</v>
      </c>
      <c r="BD1099" t="s">
        <v>74</v>
      </c>
      <c r="BE1099" t="s">
        <v>5700</v>
      </c>
      <c r="BF1099" t="s">
        <v>5701</v>
      </c>
      <c r="BH1099" t="s">
        <v>77</v>
      </c>
      <c r="BI1099" t="s">
        <v>593</v>
      </c>
      <c r="BJ1099" t="s">
        <v>79</v>
      </c>
      <c r="BM1099">
        <v>0</v>
      </c>
      <c r="BN1099">
        <v>2</v>
      </c>
      <c r="BO1099">
        <v>2</v>
      </c>
      <c r="BP1099" t="s">
        <v>80</v>
      </c>
      <c r="BR1099">
        <v>0</v>
      </c>
      <c r="BS1099">
        <v>6</v>
      </c>
      <c r="BU1099">
        <v>342581</v>
      </c>
    </row>
    <row r="1100" spans="1:73" x14ac:dyDescent="0.3">
      <c r="A1100" t="s">
        <v>5702</v>
      </c>
      <c r="B1100">
        <v>0</v>
      </c>
      <c r="C1100">
        <v>0</v>
      </c>
      <c r="D1100">
        <v>2</v>
      </c>
      <c r="E1100">
        <v>2424170</v>
      </c>
      <c r="F1100">
        <v>0</v>
      </c>
      <c r="G1100">
        <v>0</v>
      </c>
      <c r="H1100">
        <v>2</v>
      </c>
      <c r="I1100">
        <v>48340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4</v>
      </c>
      <c r="BC1100" s="1">
        <v>4848340</v>
      </c>
      <c r="BD1100" t="s">
        <v>74</v>
      </c>
      <c r="BE1100" t="s">
        <v>5703</v>
      </c>
      <c r="BF1100" t="s">
        <v>5704</v>
      </c>
      <c r="BH1100" t="s">
        <v>77</v>
      </c>
      <c r="BI1100" t="s">
        <v>593</v>
      </c>
      <c r="BJ1100" t="s">
        <v>79</v>
      </c>
      <c r="BM1100">
        <v>0</v>
      </c>
      <c r="BN1100">
        <v>2</v>
      </c>
      <c r="BO1100">
        <v>2</v>
      </c>
      <c r="BP1100" t="s">
        <v>80</v>
      </c>
      <c r="BR1100">
        <v>0</v>
      </c>
      <c r="BS1100">
        <v>6</v>
      </c>
      <c r="BU1100">
        <v>2472510</v>
      </c>
    </row>
    <row r="1101" spans="1:73" x14ac:dyDescent="0.3">
      <c r="A1101" t="s">
        <v>5705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11526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 s="1">
        <v>11526</v>
      </c>
      <c r="BD1101" t="s">
        <v>74</v>
      </c>
      <c r="BE1101" t="s">
        <v>5706</v>
      </c>
      <c r="BF1101" t="s">
        <v>5707</v>
      </c>
      <c r="BH1101" t="s">
        <v>77</v>
      </c>
      <c r="BI1101" t="s">
        <v>78</v>
      </c>
      <c r="BJ1101" t="s">
        <v>79</v>
      </c>
      <c r="BM1101">
        <v>1</v>
      </c>
      <c r="BN1101">
        <v>0</v>
      </c>
      <c r="BO1101">
        <v>1</v>
      </c>
      <c r="BP1101" t="s">
        <v>80</v>
      </c>
      <c r="BR1101">
        <v>0</v>
      </c>
      <c r="BS1101">
        <v>0</v>
      </c>
      <c r="BU1101">
        <v>11526</v>
      </c>
    </row>
    <row r="1102" spans="1:73" x14ac:dyDescent="0.3">
      <c r="A1102" t="s">
        <v>5708</v>
      </c>
      <c r="B1102">
        <v>0</v>
      </c>
      <c r="C1102">
        <v>592582</v>
      </c>
      <c r="D1102">
        <v>5</v>
      </c>
      <c r="E1102">
        <v>3806371</v>
      </c>
      <c r="F1102">
        <v>0</v>
      </c>
      <c r="G1102">
        <v>0</v>
      </c>
      <c r="H1102">
        <v>6</v>
      </c>
      <c r="I1102">
        <v>137832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78585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24243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12</v>
      </c>
      <c r="BC1102" s="1">
        <v>8308152</v>
      </c>
      <c r="BD1102" t="s">
        <v>74</v>
      </c>
      <c r="BE1102" t="s">
        <v>5709</v>
      </c>
      <c r="BF1102" t="s">
        <v>5710</v>
      </c>
      <c r="BH1102" t="s">
        <v>77</v>
      </c>
      <c r="BI1102" t="s">
        <v>129</v>
      </c>
      <c r="BJ1102" t="s">
        <v>79</v>
      </c>
      <c r="BM1102">
        <v>2</v>
      </c>
      <c r="BN1102">
        <v>2</v>
      </c>
      <c r="BO1102">
        <v>4</v>
      </c>
      <c r="BP1102" t="s">
        <v>80</v>
      </c>
      <c r="BR1102">
        <v>0</v>
      </c>
      <c r="BS1102">
        <v>6</v>
      </c>
      <c r="BU1102">
        <v>4639613</v>
      </c>
    </row>
    <row r="1103" spans="1:73" x14ac:dyDescent="0.3">
      <c r="A1103" t="s">
        <v>5711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78585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</v>
      </c>
      <c r="BC1103" s="1">
        <v>157170</v>
      </c>
      <c r="BD1103" t="s">
        <v>74</v>
      </c>
      <c r="BE1103" t="s">
        <v>5712</v>
      </c>
      <c r="BF1103" t="s">
        <v>5713</v>
      </c>
      <c r="BH1103" t="s">
        <v>77</v>
      </c>
      <c r="BI1103" t="s">
        <v>88</v>
      </c>
      <c r="BJ1103" t="s">
        <v>79</v>
      </c>
      <c r="BM1103">
        <v>1</v>
      </c>
      <c r="BN1103">
        <v>0</v>
      </c>
      <c r="BO1103">
        <v>1</v>
      </c>
      <c r="BP1103" t="s">
        <v>80</v>
      </c>
      <c r="BR1103">
        <v>0</v>
      </c>
      <c r="BS1103">
        <v>6</v>
      </c>
      <c r="BU1103">
        <v>78585</v>
      </c>
    </row>
    <row r="1104" spans="1:73" x14ac:dyDescent="0.3">
      <c r="A1104" t="s">
        <v>5714</v>
      </c>
      <c r="B1104">
        <v>0</v>
      </c>
      <c r="C1104">
        <v>0</v>
      </c>
      <c r="D1104">
        <v>11</v>
      </c>
      <c r="E1104">
        <v>2645704</v>
      </c>
      <c r="F1104">
        <v>0</v>
      </c>
      <c r="G1104">
        <v>0</v>
      </c>
      <c r="H1104">
        <v>20</v>
      </c>
      <c r="I1104">
        <v>491408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22</v>
      </c>
      <c r="BC1104" s="1">
        <v>5291408</v>
      </c>
      <c r="BD1104" t="s">
        <v>74</v>
      </c>
      <c r="BE1104" t="s">
        <v>5715</v>
      </c>
      <c r="BF1104" t="s">
        <v>5716</v>
      </c>
      <c r="BH1104" t="s">
        <v>77</v>
      </c>
      <c r="BI1104" t="s">
        <v>92</v>
      </c>
      <c r="BJ1104" t="s">
        <v>79</v>
      </c>
      <c r="BM1104">
        <v>0</v>
      </c>
      <c r="BN1104">
        <v>2</v>
      </c>
      <c r="BO1104">
        <v>2</v>
      </c>
      <c r="BP1104" t="s">
        <v>80</v>
      </c>
      <c r="BR1104">
        <v>0</v>
      </c>
      <c r="BS1104">
        <v>6</v>
      </c>
      <c r="BU1104">
        <v>3137112</v>
      </c>
    </row>
    <row r="1105" spans="1:73" x14ac:dyDescent="0.3">
      <c r="A1105" t="s">
        <v>5717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47916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2</v>
      </c>
      <c r="BC1105" s="1">
        <v>121451</v>
      </c>
      <c r="BD1105" t="s">
        <v>74</v>
      </c>
      <c r="BE1105" t="s">
        <v>5718</v>
      </c>
      <c r="BF1105" t="s">
        <v>5719</v>
      </c>
      <c r="BH1105" t="s">
        <v>77</v>
      </c>
      <c r="BI1105" t="s">
        <v>92</v>
      </c>
      <c r="BJ1105" t="s">
        <v>79</v>
      </c>
      <c r="BM1105">
        <v>1</v>
      </c>
      <c r="BN1105">
        <v>0</v>
      </c>
      <c r="BO1105">
        <v>1</v>
      </c>
      <c r="BP1105" t="s">
        <v>80</v>
      </c>
      <c r="BR1105">
        <v>0</v>
      </c>
      <c r="BS1105">
        <v>0</v>
      </c>
      <c r="BU1105">
        <v>47916</v>
      </c>
    </row>
    <row r="1106" spans="1:73" x14ac:dyDescent="0.3">
      <c r="A1106" t="s">
        <v>5720</v>
      </c>
      <c r="B1106">
        <v>0</v>
      </c>
      <c r="C1106">
        <v>0</v>
      </c>
      <c r="D1106">
        <v>4</v>
      </c>
      <c r="E1106">
        <v>985713</v>
      </c>
      <c r="F1106">
        <v>0</v>
      </c>
      <c r="G1106">
        <v>0</v>
      </c>
      <c r="H1106">
        <v>6</v>
      </c>
      <c r="I1106">
        <v>120000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8</v>
      </c>
      <c r="BC1106" s="1">
        <v>1971426</v>
      </c>
      <c r="BD1106" t="s">
        <v>74</v>
      </c>
      <c r="BE1106" t="s">
        <v>5721</v>
      </c>
      <c r="BF1106" t="s">
        <v>5722</v>
      </c>
      <c r="BH1106" t="s">
        <v>77</v>
      </c>
      <c r="BI1106" t="s">
        <v>92</v>
      </c>
      <c r="BJ1106" t="s">
        <v>79</v>
      </c>
      <c r="BM1106">
        <v>0</v>
      </c>
      <c r="BN1106">
        <v>2</v>
      </c>
      <c r="BO1106">
        <v>2</v>
      </c>
      <c r="BP1106" t="s">
        <v>80</v>
      </c>
      <c r="BR1106">
        <v>0</v>
      </c>
      <c r="BS1106">
        <v>6</v>
      </c>
      <c r="BU1106">
        <v>1105713</v>
      </c>
    </row>
    <row r="1107" spans="1:73" x14ac:dyDescent="0.3">
      <c r="A1107" t="s">
        <v>5723</v>
      </c>
      <c r="B1107">
        <v>0</v>
      </c>
      <c r="C1107">
        <v>0</v>
      </c>
      <c r="D1107">
        <v>6</v>
      </c>
      <c r="E1107">
        <v>7610382</v>
      </c>
      <c r="F1107">
        <v>0</v>
      </c>
      <c r="G1107">
        <v>0</v>
      </c>
      <c r="H1107">
        <v>8</v>
      </c>
      <c r="I1107">
        <v>1620764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</v>
      </c>
      <c r="Z1107">
        <v>152120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14</v>
      </c>
      <c r="BC1107" s="1">
        <v>15372884</v>
      </c>
      <c r="BD1107" t="s">
        <v>74</v>
      </c>
      <c r="BE1107" t="s">
        <v>5724</v>
      </c>
      <c r="BF1107" t="s">
        <v>4444</v>
      </c>
      <c r="BH1107" t="s">
        <v>77</v>
      </c>
      <c r="BI1107" t="s">
        <v>92</v>
      </c>
      <c r="BJ1107" t="s">
        <v>79</v>
      </c>
      <c r="BM1107">
        <v>1</v>
      </c>
      <c r="BN1107">
        <v>2</v>
      </c>
      <c r="BO1107">
        <v>3</v>
      </c>
      <c r="BP1107" t="s">
        <v>80</v>
      </c>
      <c r="BR1107">
        <v>0</v>
      </c>
      <c r="BS1107">
        <v>5</v>
      </c>
      <c r="BU1107">
        <v>9383266</v>
      </c>
    </row>
    <row r="1108" spans="1:73" x14ac:dyDescent="0.3">
      <c r="A1108" t="s">
        <v>5731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96439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 s="1">
        <v>96439</v>
      </c>
      <c r="BD1108" t="s">
        <v>74</v>
      </c>
      <c r="BE1108" t="s">
        <v>5732</v>
      </c>
      <c r="BF1108" t="s">
        <v>5733</v>
      </c>
      <c r="BH1108" t="s">
        <v>77</v>
      </c>
      <c r="BI1108" t="s">
        <v>204</v>
      </c>
      <c r="BJ1108" t="s">
        <v>79</v>
      </c>
      <c r="BM1108">
        <v>1</v>
      </c>
      <c r="BN1108">
        <v>0</v>
      </c>
      <c r="BO1108">
        <v>1</v>
      </c>
      <c r="BP1108" t="s">
        <v>80</v>
      </c>
      <c r="BR1108">
        <v>0</v>
      </c>
      <c r="BS1108">
        <v>6</v>
      </c>
      <c r="BU1108">
        <v>96439</v>
      </c>
    </row>
    <row r="1109" spans="1:73" x14ac:dyDescent="0.3">
      <c r="A1109" t="s">
        <v>5737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73535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2</v>
      </c>
      <c r="BC1109" s="1">
        <v>147070</v>
      </c>
      <c r="BD1109" t="s">
        <v>74</v>
      </c>
      <c r="BE1109" t="s">
        <v>5738</v>
      </c>
      <c r="BF1109" t="s">
        <v>5739</v>
      </c>
      <c r="BH1109" t="s">
        <v>77</v>
      </c>
      <c r="BI1109" t="s">
        <v>204</v>
      </c>
      <c r="BJ1109" t="s">
        <v>79</v>
      </c>
      <c r="BM1109">
        <v>1</v>
      </c>
      <c r="BN1109">
        <v>0</v>
      </c>
      <c r="BO1109">
        <v>1</v>
      </c>
      <c r="BP1109" t="s">
        <v>80</v>
      </c>
      <c r="BR1109">
        <v>0</v>
      </c>
      <c r="BS1109">
        <v>0</v>
      </c>
      <c r="BU1109">
        <v>73535</v>
      </c>
    </row>
    <row r="1110" spans="1:73" x14ac:dyDescent="0.3">
      <c r="A1110" t="s">
        <v>5752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73535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7916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4</v>
      </c>
      <c r="BC1110" s="1">
        <v>162902</v>
      </c>
      <c r="BD1110" t="s">
        <v>74</v>
      </c>
      <c r="BE1110" t="s">
        <v>5753</v>
      </c>
      <c r="BF1110" t="s">
        <v>5754</v>
      </c>
      <c r="BH1110" t="s">
        <v>77</v>
      </c>
      <c r="BI1110" t="s">
        <v>739</v>
      </c>
      <c r="BJ1110" t="s">
        <v>79</v>
      </c>
      <c r="BM1110">
        <v>2</v>
      </c>
      <c r="BN1110">
        <v>0</v>
      </c>
      <c r="BO1110">
        <v>2</v>
      </c>
      <c r="BP1110" t="s">
        <v>80</v>
      </c>
      <c r="BR1110">
        <v>0</v>
      </c>
      <c r="BS1110">
        <v>6</v>
      </c>
      <c r="BU1110">
        <v>81451</v>
      </c>
    </row>
    <row r="1111" spans="1:73" x14ac:dyDescent="0.3">
      <c r="A1111" t="s">
        <v>5758</v>
      </c>
      <c r="B1111">
        <v>0</v>
      </c>
      <c r="C1111">
        <v>0</v>
      </c>
      <c r="D1111">
        <v>4</v>
      </c>
      <c r="E1111">
        <v>4866263</v>
      </c>
      <c r="F1111">
        <v>0</v>
      </c>
      <c r="G1111">
        <v>0</v>
      </c>
      <c r="H1111">
        <v>2</v>
      </c>
      <c r="I1111">
        <v>75382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7</v>
      </c>
      <c r="BC1111" s="1">
        <v>8332526</v>
      </c>
      <c r="BD1111" t="s">
        <v>74</v>
      </c>
      <c r="BE1111" t="s">
        <v>5759</v>
      </c>
      <c r="BF1111" t="s">
        <v>5760</v>
      </c>
      <c r="BH1111" t="s">
        <v>77</v>
      </c>
      <c r="BI1111" t="s">
        <v>129</v>
      </c>
      <c r="BJ1111" t="s">
        <v>79</v>
      </c>
      <c r="BM1111">
        <v>0</v>
      </c>
      <c r="BN1111">
        <v>2</v>
      </c>
      <c r="BO1111">
        <v>2</v>
      </c>
      <c r="BP1111" t="s">
        <v>80</v>
      </c>
      <c r="BR1111">
        <v>0</v>
      </c>
      <c r="BS1111">
        <v>6</v>
      </c>
      <c r="BU1111">
        <v>4941645</v>
      </c>
    </row>
    <row r="1112" spans="1:73" x14ac:dyDescent="0.3">
      <c r="A1112" t="s">
        <v>5763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43523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4394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4</v>
      </c>
      <c r="BC1112" s="1">
        <v>95834</v>
      </c>
      <c r="BD1112" t="s">
        <v>74</v>
      </c>
      <c r="BE1112" t="s">
        <v>5764</v>
      </c>
      <c r="BF1112" t="s">
        <v>5765</v>
      </c>
      <c r="BH1112" t="s">
        <v>77</v>
      </c>
      <c r="BI1112" t="s">
        <v>593</v>
      </c>
      <c r="BJ1112" t="s">
        <v>79</v>
      </c>
      <c r="BM1112">
        <v>2</v>
      </c>
      <c r="BN1112">
        <v>0</v>
      </c>
      <c r="BO1112">
        <v>2</v>
      </c>
      <c r="BP1112" t="s">
        <v>80</v>
      </c>
      <c r="BR1112">
        <v>0</v>
      </c>
      <c r="BS1112">
        <v>6</v>
      </c>
      <c r="BU1112">
        <v>47917</v>
      </c>
    </row>
    <row r="1113" spans="1:73" x14ac:dyDescent="0.3">
      <c r="A1113" t="s">
        <v>5781</v>
      </c>
      <c r="B1113">
        <v>0</v>
      </c>
      <c r="C1113">
        <v>0</v>
      </c>
      <c r="D1113">
        <v>1</v>
      </c>
      <c r="E1113">
        <v>246856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2</v>
      </c>
      <c r="BC1113" s="1">
        <v>493712</v>
      </c>
      <c r="BD1113" t="s">
        <v>74</v>
      </c>
      <c r="BE1113" t="s">
        <v>5782</v>
      </c>
      <c r="BF1113" t="s">
        <v>5783</v>
      </c>
      <c r="BH1113" t="s">
        <v>77</v>
      </c>
      <c r="BI1113" t="s">
        <v>204</v>
      </c>
      <c r="BJ1113" t="s">
        <v>79</v>
      </c>
      <c r="BM1113">
        <v>0</v>
      </c>
      <c r="BN1113">
        <v>1</v>
      </c>
      <c r="BO1113">
        <v>1</v>
      </c>
      <c r="BP1113" t="s">
        <v>80</v>
      </c>
      <c r="BR1113">
        <v>0</v>
      </c>
      <c r="BS1113">
        <v>6</v>
      </c>
      <c r="BU1113">
        <v>246856</v>
      </c>
    </row>
    <row r="1114" spans="1:73" x14ac:dyDescent="0.3">
      <c r="A1114" t="s">
        <v>5784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73535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2</v>
      </c>
      <c r="BC1114" s="1">
        <v>147070</v>
      </c>
      <c r="BD1114" t="s">
        <v>74</v>
      </c>
      <c r="BE1114" t="s">
        <v>5785</v>
      </c>
      <c r="BF1114" t="s">
        <v>5786</v>
      </c>
      <c r="BH1114" t="s">
        <v>77</v>
      </c>
      <c r="BI1114" t="s">
        <v>92</v>
      </c>
      <c r="BJ1114" t="s">
        <v>79</v>
      </c>
      <c r="BM1114">
        <v>1</v>
      </c>
      <c r="BN1114">
        <v>0</v>
      </c>
      <c r="BO1114">
        <v>1</v>
      </c>
      <c r="BP1114" t="s">
        <v>80</v>
      </c>
      <c r="BR1114">
        <v>0</v>
      </c>
      <c r="BS1114">
        <v>6</v>
      </c>
      <c r="BU1114">
        <v>73535</v>
      </c>
    </row>
    <row r="1115" spans="1:73" x14ac:dyDescent="0.3">
      <c r="A1115" t="s">
        <v>5796</v>
      </c>
      <c r="B1115">
        <v>0</v>
      </c>
      <c r="C1115">
        <v>0</v>
      </c>
      <c r="D1115">
        <v>3</v>
      </c>
      <c r="E1115">
        <v>4556214</v>
      </c>
      <c r="F1115">
        <v>0</v>
      </c>
      <c r="G1115">
        <v>0</v>
      </c>
      <c r="H1115">
        <v>4</v>
      </c>
      <c r="I1115">
        <v>112428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6</v>
      </c>
      <c r="BC1115" s="1">
        <v>9112428</v>
      </c>
      <c r="BD1115" t="s">
        <v>74</v>
      </c>
      <c r="BE1115" t="s">
        <v>5797</v>
      </c>
      <c r="BF1115" t="s">
        <v>5798</v>
      </c>
      <c r="BH1115" t="s">
        <v>77</v>
      </c>
      <c r="BI1115" t="s">
        <v>574</v>
      </c>
      <c r="BJ1115" t="s">
        <v>79</v>
      </c>
      <c r="BM1115">
        <v>0</v>
      </c>
      <c r="BN1115">
        <v>2</v>
      </c>
      <c r="BO1115">
        <v>2</v>
      </c>
      <c r="BP1115" t="s">
        <v>80</v>
      </c>
      <c r="BR1115">
        <v>0</v>
      </c>
      <c r="BS1115">
        <v>6</v>
      </c>
      <c r="BU1115">
        <v>4668642</v>
      </c>
    </row>
    <row r="1116" spans="1:73" x14ac:dyDescent="0.3">
      <c r="A1116" t="s">
        <v>5802</v>
      </c>
      <c r="B1116">
        <v>0</v>
      </c>
      <c r="C1116">
        <v>0</v>
      </c>
      <c r="D1116">
        <v>4</v>
      </c>
      <c r="E1116">
        <v>841014</v>
      </c>
      <c r="F1116">
        <v>0</v>
      </c>
      <c r="G1116">
        <v>0</v>
      </c>
      <c r="H1116">
        <v>6</v>
      </c>
      <c r="I1116">
        <v>139172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9</v>
      </c>
      <c r="BC1116" s="1">
        <v>1701820</v>
      </c>
      <c r="BD1116" t="s">
        <v>74</v>
      </c>
      <c r="BE1116" t="s">
        <v>5803</v>
      </c>
      <c r="BF1116" t="s">
        <v>5804</v>
      </c>
      <c r="BH1116" t="s">
        <v>77</v>
      </c>
      <c r="BI1116" t="s">
        <v>593</v>
      </c>
      <c r="BJ1116" t="s">
        <v>79</v>
      </c>
      <c r="BM1116">
        <v>0</v>
      </c>
      <c r="BN1116">
        <v>2</v>
      </c>
      <c r="BO1116">
        <v>2</v>
      </c>
      <c r="BP1116" t="s">
        <v>80</v>
      </c>
      <c r="BR1116">
        <v>0</v>
      </c>
      <c r="BS1116">
        <v>6</v>
      </c>
      <c r="BU1116">
        <v>980186</v>
      </c>
    </row>
    <row r="1117" spans="1:73" x14ac:dyDescent="0.3">
      <c r="A1117" t="s">
        <v>5820</v>
      </c>
      <c r="B1117">
        <v>0</v>
      </c>
      <c r="C1117">
        <v>0</v>
      </c>
      <c r="D1117">
        <v>1</v>
      </c>
      <c r="E1117">
        <v>516364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2</v>
      </c>
      <c r="BC1117" s="1">
        <v>1032728</v>
      </c>
      <c r="BD1117" t="s">
        <v>74</v>
      </c>
      <c r="BE1117" t="s">
        <v>5821</v>
      </c>
      <c r="BF1117" t="s">
        <v>4486</v>
      </c>
      <c r="BH1117" t="s">
        <v>77</v>
      </c>
      <c r="BI1117" t="s">
        <v>593</v>
      </c>
      <c r="BJ1117" t="s">
        <v>79</v>
      </c>
      <c r="BM1117">
        <v>0</v>
      </c>
      <c r="BN1117">
        <v>1</v>
      </c>
      <c r="BO1117">
        <v>1</v>
      </c>
      <c r="BP1117" t="s">
        <v>80</v>
      </c>
      <c r="BR1117">
        <v>0</v>
      </c>
      <c r="BS1117">
        <v>6</v>
      </c>
      <c r="BU1117">
        <v>516364</v>
      </c>
    </row>
    <row r="1118" spans="1:73" x14ac:dyDescent="0.3">
      <c r="A1118" t="s">
        <v>5822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73535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19792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4</v>
      </c>
      <c r="BC1118" s="1">
        <v>186654</v>
      </c>
      <c r="BD1118" t="s">
        <v>74</v>
      </c>
      <c r="BE1118" t="s">
        <v>5823</v>
      </c>
      <c r="BF1118" t="s">
        <v>4554</v>
      </c>
      <c r="BH1118" t="s">
        <v>77</v>
      </c>
      <c r="BI1118" t="s">
        <v>204</v>
      </c>
      <c r="BJ1118" t="s">
        <v>79</v>
      </c>
      <c r="BM1118">
        <v>2</v>
      </c>
      <c r="BN1118">
        <v>0</v>
      </c>
      <c r="BO1118">
        <v>2</v>
      </c>
      <c r="BP1118" t="s">
        <v>80</v>
      </c>
      <c r="BR1118">
        <v>0</v>
      </c>
      <c r="BS1118">
        <v>6</v>
      </c>
      <c r="BU1118">
        <v>93327</v>
      </c>
    </row>
    <row r="1119" spans="1:73" x14ac:dyDescent="0.3">
      <c r="A1119" t="s">
        <v>5824</v>
      </c>
      <c r="B1119">
        <v>0</v>
      </c>
      <c r="C1119">
        <v>0</v>
      </c>
      <c r="D1119">
        <v>4</v>
      </c>
      <c r="E1119">
        <v>12794286</v>
      </c>
      <c r="F1119">
        <v>0</v>
      </c>
      <c r="G1119">
        <v>0</v>
      </c>
      <c r="H1119">
        <v>2</v>
      </c>
      <c r="I1119">
        <v>2940566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51193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28390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14</v>
      </c>
      <c r="BC1119" s="1">
        <v>28688304</v>
      </c>
      <c r="BD1119" t="s">
        <v>74</v>
      </c>
      <c r="BE1119" t="s">
        <v>5825</v>
      </c>
      <c r="BF1119" t="s">
        <v>3533</v>
      </c>
      <c r="BH1119" t="s">
        <v>77</v>
      </c>
      <c r="BI1119" t="s">
        <v>92</v>
      </c>
      <c r="BJ1119" t="s">
        <v>79</v>
      </c>
      <c r="BM1119">
        <v>2</v>
      </c>
      <c r="BN1119">
        <v>2</v>
      </c>
      <c r="BO1119">
        <v>4</v>
      </c>
      <c r="BP1119" t="s">
        <v>80</v>
      </c>
      <c r="BR1119">
        <v>0</v>
      </c>
      <c r="BS1119">
        <v>4</v>
      </c>
      <c r="BU1119">
        <v>15814435</v>
      </c>
    </row>
    <row r="1120" spans="1:73" x14ac:dyDescent="0.3">
      <c r="A1120" t="s">
        <v>5826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73535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2</v>
      </c>
      <c r="BC1120" s="1">
        <v>147070</v>
      </c>
      <c r="BD1120" t="s">
        <v>74</v>
      </c>
      <c r="BE1120" t="s">
        <v>5827</v>
      </c>
      <c r="BF1120" t="s">
        <v>4783</v>
      </c>
      <c r="BH1120" t="s">
        <v>77</v>
      </c>
      <c r="BI1120" t="s">
        <v>574</v>
      </c>
      <c r="BJ1120" t="s">
        <v>79</v>
      </c>
      <c r="BM1120">
        <v>1</v>
      </c>
      <c r="BN1120">
        <v>0</v>
      </c>
      <c r="BO1120">
        <v>1</v>
      </c>
      <c r="BP1120" t="s">
        <v>80</v>
      </c>
      <c r="BR1120">
        <v>0</v>
      </c>
      <c r="BS1120">
        <v>6</v>
      </c>
      <c r="BU1120">
        <v>73535</v>
      </c>
    </row>
    <row r="1121" spans="1:73" x14ac:dyDescent="0.3">
      <c r="A1121" t="s">
        <v>5833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73535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2</v>
      </c>
      <c r="BC1121" s="1">
        <v>147070</v>
      </c>
      <c r="BD1121" t="s">
        <v>74</v>
      </c>
      <c r="BE1121" t="s">
        <v>5834</v>
      </c>
      <c r="BF1121" t="s">
        <v>5835</v>
      </c>
      <c r="BH1121" t="s">
        <v>77</v>
      </c>
      <c r="BI1121" t="s">
        <v>574</v>
      </c>
      <c r="BJ1121" t="s">
        <v>79</v>
      </c>
      <c r="BM1121">
        <v>1</v>
      </c>
      <c r="BN1121">
        <v>0</v>
      </c>
      <c r="BO1121">
        <v>1</v>
      </c>
      <c r="BP1121" t="s">
        <v>80</v>
      </c>
      <c r="BR1121">
        <v>0</v>
      </c>
      <c r="BS1121">
        <v>6</v>
      </c>
      <c r="BU1121">
        <v>73535</v>
      </c>
    </row>
    <row r="1122" spans="1:73" x14ac:dyDescent="0.3">
      <c r="A1122" t="s">
        <v>5844</v>
      </c>
      <c r="B1122">
        <v>0</v>
      </c>
      <c r="C1122">
        <v>0</v>
      </c>
      <c r="D1122">
        <v>2</v>
      </c>
      <c r="E1122">
        <v>791428</v>
      </c>
      <c r="F1122">
        <v>0</v>
      </c>
      <c r="G1122">
        <v>0</v>
      </c>
      <c r="H1122">
        <v>2</v>
      </c>
      <c r="I1122">
        <v>40000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5</v>
      </c>
      <c r="BC1122" s="1">
        <v>1661441</v>
      </c>
      <c r="BD1122" t="s">
        <v>74</v>
      </c>
      <c r="BE1122" t="s">
        <v>5845</v>
      </c>
      <c r="BF1122" t="s">
        <v>5846</v>
      </c>
      <c r="BH1122" t="s">
        <v>77</v>
      </c>
      <c r="BI1122" t="s">
        <v>92</v>
      </c>
      <c r="BJ1122" t="s">
        <v>79</v>
      </c>
      <c r="BM1122">
        <v>0</v>
      </c>
      <c r="BN1122">
        <v>2</v>
      </c>
      <c r="BO1122">
        <v>2</v>
      </c>
      <c r="BP1122" t="s">
        <v>80</v>
      </c>
      <c r="BR1122">
        <v>0</v>
      </c>
      <c r="BS1122">
        <v>6</v>
      </c>
      <c r="BU1122">
        <v>831428</v>
      </c>
    </row>
    <row r="1123" spans="1:73" x14ac:dyDescent="0.3">
      <c r="A1123" t="s">
        <v>5850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73535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2</v>
      </c>
      <c r="BC1123" s="1">
        <v>147070</v>
      </c>
      <c r="BD1123" t="s">
        <v>74</v>
      </c>
      <c r="BE1123" t="s">
        <v>5851</v>
      </c>
      <c r="BF1123" t="s">
        <v>5852</v>
      </c>
      <c r="BH1123" t="s">
        <v>77</v>
      </c>
      <c r="BI1123" t="s">
        <v>574</v>
      </c>
      <c r="BJ1123" t="s">
        <v>79</v>
      </c>
      <c r="BM1123">
        <v>1</v>
      </c>
      <c r="BN1123">
        <v>0</v>
      </c>
      <c r="BO1123">
        <v>1</v>
      </c>
      <c r="BP1123" t="s">
        <v>80</v>
      </c>
      <c r="BR1123">
        <v>0</v>
      </c>
      <c r="BS1123">
        <v>6</v>
      </c>
      <c r="BU1123">
        <v>73535</v>
      </c>
    </row>
    <row r="1124" spans="1:73" x14ac:dyDescent="0.3">
      <c r="A1124" t="s">
        <v>5858</v>
      </c>
      <c r="B1124">
        <v>4</v>
      </c>
      <c r="C1124">
        <v>1310456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4</v>
      </c>
      <c r="BC1124" s="1">
        <v>1310456</v>
      </c>
      <c r="BD1124" t="s">
        <v>74</v>
      </c>
      <c r="BE1124" t="s">
        <v>5859</v>
      </c>
      <c r="BF1124" t="s">
        <v>5860</v>
      </c>
      <c r="BH1124" t="s">
        <v>77</v>
      </c>
      <c r="BI1124" t="s">
        <v>129</v>
      </c>
      <c r="BJ1124" t="s">
        <v>79</v>
      </c>
      <c r="BM1124">
        <v>0</v>
      </c>
      <c r="BN1124">
        <v>1</v>
      </c>
      <c r="BO1124">
        <v>1</v>
      </c>
      <c r="BP1124" t="s">
        <v>80</v>
      </c>
      <c r="BR1124">
        <v>0</v>
      </c>
      <c r="BS1124">
        <v>0</v>
      </c>
      <c r="BU1124">
        <v>1310456</v>
      </c>
    </row>
    <row r="1125" spans="1:73" x14ac:dyDescent="0.3">
      <c r="A1125" t="s">
        <v>5864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78585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 s="1">
        <v>78585</v>
      </c>
      <c r="BD1125" t="s">
        <v>74</v>
      </c>
      <c r="BE1125" t="s">
        <v>5865</v>
      </c>
      <c r="BF1125" t="s">
        <v>5866</v>
      </c>
      <c r="BH1125" t="s">
        <v>77</v>
      </c>
      <c r="BI1125" t="s">
        <v>593</v>
      </c>
      <c r="BJ1125" t="s">
        <v>79</v>
      </c>
      <c r="BM1125">
        <v>1</v>
      </c>
      <c r="BN1125">
        <v>0</v>
      </c>
      <c r="BO1125">
        <v>1</v>
      </c>
      <c r="BP1125" t="s">
        <v>80</v>
      </c>
      <c r="BR1125">
        <v>0</v>
      </c>
      <c r="BS1125">
        <v>0</v>
      </c>
      <c r="BU1125">
        <v>78585</v>
      </c>
    </row>
    <row r="1126" spans="1:73" x14ac:dyDescent="0.3">
      <c r="A1126" t="s">
        <v>5867</v>
      </c>
      <c r="B1126">
        <v>0</v>
      </c>
      <c r="C1126">
        <v>0</v>
      </c>
      <c r="D1126">
        <v>3</v>
      </c>
      <c r="E1126">
        <v>469091</v>
      </c>
      <c r="F1126">
        <v>0</v>
      </c>
      <c r="G1126">
        <v>0</v>
      </c>
      <c r="H1126">
        <v>4</v>
      </c>
      <c r="I1126">
        <v>80000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6</v>
      </c>
      <c r="BC1126" s="1">
        <v>938182</v>
      </c>
      <c r="BD1126" t="s">
        <v>74</v>
      </c>
      <c r="BE1126" t="s">
        <v>5868</v>
      </c>
      <c r="BF1126" t="s">
        <v>5869</v>
      </c>
      <c r="BH1126" t="s">
        <v>77</v>
      </c>
      <c r="BI1126" t="s">
        <v>593</v>
      </c>
      <c r="BJ1126" t="s">
        <v>79</v>
      </c>
      <c r="BM1126">
        <v>0</v>
      </c>
      <c r="BN1126">
        <v>2</v>
      </c>
      <c r="BO1126">
        <v>2</v>
      </c>
      <c r="BP1126" t="s">
        <v>80</v>
      </c>
      <c r="BR1126">
        <v>0</v>
      </c>
      <c r="BS1126">
        <v>6</v>
      </c>
      <c r="BU1126">
        <v>549091</v>
      </c>
    </row>
    <row r="1127" spans="1:73" x14ac:dyDescent="0.3">
      <c r="A1127" t="s">
        <v>5876</v>
      </c>
      <c r="B1127">
        <v>11</v>
      </c>
      <c r="C1127">
        <v>3736804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11</v>
      </c>
      <c r="BC1127" s="1">
        <v>3736804</v>
      </c>
      <c r="BD1127" t="s">
        <v>74</v>
      </c>
      <c r="BE1127" t="s">
        <v>5877</v>
      </c>
      <c r="BF1127" t="s">
        <v>5878</v>
      </c>
      <c r="BM1127">
        <v>0</v>
      </c>
      <c r="BN1127">
        <v>1</v>
      </c>
      <c r="BO1127">
        <v>1</v>
      </c>
      <c r="BP1127" t="s">
        <v>80</v>
      </c>
      <c r="BR1127">
        <v>0</v>
      </c>
      <c r="BS1127">
        <v>6</v>
      </c>
      <c r="BU1127">
        <v>3736804</v>
      </c>
    </row>
    <row r="1128" spans="1:73" x14ac:dyDescent="0.3">
      <c r="A1128" t="s">
        <v>5884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19792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2</v>
      </c>
      <c r="BC1128" s="1">
        <v>39584</v>
      </c>
      <c r="BD1128" t="s">
        <v>74</v>
      </c>
      <c r="BE1128" t="s">
        <v>5885</v>
      </c>
      <c r="BF1128" t="s">
        <v>5886</v>
      </c>
      <c r="BH1128" t="s">
        <v>77</v>
      </c>
      <c r="BI1128" t="s">
        <v>88</v>
      </c>
      <c r="BJ1128" t="s">
        <v>79</v>
      </c>
      <c r="BM1128">
        <v>1</v>
      </c>
      <c r="BN1128">
        <v>0</v>
      </c>
      <c r="BO1128">
        <v>1</v>
      </c>
      <c r="BP1128" t="s">
        <v>80</v>
      </c>
      <c r="BR1128">
        <v>0</v>
      </c>
      <c r="BS1128">
        <v>6</v>
      </c>
      <c r="BU1128">
        <v>19792</v>
      </c>
    </row>
    <row r="1129" spans="1:73" x14ac:dyDescent="0.3">
      <c r="A1129" t="s">
        <v>5887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78585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 s="1">
        <v>78585</v>
      </c>
      <c r="BD1129" t="s">
        <v>74</v>
      </c>
      <c r="BE1129" t="s">
        <v>5888</v>
      </c>
      <c r="BF1129" t="s">
        <v>5889</v>
      </c>
      <c r="BH1129" t="s">
        <v>77</v>
      </c>
      <c r="BI1129" t="s">
        <v>574</v>
      </c>
      <c r="BJ1129" t="s">
        <v>79</v>
      </c>
      <c r="BM1129">
        <v>1</v>
      </c>
      <c r="BN1129">
        <v>0</v>
      </c>
      <c r="BO1129">
        <v>1</v>
      </c>
      <c r="BP1129" t="s">
        <v>80</v>
      </c>
      <c r="BR1129">
        <v>0</v>
      </c>
      <c r="BS1129">
        <v>6</v>
      </c>
      <c r="BU1129">
        <v>78585</v>
      </c>
    </row>
    <row r="1130" spans="1:73" x14ac:dyDescent="0.3">
      <c r="A1130" t="s">
        <v>5893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78585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 s="1">
        <v>78585</v>
      </c>
      <c r="BD1130" t="s">
        <v>74</v>
      </c>
      <c r="BE1130" t="s">
        <v>5894</v>
      </c>
      <c r="BF1130" t="s">
        <v>5895</v>
      </c>
      <c r="BH1130" t="s">
        <v>77</v>
      </c>
      <c r="BI1130" t="s">
        <v>84</v>
      </c>
      <c r="BJ1130" t="s">
        <v>79</v>
      </c>
      <c r="BM1130">
        <v>1</v>
      </c>
      <c r="BN1130">
        <v>0</v>
      </c>
      <c r="BO1130">
        <v>1</v>
      </c>
      <c r="BP1130" t="s">
        <v>80</v>
      </c>
      <c r="BR1130">
        <v>0</v>
      </c>
      <c r="BS1130">
        <v>0</v>
      </c>
      <c r="BU1130">
        <v>78585</v>
      </c>
    </row>
    <row r="1131" spans="1:73" x14ac:dyDescent="0.3">
      <c r="A1131" t="s">
        <v>5903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73535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2</v>
      </c>
      <c r="BC1131" s="1">
        <v>147070</v>
      </c>
      <c r="BD1131" t="s">
        <v>74</v>
      </c>
      <c r="BE1131" t="s">
        <v>5904</v>
      </c>
      <c r="BF1131" t="s">
        <v>5905</v>
      </c>
      <c r="BH1131" t="s">
        <v>77</v>
      </c>
      <c r="BI1131" t="s">
        <v>593</v>
      </c>
      <c r="BJ1131" t="s">
        <v>79</v>
      </c>
      <c r="BM1131">
        <v>1</v>
      </c>
      <c r="BN1131">
        <v>0</v>
      </c>
      <c r="BO1131">
        <v>1</v>
      </c>
      <c r="BP1131" t="s">
        <v>80</v>
      </c>
      <c r="BR1131">
        <v>0</v>
      </c>
      <c r="BS1131">
        <v>0</v>
      </c>
      <c r="BU1131">
        <v>73535</v>
      </c>
    </row>
    <row r="1132" spans="1:73" x14ac:dyDescent="0.3">
      <c r="A1132" t="s">
        <v>5906</v>
      </c>
      <c r="B1132">
        <v>0</v>
      </c>
      <c r="C1132">
        <v>0</v>
      </c>
      <c r="D1132">
        <v>1</v>
      </c>
      <c r="E1132">
        <v>2700000</v>
      </c>
      <c r="F1132">
        <v>0</v>
      </c>
      <c r="G1132">
        <v>0</v>
      </c>
      <c r="H1132">
        <v>2</v>
      </c>
      <c r="I1132">
        <v>195786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3</v>
      </c>
      <c r="BC1132" s="1">
        <v>2895786</v>
      </c>
      <c r="BD1132" t="s">
        <v>74</v>
      </c>
      <c r="BE1132" t="s">
        <v>5907</v>
      </c>
      <c r="BF1132" t="s">
        <v>5908</v>
      </c>
      <c r="BH1132" t="s">
        <v>77</v>
      </c>
      <c r="BI1132" t="s">
        <v>129</v>
      </c>
      <c r="BJ1132" t="s">
        <v>79</v>
      </c>
      <c r="BM1132">
        <v>0</v>
      </c>
      <c r="BN1132">
        <v>2</v>
      </c>
      <c r="BO1132">
        <v>2</v>
      </c>
      <c r="BP1132" t="s">
        <v>80</v>
      </c>
      <c r="BR1132">
        <v>0</v>
      </c>
      <c r="BS1132">
        <v>6</v>
      </c>
      <c r="BU1132">
        <v>2895786</v>
      </c>
    </row>
    <row r="1133" spans="1:73" x14ac:dyDescent="0.3">
      <c r="A1133" t="s">
        <v>5915</v>
      </c>
      <c r="B1133">
        <v>0</v>
      </c>
      <c r="C1133">
        <v>0</v>
      </c>
      <c r="D1133">
        <v>3</v>
      </c>
      <c r="E1133">
        <v>811428</v>
      </c>
      <c r="F1133">
        <v>0</v>
      </c>
      <c r="G1133">
        <v>0</v>
      </c>
      <c r="H1133">
        <v>4</v>
      </c>
      <c r="I1133">
        <v>80000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6</v>
      </c>
      <c r="BC1133" s="1">
        <v>1622856</v>
      </c>
      <c r="BD1133" t="s">
        <v>74</v>
      </c>
      <c r="BE1133" t="s">
        <v>5916</v>
      </c>
      <c r="BF1133" t="s">
        <v>5917</v>
      </c>
      <c r="BH1133" t="s">
        <v>136</v>
      </c>
      <c r="BI1133" t="s">
        <v>191</v>
      </c>
      <c r="BJ1133" t="s">
        <v>125</v>
      </c>
      <c r="BM1133">
        <v>0</v>
      </c>
      <c r="BN1133">
        <v>2</v>
      </c>
      <c r="BO1133">
        <v>2</v>
      </c>
      <c r="BP1133" t="s">
        <v>80</v>
      </c>
      <c r="BR1133">
        <v>0</v>
      </c>
      <c r="BS1133">
        <v>6</v>
      </c>
      <c r="BU1133">
        <v>891428</v>
      </c>
    </row>
    <row r="1134" spans="1:73" x14ac:dyDescent="0.3">
      <c r="A1134" t="s">
        <v>5924</v>
      </c>
      <c r="B1134">
        <v>0</v>
      </c>
      <c r="C1134">
        <v>0</v>
      </c>
      <c r="D1134">
        <v>1</v>
      </c>
      <c r="E1134">
        <v>13637</v>
      </c>
      <c r="F1134">
        <v>0</v>
      </c>
      <c r="G1134">
        <v>0</v>
      </c>
      <c r="H1134">
        <v>2</v>
      </c>
      <c r="I1134">
        <v>27274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2</v>
      </c>
      <c r="BC1134" s="1">
        <v>27274</v>
      </c>
      <c r="BD1134" t="s">
        <v>74</v>
      </c>
      <c r="BE1134" t="s">
        <v>5925</v>
      </c>
      <c r="BF1134" t="s">
        <v>5926</v>
      </c>
      <c r="BH1134" t="s">
        <v>77</v>
      </c>
      <c r="BI1134" t="s">
        <v>92</v>
      </c>
      <c r="BJ1134" t="s">
        <v>79</v>
      </c>
      <c r="BM1134">
        <v>0</v>
      </c>
      <c r="BN1134">
        <v>2</v>
      </c>
      <c r="BO1134">
        <v>2</v>
      </c>
      <c r="BP1134" t="s">
        <v>80</v>
      </c>
      <c r="BR1134">
        <v>0</v>
      </c>
      <c r="BS1134">
        <v>6</v>
      </c>
      <c r="BU1134">
        <v>40911</v>
      </c>
    </row>
    <row r="1135" spans="1:73" x14ac:dyDescent="0.3">
      <c r="A1135" t="s">
        <v>5927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78585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2</v>
      </c>
      <c r="BC1135" s="1">
        <v>157170</v>
      </c>
      <c r="BD1135" t="s">
        <v>74</v>
      </c>
      <c r="BE1135" t="s">
        <v>5928</v>
      </c>
      <c r="BF1135" t="s">
        <v>5929</v>
      </c>
      <c r="BH1135" t="s">
        <v>77</v>
      </c>
      <c r="BI1135" t="s">
        <v>92</v>
      </c>
      <c r="BJ1135" t="s">
        <v>79</v>
      </c>
      <c r="BM1135">
        <v>1</v>
      </c>
      <c r="BN1135">
        <v>0</v>
      </c>
      <c r="BO1135">
        <v>1</v>
      </c>
      <c r="BP1135" t="s">
        <v>80</v>
      </c>
      <c r="BR1135">
        <v>0</v>
      </c>
      <c r="BS1135">
        <v>6</v>
      </c>
      <c r="BU1135">
        <v>78585</v>
      </c>
    </row>
    <row r="1136" spans="1:73" x14ac:dyDescent="0.3">
      <c r="A1136" t="s">
        <v>5930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96439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 s="1">
        <v>96439</v>
      </c>
      <c r="BD1136" t="s">
        <v>74</v>
      </c>
      <c r="BE1136" t="s">
        <v>5931</v>
      </c>
      <c r="BF1136" t="s">
        <v>5932</v>
      </c>
      <c r="BH1136" t="s">
        <v>77</v>
      </c>
      <c r="BI1136" t="s">
        <v>281</v>
      </c>
      <c r="BJ1136" t="s">
        <v>79</v>
      </c>
      <c r="BM1136">
        <v>1</v>
      </c>
      <c r="BN1136">
        <v>0</v>
      </c>
      <c r="BO1136">
        <v>1</v>
      </c>
      <c r="BP1136" t="s">
        <v>80</v>
      </c>
      <c r="BR1136">
        <v>0</v>
      </c>
      <c r="BS1136">
        <v>6</v>
      </c>
      <c r="BU1136">
        <v>96439</v>
      </c>
    </row>
    <row r="1137" spans="1:73" x14ac:dyDescent="0.3">
      <c r="A1137" t="s">
        <v>5936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78585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2</v>
      </c>
      <c r="BC1137" s="1">
        <v>157170</v>
      </c>
      <c r="BD1137" t="s">
        <v>74</v>
      </c>
      <c r="BE1137" t="s">
        <v>5937</v>
      </c>
      <c r="BF1137" t="s">
        <v>5938</v>
      </c>
      <c r="BH1137" t="s">
        <v>77</v>
      </c>
      <c r="BI1137" t="s">
        <v>88</v>
      </c>
      <c r="BJ1137" t="s">
        <v>79</v>
      </c>
      <c r="BM1137">
        <v>1</v>
      </c>
      <c r="BN1137">
        <v>0</v>
      </c>
      <c r="BO1137">
        <v>1</v>
      </c>
      <c r="BP1137" t="s">
        <v>80</v>
      </c>
      <c r="BR1137">
        <v>0</v>
      </c>
      <c r="BS1137">
        <v>6</v>
      </c>
      <c r="BU1137">
        <v>78585</v>
      </c>
    </row>
    <row r="1138" spans="1:73" x14ac:dyDescent="0.3">
      <c r="A1138" t="s">
        <v>5939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78585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2</v>
      </c>
      <c r="BC1138" s="1">
        <v>157170</v>
      </c>
      <c r="BD1138" t="s">
        <v>74</v>
      </c>
      <c r="BE1138" t="s">
        <v>5940</v>
      </c>
      <c r="BF1138" t="s">
        <v>5941</v>
      </c>
      <c r="BH1138" t="s">
        <v>77</v>
      </c>
      <c r="BI1138" t="s">
        <v>204</v>
      </c>
      <c r="BJ1138" t="s">
        <v>79</v>
      </c>
      <c r="BM1138">
        <v>1</v>
      </c>
      <c r="BN1138">
        <v>0</v>
      </c>
      <c r="BO1138">
        <v>1</v>
      </c>
      <c r="BP1138" t="s">
        <v>80</v>
      </c>
      <c r="BR1138">
        <v>0</v>
      </c>
      <c r="BS1138">
        <v>6</v>
      </c>
      <c r="BU1138">
        <v>78585</v>
      </c>
    </row>
    <row r="1139" spans="1:73" x14ac:dyDescent="0.3">
      <c r="A1139" t="s">
        <v>5963</v>
      </c>
      <c r="B1139">
        <v>0</v>
      </c>
      <c r="C1139">
        <v>0</v>
      </c>
      <c r="D1139">
        <v>2</v>
      </c>
      <c r="E1139">
        <v>778182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4</v>
      </c>
      <c r="BC1139" s="1">
        <v>1556364</v>
      </c>
      <c r="BD1139" t="s">
        <v>74</v>
      </c>
      <c r="BE1139" t="s">
        <v>5964</v>
      </c>
      <c r="BF1139" t="s">
        <v>5965</v>
      </c>
      <c r="BH1139" t="s">
        <v>77</v>
      </c>
      <c r="BI1139" t="s">
        <v>129</v>
      </c>
      <c r="BJ1139" t="s">
        <v>79</v>
      </c>
      <c r="BM1139">
        <v>0</v>
      </c>
      <c r="BN1139">
        <v>1</v>
      </c>
      <c r="BO1139">
        <v>1</v>
      </c>
      <c r="BP1139" t="s">
        <v>80</v>
      </c>
      <c r="BR1139">
        <v>0</v>
      </c>
      <c r="BS1139">
        <v>6</v>
      </c>
      <c r="BU1139">
        <v>778182</v>
      </c>
    </row>
    <row r="1140" spans="1:73" x14ac:dyDescent="0.3">
      <c r="A1140" t="s">
        <v>5966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96439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 s="1">
        <v>96439</v>
      </c>
      <c r="BD1140" t="s">
        <v>74</v>
      </c>
      <c r="BE1140" t="s">
        <v>5967</v>
      </c>
      <c r="BF1140" t="s">
        <v>5968</v>
      </c>
      <c r="BH1140" t="s">
        <v>77</v>
      </c>
      <c r="BI1140" t="s">
        <v>228</v>
      </c>
      <c r="BJ1140" t="s">
        <v>79</v>
      </c>
      <c r="BM1140">
        <v>1</v>
      </c>
      <c r="BN1140">
        <v>0</v>
      </c>
      <c r="BO1140">
        <v>1</v>
      </c>
      <c r="BP1140" t="s">
        <v>80</v>
      </c>
      <c r="BR1140">
        <v>0</v>
      </c>
      <c r="BS1140">
        <v>6</v>
      </c>
      <c r="BU1140">
        <v>96439</v>
      </c>
    </row>
    <row r="1141" spans="1:73" x14ac:dyDescent="0.3">
      <c r="A1141" t="s">
        <v>5972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90909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2</v>
      </c>
      <c r="BC1141" s="1">
        <v>181818</v>
      </c>
      <c r="BD1141" t="s">
        <v>74</v>
      </c>
      <c r="BE1141" t="s">
        <v>5973</v>
      </c>
      <c r="BF1141" t="s">
        <v>5974</v>
      </c>
      <c r="BH1141" t="s">
        <v>77</v>
      </c>
      <c r="BI1141" t="s">
        <v>228</v>
      </c>
      <c r="BJ1141" t="s">
        <v>79</v>
      </c>
      <c r="BM1141">
        <v>1</v>
      </c>
      <c r="BN1141">
        <v>0</v>
      </c>
      <c r="BO1141">
        <v>1</v>
      </c>
      <c r="BP1141" t="s">
        <v>80</v>
      </c>
      <c r="BR1141">
        <v>0</v>
      </c>
      <c r="BS1141">
        <v>6</v>
      </c>
      <c r="BU1141">
        <v>90909</v>
      </c>
    </row>
    <row r="1142" spans="1:73" x14ac:dyDescent="0.3">
      <c r="A1142" t="s">
        <v>93</v>
      </c>
      <c r="B1142">
        <v>1</v>
      </c>
      <c r="C1142">
        <v>61465</v>
      </c>
      <c r="D1142">
        <v>28</v>
      </c>
      <c r="E1142">
        <v>2149161</v>
      </c>
      <c r="F1142">
        <v>0</v>
      </c>
      <c r="G1142">
        <v>0</v>
      </c>
      <c r="H1142">
        <v>46</v>
      </c>
      <c r="I1142">
        <v>1607921</v>
      </c>
      <c r="J1142">
        <v>0</v>
      </c>
      <c r="K1142">
        <v>0</v>
      </c>
      <c r="L1142">
        <v>0</v>
      </c>
      <c r="M1142">
        <v>0</v>
      </c>
      <c r="N1142">
        <v>6</v>
      </c>
      <c r="O1142">
        <v>9473100</v>
      </c>
      <c r="P1142">
        <v>5</v>
      </c>
      <c r="Q1142">
        <v>486727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2</v>
      </c>
      <c r="Z1142">
        <v>323535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91</v>
      </c>
      <c r="BC1142" s="1">
        <v>28523999</v>
      </c>
      <c r="BD1142" t="s">
        <v>94</v>
      </c>
      <c r="BE1142" t="s">
        <v>95</v>
      </c>
      <c r="BF1142" t="s">
        <v>96</v>
      </c>
      <c r="BH1142" t="s">
        <v>97</v>
      </c>
      <c r="BI1142" t="s">
        <v>98</v>
      </c>
      <c r="BJ1142" t="s">
        <v>79</v>
      </c>
      <c r="BM1142">
        <v>1</v>
      </c>
      <c r="BN1142">
        <v>5</v>
      </c>
      <c r="BO1142">
        <v>6</v>
      </c>
      <c r="BP1142" t="s">
        <v>99</v>
      </c>
      <c r="BR1142">
        <v>0</v>
      </c>
      <c r="BS1142">
        <v>4</v>
      </c>
      <c r="BU1142">
        <v>14101909</v>
      </c>
    </row>
    <row r="1143" spans="1:73" x14ac:dyDescent="0.3">
      <c r="A1143" t="s">
        <v>100</v>
      </c>
      <c r="B1143">
        <v>0</v>
      </c>
      <c r="C1143">
        <v>0</v>
      </c>
      <c r="D1143">
        <v>2</v>
      </c>
      <c r="E1143">
        <v>2840000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4</v>
      </c>
      <c r="BC1143" s="1">
        <v>5680000</v>
      </c>
      <c r="BD1143" t="s">
        <v>94</v>
      </c>
      <c r="BE1143" t="s">
        <v>101</v>
      </c>
      <c r="BF1143" t="s">
        <v>102</v>
      </c>
      <c r="BH1143" t="s">
        <v>97</v>
      </c>
      <c r="BI1143" t="s">
        <v>103</v>
      </c>
      <c r="BJ1143" t="s">
        <v>79</v>
      </c>
      <c r="BM1143">
        <v>0</v>
      </c>
      <c r="BN1143">
        <v>1</v>
      </c>
      <c r="BO1143">
        <v>1</v>
      </c>
      <c r="BP1143" t="s">
        <v>99</v>
      </c>
      <c r="BR1143">
        <v>0</v>
      </c>
      <c r="BS1143">
        <v>6</v>
      </c>
      <c r="BU1143">
        <v>2840000</v>
      </c>
    </row>
    <row r="1144" spans="1:73" x14ac:dyDescent="0.3">
      <c r="A1144" t="s">
        <v>104</v>
      </c>
      <c r="B1144">
        <v>0</v>
      </c>
      <c r="C1144">
        <v>0</v>
      </c>
      <c r="D1144">
        <v>1</v>
      </c>
      <c r="E1144">
        <v>200000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2</v>
      </c>
      <c r="BC1144" s="1">
        <v>400000</v>
      </c>
      <c r="BD1144" t="s">
        <v>94</v>
      </c>
      <c r="BE1144" t="s">
        <v>105</v>
      </c>
      <c r="BF1144" t="s">
        <v>106</v>
      </c>
      <c r="BH1144" t="s">
        <v>97</v>
      </c>
      <c r="BI1144" t="s">
        <v>107</v>
      </c>
      <c r="BJ1144" t="s">
        <v>79</v>
      </c>
      <c r="BM1144">
        <v>0</v>
      </c>
      <c r="BN1144">
        <v>1</v>
      </c>
      <c r="BO1144">
        <v>1</v>
      </c>
      <c r="BP1144" t="s">
        <v>80</v>
      </c>
      <c r="BR1144">
        <v>0</v>
      </c>
      <c r="BS1144">
        <v>6</v>
      </c>
      <c r="BU1144">
        <v>200000</v>
      </c>
    </row>
    <row r="1145" spans="1:73" x14ac:dyDescent="0.3">
      <c r="A1145" t="s">
        <v>116</v>
      </c>
      <c r="B1145">
        <v>0</v>
      </c>
      <c r="C1145">
        <v>0</v>
      </c>
      <c r="D1145">
        <v>3</v>
      </c>
      <c r="E1145">
        <v>1189999</v>
      </c>
      <c r="F1145">
        <v>0</v>
      </c>
      <c r="G1145">
        <v>0</v>
      </c>
      <c r="H1145">
        <v>2</v>
      </c>
      <c r="I1145">
        <v>40000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6</v>
      </c>
      <c r="BC1145" s="1">
        <v>2379998</v>
      </c>
      <c r="BD1145" t="s">
        <v>94</v>
      </c>
      <c r="BE1145" t="s">
        <v>117</v>
      </c>
      <c r="BF1145" t="s">
        <v>118</v>
      </c>
      <c r="BH1145" t="s">
        <v>97</v>
      </c>
      <c r="BI1145" t="s">
        <v>119</v>
      </c>
      <c r="BJ1145" t="s">
        <v>79</v>
      </c>
      <c r="BM1145">
        <v>0</v>
      </c>
      <c r="BN1145">
        <v>2</v>
      </c>
      <c r="BO1145">
        <v>2</v>
      </c>
      <c r="BP1145" t="s">
        <v>80</v>
      </c>
      <c r="BR1145">
        <v>0</v>
      </c>
      <c r="BS1145">
        <v>6</v>
      </c>
      <c r="BU1145">
        <v>1229999</v>
      </c>
    </row>
    <row r="1146" spans="1:73" x14ac:dyDescent="0.3">
      <c r="A1146" t="s">
        <v>120</v>
      </c>
      <c r="B1146">
        <v>0</v>
      </c>
      <c r="C1146">
        <v>0</v>
      </c>
      <c r="D1146">
        <v>3</v>
      </c>
      <c r="E1146">
        <v>365722</v>
      </c>
      <c r="F1146">
        <v>0</v>
      </c>
      <c r="G1146">
        <v>0</v>
      </c>
      <c r="H1146">
        <v>4</v>
      </c>
      <c r="I1146">
        <v>80000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6</v>
      </c>
      <c r="BC1146" s="1">
        <v>731444</v>
      </c>
      <c r="BD1146" t="s">
        <v>94</v>
      </c>
      <c r="BE1146" t="s">
        <v>121</v>
      </c>
      <c r="BF1146" t="s">
        <v>122</v>
      </c>
      <c r="BH1146" t="s">
        <v>123</v>
      </c>
      <c r="BI1146" t="s">
        <v>124</v>
      </c>
      <c r="BJ1146" t="s">
        <v>125</v>
      </c>
      <c r="BM1146">
        <v>0</v>
      </c>
      <c r="BN1146">
        <v>2</v>
      </c>
      <c r="BO1146">
        <v>2</v>
      </c>
      <c r="BP1146" t="s">
        <v>80</v>
      </c>
      <c r="BR1146">
        <v>0</v>
      </c>
      <c r="BS1146">
        <v>6</v>
      </c>
      <c r="BU1146">
        <v>445722</v>
      </c>
    </row>
    <row r="1147" spans="1:73" x14ac:dyDescent="0.3">
      <c r="A1147" t="s">
        <v>138</v>
      </c>
      <c r="B1147">
        <v>0</v>
      </c>
      <c r="C1147">
        <v>0</v>
      </c>
      <c r="D1147">
        <v>3</v>
      </c>
      <c r="E1147">
        <v>3086182</v>
      </c>
      <c r="F1147">
        <v>2</v>
      </c>
      <c r="G1147">
        <v>10920000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21</v>
      </c>
      <c r="BC1147" s="1">
        <v>52767609</v>
      </c>
      <c r="BD1147" t="s">
        <v>94</v>
      </c>
      <c r="BE1147" t="s">
        <v>139</v>
      </c>
      <c r="BF1147" t="s">
        <v>140</v>
      </c>
      <c r="BH1147" t="s">
        <v>114</v>
      </c>
      <c r="BI1147" t="s">
        <v>141</v>
      </c>
      <c r="BJ1147" t="s">
        <v>79</v>
      </c>
      <c r="BM1147">
        <v>0</v>
      </c>
      <c r="BN1147">
        <v>2</v>
      </c>
      <c r="BO1147">
        <v>2</v>
      </c>
      <c r="BP1147" t="s">
        <v>80</v>
      </c>
      <c r="BR1147">
        <v>0</v>
      </c>
      <c r="BS1147">
        <v>4</v>
      </c>
      <c r="BU1147">
        <v>14006182</v>
      </c>
    </row>
    <row r="1148" spans="1:73" x14ac:dyDescent="0.3">
      <c r="A1148" t="s">
        <v>142</v>
      </c>
      <c r="B1148">
        <v>0</v>
      </c>
      <c r="C1148">
        <v>0</v>
      </c>
      <c r="D1148">
        <v>2</v>
      </c>
      <c r="E1148">
        <v>250000</v>
      </c>
      <c r="F1148">
        <v>0</v>
      </c>
      <c r="G1148">
        <v>0</v>
      </c>
      <c r="H1148">
        <v>2</v>
      </c>
      <c r="I1148">
        <v>40000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4</v>
      </c>
      <c r="BC1148" s="1">
        <v>500000</v>
      </c>
      <c r="BD1148" t="s">
        <v>94</v>
      </c>
      <c r="BE1148" t="s">
        <v>143</v>
      </c>
      <c r="BF1148" t="s">
        <v>144</v>
      </c>
      <c r="BH1148" t="s">
        <v>97</v>
      </c>
      <c r="BI1148" t="s">
        <v>107</v>
      </c>
      <c r="BJ1148" t="s">
        <v>79</v>
      </c>
      <c r="BM1148">
        <v>0</v>
      </c>
      <c r="BN1148">
        <v>2</v>
      </c>
      <c r="BO1148">
        <v>2</v>
      </c>
      <c r="BP1148" t="s">
        <v>80</v>
      </c>
      <c r="BR1148">
        <v>0</v>
      </c>
      <c r="BS1148">
        <v>6</v>
      </c>
      <c r="BU1148">
        <v>290000</v>
      </c>
    </row>
    <row r="1149" spans="1:73" x14ac:dyDescent="0.3">
      <c r="A1149" t="s">
        <v>145</v>
      </c>
      <c r="B1149">
        <v>4</v>
      </c>
      <c r="C1149">
        <v>471450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4</v>
      </c>
      <c r="BC1149" s="1">
        <v>471450</v>
      </c>
      <c r="BD1149" t="s">
        <v>94</v>
      </c>
      <c r="BE1149" t="s">
        <v>146</v>
      </c>
      <c r="BF1149" t="s">
        <v>147</v>
      </c>
      <c r="BM1149">
        <v>0</v>
      </c>
      <c r="BN1149">
        <v>1</v>
      </c>
      <c r="BO1149">
        <v>1</v>
      </c>
      <c r="BP1149" t="s">
        <v>99</v>
      </c>
      <c r="BR1149">
        <v>0</v>
      </c>
      <c r="BS1149">
        <v>6</v>
      </c>
      <c r="BU1149">
        <v>471450</v>
      </c>
    </row>
    <row r="1150" spans="1:73" x14ac:dyDescent="0.3">
      <c r="A1150" t="s">
        <v>154</v>
      </c>
      <c r="B1150">
        <v>0</v>
      </c>
      <c r="C1150">
        <v>0</v>
      </c>
      <c r="D1150">
        <v>2</v>
      </c>
      <c r="E1150">
        <v>5600000</v>
      </c>
      <c r="F1150">
        <v>0</v>
      </c>
      <c r="G1150">
        <v>0</v>
      </c>
      <c r="H1150">
        <v>15</v>
      </c>
      <c r="I1150">
        <v>295000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17</v>
      </c>
      <c r="BC1150" s="1">
        <v>5895000</v>
      </c>
      <c r="BD1150" t="s">
        <v>94</v>
      </c>
      <c r="BE1150" t="s">
        <v>155</v>
      </c>
      <c r="BF1150" t="s">
        <v>156</v>
      </c>
      <c r="BH1150" t="s">
        <v>97</v>
      </c>
      <c r="BI1150" t="s">
        <v>119</v>
      </c>
      <c r="BJ1150" t="s">
        <v>79</v>
      </c>
      <c r="BM1150">
        <v>0</v>
      </c>
      <c r="BN1150">
        <v>2</v>
      </c>
      <c r="BO1150">
        <v>2</v>
      </c>
      <c r="BP1150" t="s">
        <v>80</v>
      </c>
      <c r="BR1150">
        <v>0</v>
      </c>
      <c r="BS1150">
        <v>5</v>
      </c>
      <c r="BU1150">
        <v>5895000</v>
      </c>
    </row>
    <row r="1151" spans="1:73" x14ac:dyDescent="0.3">
      <c r="A1151" t="s">
        <v>157</v>
      </c>
      <c r="B1151">
        <v>0</v>
      </c>
      <c r="C1151">
        <v>0</v>
      </c>
      <c r="D1151">
        <v>1</v>
      </c>
      <c r="E1151">
        <v>720000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 s="1">
        <v>720000</v>
      </c>
      <c r="BD1151" t="s">
        <v>94</v>
      </c>
      <c r="BE1151" t="s">
        <v>158</v>
      </c>
      <c r="BF1151" t="s">
        <v>159</v>
      </c>
      <c r="BH1151" t="s">
        <v>97</v>
      </c>
      <c r="BI1151" t="s">
        <v>160</v>
      </c>
      <c r="BJ1151" t="s">
        <v>79</v>
      </c>
      <c r="BM1151">
        <v>0</v>
      </c>
      <c r="BN1151">
        <v>1</v>
      </c>
      <c r="BO1151">
        <v>1</v>
      </c>
      <c r="BP1151" t="s">
        <v>80</v>
      </c>
      <c r="BR1151">
        <v>0</v>
      </c>
      <c r="BS1151">
        <v>6</v>
      </c>
      <c r="BU1151">
        <v>720000</v>
      </c>
    </row>
    <row r="1152" spans="1:73" x14ac:dyDescent="0.3">
      <c r="A1152" t="s">
        <v>169</v>
      </c>
      <c r="B1152">
        <v>5</v>
      </c>
      <c r="C1152">
        <v>313636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5</v>
      </c>
      <c r="BC1152" s="1">
        <v>313636</v>
      </c>
      <c r="BD1152" t="s">
        <v>94</v>
      </c>
      <c r="BE1152" t="s">
        <v>170</v>
      </c>
      <c r="BF1152" t="s">
        <v>171</v>
      </c>
      <c r="BM1152">
        <v>0</v>
      </c>
      <c r="BN1152">
        <v>1</v>
      </c>
      <c r="BO1152">
        <v>1</v>
      </c>
      <c r="BP1152" t="s">
        <v>80</v>
      </c>
      <c r="BR1152">
        <v>0</v>
      </c>
      <c r="BS1152">
        <v>0</v>
      </c>
      <c r="BU1152">
        <v>313636</v>
      </c>
    </row>
    <row r="1153" spans="1:73" x14ac:dyDescent="0.3">
      <c r="A1153" t="s">
        <v>182</v>
      </c>
      <c r="B1153">
        <v>0</v>
      </c>
      <c r="C1153">
        <v>0</v>
      </c>
      <c r="D1153">
        <v>1</v>
      </c>
      <c r="E1153">
        <v>516364</v>
      </c>
      <c r="F1153">
        <v>0</v>
      </c>
      <c r="G1153">
        <v>0</v>
      </c>
      <c r="H1153">
        <v>1</v>
      </c>
      <c r="I1153">
        <v>20000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</v>
      </c>
      <c r="BC1153" s="1">
        <v>1052728</v>
      </c>
      <c r="BD1153" t="s">
        <v>94</v>
      </c>
      <c r="BE1153" t="s">
        <v>183</v>
      </c>
      <c r="BF1153" t="s">
        <v>184</v>
      </c>
      <c r="BH1153" t="s">
        <v>97</v>
      </c>
      <c r="BI1153" t="s">
        <v>119</v>
      </c>
      <c r="BJ1153" t="s">
        <v>79</v>
      </c>
      <c r="BM1153">
        <v>0</v>
      </c>
      <c r="BN1153">
        <v>2</v>
      </c>
      <c r="BO1153">
        <v>2</v>
      </c>
      <c r="BP1153" t="s">
        <v>80</v>
      </c>
      <c r="BR1153">
        <v>0</v>
      </c>
      <c r="BS1153">
        <v>6</v>
      </c>
      <c r="BU1153">
        <v>536364</v>
      </c>
    </row>
    <row r="1154" spans="1:73" x14ac:dyDescent="0.3">
      <c r="A1154" t="s">
        <v>185</v>
      </c>
      <c r="B1154">
        <v>0</v>
      </c>
      <c r="C1154">
        <v>0</v>
      </c>
      <c r="D1154">
        <v>1</v>
      </c>
      <c r="E1154">
        <v>432000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</v>
      </c>
      <c r="Z1154">
        <v>230705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6</v>
      </c>
      <c r="BC1154" s="1">
        <v>814825</v>
      </c>
      <c r="BD1154" t="s">
        <v>94</v>
      </c>
      <c r="BE1154" t="s">
        <v>186</v>
      </c>
      <c r="BF1154" t="s">
        <v>187</v>
      </c>
      <c r="BH1154" t="s">
        <v>97</v>
      </c>
      <c r="BI1154" t="s">
        <v>103</v>
      </c>
      <c r="BJ1154" t="s">
        <v>79</v>
      </c>
      <c r="BM1154">
        <v>1</v>
      </c>
      <c r="BN1154">
        <v>1</v>
      </c>
      <c r="BO1154">
        <v>2</v>
      </c>
      <c r="BP1154" t="s">
        <v>80</v>
      </c>
      <c r="BR1154">
        <v>0</v>
      </c>
      <c r="BS1154">
        <v>6</v>
      </c>
      <c r="BU1154">
        <v>662705</v>
      </c>
    </row>
    <row r="1155" spans="1:73" x14ac:dyDescent="0.3">
      <c r="A1155" t="s">
        <v>192</v>
      </c>
      <c r="B1155">
        <v>0</v>
      </c>
      <c r="C1155">
        <v>0</v>
      </c>
      <c r="D1155">
        <v>1</v>
      </c>
      <c r="E1155">
        <v>964286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 s="1">
        <v>964286</v>
      </c>
      <c r="BD1155" t="s">
        <v>94</v>
      </c>
      <c r="BE1155" t="s">
        <v>193</v>
      </c>
      <c r="BF1155" t="s">
        <v>194</v>
      </c>
      <c r="BH1155" t="s">
        <v>97</v>
      </c>
      <c r="BI1155" t="s">
        <v>103</v>
      </c>
      <c r="BJ1155" t="s">
        <v>79</v>
      </c>
      <c r="BM1155">
        <v>0</v>
      </c>
      <c r="BN1155">
        <v>1</v>
      </c>
      <c r="BO1155">
        <v>1</v>
      </c>
      <c r="BP1155" t="s">
        <v>80</v>
      </c>
      <c r="BR1155">
        <v>0</v>
      </c>
      <c r="BS1155">
        <v>6</v>
      </c>
      <c r="BU1155">
        <v>964286</v>
      </c>
    </row>
    <row r="1156" spans="1:73" x14ac:dyDescent="0.3">
      <c r="A1156" t="s">
        <v>195</v>
      </c>
      <c r="B1156">
        <v>0</v>
      </c>
      <c r="C1156">
        <v>0</v>
      </c>
      <c r="D1156">
        <v>5</v>
      </c>
      <c r="E1156">
        <v>1380000</v>
      </c>
      <c r="F1156">
        <v>0</v>
      </c>
      <c r="G1156">
        <v>0</v>
      </c>
      <c r="H1156">
        <v>6</v>
      </c>
      <c r="I1156">
        <v>120000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73535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11</v>
      </c>
      <c r="BC1156" s="1">
        <v>2833535</v>
      </c>
      <c r="BD1156" t="s">
        <v>94</v>
      </c>
      <c r="BE1156" t="s">
        <v>196</v>
      </c>
      <c r="BF1156" t="s">
        <v>197</v>
      </c>
      <c r="BH1156" t="s">
        <v>123</v>
      </c>
      <c r="BI1156" t="s">
        <v>124</v>
      </c>
      <c r="BJ1156" t="s">
        <v>125</v>
      </c>
      <c r="BM1156">
        <v>1</v>
      </c>
      <c r="BN1156">
        <v>2</v>
      </c>
      <c r="BO1156">
        <v>3</v>
      </c>
      <c r="BP1156" t="s">
        <v>99</v>
      </c>
      <c r="BR1156">
        <v>0</v>
      </c>
      <c r="BS1156">
        <v>6</v>
      </c>
      <c r="BU1156">
        <v>1573535</v>
      </c>
    </row>
    <row r="1157" spans="1:73" x14ac:dyDescent="0.3">
      <c r="A1157" t="s">
        <v>198</v>
      </c>
      <c r="B1157">
        <v>1</v>
      </c>
      <c r="C1157">
        <v>342043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 s="1">
        <v>342043</v>
      </c>
      <c r="BD1157" t="s">
        <v>94</v>
      </c>
      <c r="BE1157" t="s">
        <v>199</v>
      </c>
      <c r="BF1157" t="s">
        <v>200</v>
      </c>
      <c r="BM1157">
        <v>0</v>
      </c>
      <c r="BN1157">
        <v>1</v>
      </c>
      <c r="BO1157">
        <v>1</v>
      </c>
      <c r="BP1157" t="s">
        <v>80</v>
      </c>
      <c r="BR1157">
        <v>0</v>
      </c>
      <c r="BS1157">
        <v>0</v>
      </c>
      <c r="BU1157">
        <v>342043</v>
      </c>
    </row>
    <row r="1158" spans="1:73" x14ac:dyDescent="0.3">
      <c r="A1158" t="s">
        <v>205</v>
      </c>
      <c r="B1158">
        <v>0</v>
      </c>
      <c r="C1158">
        <v>0</v>
      </c>
      <c r="D1158">
        <v>7</v>
      </c>
      <c r="E1158">
        <v>527079</v>
      </c>
      <c r="F1158">
        <v>0</v>
      </c>
      <c r="G1158">
        <v>0</v>
      </c>
      <c r="H1158">
        <v>15</v>
      </c>
      <c r="I1158">
        <v>376072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19</v>
      </c>
      <c r="BC1158" s="1">
        <v>1159158</v>
      </c>
      <c r="BD1158" t="s">
        <v>94</v>
      </c>
      <c r="BE1158" t="s">
        <v>206</v>
      </c>
      <c r="BF1158" t="s">
        <v>207</v>
      </c>
      <c r="BH1158" t="s">
        <v>97</v>
      </c>
      <c r="BI1158" t="s">
        <v>208</v>
      </c>
      <c r="BJ1158" t="s">
        <v>79</v>
      </c>
      <c r="BM1158">
        <v>0</v>
      </c>
      <c r="BN1158">
        <v>2</v>
      </c>
      <c r="BO1158">
        <v>2</v>
      </c>
      <c r="BP1158" t="s">
        <v>80</v>
      </c>
      <c r="BR1158">
        <v>0</v>
      </c>
      <c r="BS1158">
        <v>6</v>
      </c>
      <c r="BU1158">
        <v>903151</v>
      </c>
    </row>
    <row r="1159" spans="1:73" x14ac:dyDescent="0.3">
      <c r="A1159" t="s">
        <v>215</v>
      </c>
      <c r="B1159">
        <v>0</v>
      </c>
      <c r="C1159">
        <v>0</v>
      </c>
      <c r="D1159">
        <v>1</v>
      </c>
      <c r="E1159">
        <v>500000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3</v>
      </c>
      <c r="BC1159" s="1">
        <v>1222857</v>
      </c>
      <c r="BD1159" t="s">
        <v>94</v>
      </c>
      <c r="BE1159" t="s">
        <v>216</v>
      </c>
      <c r="BF1159" t="s">
        <v>217</v>
      </c>
      <c r="BH1159" t="s">
        <v>97</v>
      </c>
      <c r="BI1159" t="s">
        <v>98</v>
      </c>
      <c r="BJ1159" t="s">
        <v>79</v>
      </c>
      <c r="BM1159">
        <v>0</v>
      </c>
      <c r="BN1159">
        <v>1</v>
      </c>
      <c r="BO1159">
        <v>1</v>
      </c>
      <c r="BP1159" t="s">
        <v>80</v>
      </c>
      <c r="BR1159">
        <v>0</v>
      </c>
      <c r="BS1159">
        <v>6</v>
      </c>
      <c r="BU1159">
        <v>500000</v>
      </c>
    </row>
    <row r="1160" spans="1:73" x14ac:dyDescent="0.3">
      <c r="A1160" t="s">
        <v>229</v>
      </c>
      <c r="B1160">
        <v>0</v>
      </c>
      <c r="C1160">
        <v>0</v>
      </c>
      <c r="D1160">
        <v>1</v>
      </c>
      <c r="E1160">
        <v>193200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2</v>
      </c>
      <c r="BC1160" s="1">
        <v>386400</v>
      </c>
      <c r="BD1160" t="s">
        <v>94</v>
      </c>
      <c r="BE1160" t="s">
        <v>230</v>
      </c>
      <c r="BF1160" t="s">
        <v>231</v>
      </c>
      <c r="BH1160" t="s">
        <v>97</v>
      </c>
      <c r="BI1160" t="s">
        <v>232</v>
      </c>
      <c r="BJ1160" t="s">
        <v>79</v>
      </c>
      <c r="BM1160">
        <v>0</v>
      </c>
      <c r="BN1160">
        <v>1</v>
      </c>
      <c r="BO1160">
        <v>1</v>
      </c>
      <c r="BP1160" t="s">
        <v>80</v>
      </c>
      <c r="BR1160">
        <v>0</v>
      </c>
      <c r="BS1160">
        <v>6</v>
      </c>
      <c r="BU1160">
        <v>193200</v>
      </c>
    </row>
    <row r="1161" spans="1:73" x14ac:dyDescent="0.3">
      <c r="A1161" t="s">
        <v>239</v>
      </c>
      <c r="B1161">
        <v>0</v>
      </c>
      <c r="C1161">
        <v>0</v>
      </c>
      <c r="D1161">
        <v>2</v>
      </c>
      <c r="E1161">
        <v>690389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5</v>
      </c>
      <c r="BC1161" s="1">
        <v>1809349</v>
      </c>
      <c r="BD1161" t="s">
        <v>94</v>
      </c>
      <c r="BE1161" t="s">
        <v>240</v>
      </c>
      <c r="BF1161" t="s">
        <v>241</v>
      </c>
      <c r="BH1161" t="s">
        <v>97</v>
      </c>
      <c r="BI1161" t="s">
        <v>242</v>
      </c>
      <c r="BJ1161" t="s">
        <v>79</v>
      </c>
      <c r="BM1161">
        <v>0</v>
      </c>
      <c r="BN1161">
        <v>1</v>
      </c>
      <c r="BO1161">
        <v>1</v>
      </c>
      <c r="BP1161" t="s">
        <v>80</v>
      </c>
      <c r="BR1161">
        <v>0</v>
      </c>
      <c r="BS1161">
        <v>6</v>
      </c>
      <c r="BU1161">
        <v>690389</v>
      </c>
    </row>
    <row r="1162" spans="1:73" x14ac:dyDescent="0.3">
      <c r="A1162" t="s">
        <v>246</v>
      </c>
      <c r="B1162">
        <v>0</v>
      </c>
      <c r="C1162">
        <v>0</v>
      </c>
      <c r="D1162">
        <v>1</v>
      </c>
      <c r="E1162">
        <v>1125000</v>
      </c>
      <c r="F1162">
        <v>0</v>
      </c>
      <c r="G1162">
        <v>0</v>
      </c>
      <c r="H1162">
        <v>4</v>
      </c>
      <c r="I1162">
        <v>87767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5</v>
      </c>
      <c r="BC1162" s="1">
        <v>1212767</v>
      </c>
      <c r="BD1162" t="s">
        <v>94</v>
      </c>
      <c r="BE1162" t="s">
        <v>247</v>
      </c>
      <c r="BF1162" t="s">
        <v>248</v>
      </c>
      <c r="BH1162" t="s">
        <v>97</v>
      </c>
      <c r="BI1162" t="s">
        <v>119</v>
      </c>
      <c r="BJ1162" t="s">
        <v>79</v>
      </c>
      <c r="BM1162">
        <v>0</v>
      </c>
      <c r="BN1162">
        <v>2</v>
      </c>
      <c r="BO1162">
        <v>2</v>
      </c>
      <c r="BP1162" t="s">
        <v>80</v>
      </c>
      <c r="BR1162">
        <v>0</v>
      </c>
      <c r="BS1162">
        <v>6</v>
      </c>
      <c r="BU1162">
        <v>1212767</v>
      </c>
    </row>
    <row r="1163" spans="1:73" x14ac:dyDescent="0.3">
      <c r="A1163" t="s">
        <v>262</v>
      </c>
      <c r="B1163">
        <v>0</v>
      </c>
      <c r="C1163">
        <v>0</v>
      </c>
      <c r="D1163">
        <v>3</v>
      </c>
      <c r="E1163">
        <v>328000</v>
      </c>
      <c r="F1163">
        <v>0</v>
      </c>
      <c r="G1163">
        <v>0</v>
      </c>
      <c r="H1163">
        <v>6</v>
      </c>
      <c r="I1163">
        <v>120000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8</v>
      </c>
      <c r="BC1163" s="1">
        <v>696000</v>
      </c>
      <c r="BD1163" t="s">
        <v>94</v>
      </c>
      <c r="BE1163" t="s">
        <v>263</v>
      </c>
      <c r="BF1163" t="s">
        <v>264</v>
      </c>
      <c r="BH1163" t="s">
        <v>97</v>
      </c>
      <c r="BI1163" t="s">
        <v>265</v>
      </c>
      <c r="BJ1163" t="s">
        <v>79</v>
      </c>
      <c r="BM1163">
        <v>0</v>
      </c>
      <c r="BN1163">
        <v>2</v>
      </c>
      <c r="BO1163">
        <v>2</v>
      </c>
      <c r="BP1163" t="s">
        <v>80</v>
      </c>
      <c r="BR1163">
        <v>0</v>
      </c>
      <c r="BS1163">
        <v>6</v>
      </c>
      <c r="BU1163">
        <v>448000</v>
      </c>
    </row>
    <row r="1164" spans="1:73" x14ac:dyDescent="0.3">
      <c r="A1164" t="s">
        <v>269</v>
      </c>
      <c r="B1164">
        <v>0</v>
      </c>
      <c r="C1164">
        <v>0</v>
      </c>
      <c r="D1164">
        <v>1</v>
      </c>
      <c r="E1164">
        <v>2250000</v>
      </c>
      <c r="F1164">
        <v>0</v>
      </c>
      <c r="G1164">
        <v>0</v>
      </c>
      <c r="H1164">
        <v>7</v>
      </c>
      <c r="I1164">
        <v>156049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8</v>
      </c>
      <c r="BC1164" s="1">
        <v>2406049</v>
      </c>
      <c r="BD1164" t="s">
        <v>94</v>
      </c>
      <c r="BE1164" t="s">
        <v>270</v>
      </c>
      <c r="BF1164" t="s">
        <v>271</v>
      </c>
      <c r="BH1164" t="s">
        <v>97</v>
      </c>
      <c r="BI1164" t="s">
        <v>119</v>
      </c>
      <c r="BJ1164" t="s">
        <v>79</v>
      </c>
      <c r="BM1164">
        <v>0</v>
      </c>
      <c r="BN1164">
        <v>2</v>
      </c>
      <c r="BO1164">
        <v>2</v>
      </c>
      <c r="BP1164" t="s">
        <v>80</v>
      </c>
      <c r="BR1164">
        <v>0</v>
      </c>
      <c r="BS1164">
        <v>6</v>
      </c>
      <c r="BU1164">
        <v>2406049</v>
      </c>
    </row>
    <row r="1165" spans="1:73" x14ac:dyDescent="0.3">
      <c r="A1165" t="s">
        <v>272</v>
      </c>
      <c r="B1165">
        <v>2</v>
      </c>
      <c r="C1165">
        <v>818181</v>
      </c>
      <c r="D1165">
        <v>3</v>
      </c>
      <c r="E1165">
        <v>956571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7</v>
      </c>
      <c r="BC1165" s="1">
        <v>2302025</v>
      </c>
      <c r="BD1165" t="s">
        <v>94</v>
      </c>
      <c r="BE1165" t="s">
        <v>273</v>
      </c>
      <c r="BF1165" t="s">
        <v>274</v>
      </c>
      <c r="BH1165" t="s">
        <v>97</v>
      </c>
      <c r="BI1165" t="s">
        <v>119</v>
      </c>
      <c r="BJ1165" t="s">
        <v>79</v>
      </c>
      <c r="BM1165">
        <v>0</v>
      </c>
      <c r="BN1165">
        <v>2</v>
      </c>
      <c r="BO1165">
        <v>2</v>
      </c>
      <c r="BP1165" t="s">
        <v>80</v>
      </c>
      <c r="BR1165">
        <v>0</v>
      </c>
      <c r="BS1165">
        <v>6</v>
      </c>
      <c r="BU1165">
        <v>1774752</v>
      </c>
    </row>
    <row r="1166" spans="1:73" x14ac:dyDescent="0.3">
      <c r="A1166" t="s">
        <v>275</v>
      </c>
      <c r="B1166">
        <v>0</v>
      </c>
      <c r="C1166">
        <v>0</v>
      </c>
      <c r="D1166">
        <v>4</v>
      </c>
      <c r="E1166">
        <v>472501</v>
      </c>
      <c r="F1166">
        <v>0</v>
      </c>
      <c r="G1166">
        <v>0</v>
      </c>
      <c r="H1166">
        <v>6</v>
      </c>
      <c r="I1166">
        <v>245002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8</v>
      </c>
      <c r="BC1166" s="1">
        <v>945002</v>
      </c>
      <c r="BD1166" t="s">
        <v>94</v>
      </c>
      <c r="BE1166" t="s">
        <v>276</v>
      </c>
      <c r="BF1166" t="s">
        <v>277</v>
      </c>
      <c r="BH1166" t="s">
        <v>97</v>
      </c>
      <c r="BI1166" t="s">
        <v>242</v>
      </c>
      <c r="BJ1166" t="s">
        <v>79</v>
      </c>
      <c r="BM1166">
        <v>0</v>
      </c>
      <c r="BN1166">
        <v>2</v>
      </c>
      <c r="BO1166">
        <v>2</v>
      </c>
      <c r="BP1166" t="s">
        <v>80</v>
      </c>
      <c r="BR1166">
        <v>0</v>
      </c>
      <c r="BS1166">
        <v>6</v>
      </c>
      <c r="BU1166">
        <v>717503</v>
      </c>
    </row>
    <row r="1167" spans="1:73" x14ac:dyDescent="0.3">
      <c r="A1167" t="s">
        <v>285</v>
      </c>
      <c r="B1167">
        <v>0</v>
      </c>
      <c r="C1167">
        <v>0</v>
      </c>
      <c r="D1167">
        <v>2</v>
      </c>
      <c r="E1167">
        <v>884571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4</v>
      </c>
      <c r="BC1167" s="1">
        <v>1769142</v>
      </c>
      <c r="BD1167" t="s">
        <v>94</v>
      </c>
      <c r="BE1167" t="s">
        <v>286</v>
      </c>
      <c r="BF1167" t="s">
        <v>287</v>
      </c>
      <c r="BH1167" t="s">
        <v>123</v>
      </c>
      <c r="BI1167" t="s">
        <v>288</v>
      </c>
      <c r="BJ1167" t="s">
        <v>125</v>
      </c>
      <c r="BM1167">
        <v>0</v>
      </c>
      <c r="BN1167">
        <v>1</v>
      </c>
      <c r="BO1167">
        <v>1</v>
      </c>
      <c r="BP1167" t="s">
        <v>80</v>
      </c>
      <c r="BR1167">
        <v>0</v>
      </c>
      <c r="BS1167">
        <v>6</v>
      </c>
      <c r="BU1167">
        <v>884571</v>
      </c>
    </row>
    <row r="1168" spans="1:73" x14ac:dyDescent="0.3">
      <c r="A1168" t="s">
        <v>289</v>
      </c>
      <c r="B1168">
        <v>0</v>
      </c>
      <c r="C1168">
        <v>0</v>
      </c>
      <c r="D1168">
        <v>1</v>
      </c>
      <c r="E1168">
        <v>2250000</v>
      </c>
      <c r="F1168">
        <v>0</v>
      </c>
      <c r="G1168">
        <v>0</v>
      </c>
      <c r="H1168">
        <v>3</v>
      </c>
      <c r="I1168">
        <v>98519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4</v>
      </c>
      <c r="BC1168" s="1">
        <v>2348519</v>
      </c>
      <c r="BD1168" t="s">
        <v>94</v>
      </c>
      <c r="BE1168" t="s">
        <v>290</v>
      </c>
      <c r="BF1168" t="s">
        <v>291</v>
      </c>
      <c r="BH1168" t="s">
        <v>97</v>
      </c>
      <c r="BI1168" t="s">
        <v>208</v>
      </c>
      <c r="BJ1168" t="s">
        <v>79</v>
      </c>
      <c r="BM1168">
        <v>0</v>
      </c>
      <c r="BN1168">
        <v>2</v>
      </c>
      <c r="BO1168">
        <v>2</v>
      </c>
      <c r="BP1168" t="s">
        <v>80</v>
      </c>
      <c r="BR1168">
        <v>0</v>
      </c>
      <c r="BS1168">
        <v>6</v>
      </c>
      <c r="BU1168">
        <v>2348519</v>
      </c>
    </row>
    <row r="1169" spans="1:73" x14ac:dyDescent="0.3">
      <c r="A1169" t="s">
        <v>295</v>
      </c>
      <c r="B1169">
        <v>0</v>
      </c>
      <c r="C1169">
        <v>0</v>
      </c>
      <c r="D1169">
        <v>2</v>
      </c>
      <c r="E1169">
        <v>1830909</v>
      </c>
      <c r="F1169">
        <v>0</v>
      </c>
      <c r="G1169">
        <v>0</v>
      </c>
      <c r="H1169">
        <v>6</v>
      </c>
      <c r="I1169">
        <v>151090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8</v>
      </c>
      <c r="BC1169" s="1">
        <v>1981999</v>
      </c>
      <c r="BD1169" t="s">
        <v>94</v>
      </c>
      <c r="BE1169" t="s">
        <v>296</v>
      </c>
      <c r="BF1169" t="s">
        <v>297</v>
      </c>
      <c r="BH1169" t="s">
        <v>97</v>
      </c>
      <c r="BI1169" t="s">
        <v>208</v>
      </c>
      <c r="BJ1169" t="s">
        <v>79</v>
      </c>
      <c r="BM1169">
        <v>0</v>
      </c>
      <c r="BN1169">
        <v>2</v>
      </c>
      <c r="BO1169">
        <v>2</v>
      </c>
      <c r="BP1169" t="s">
        <v>80</v>
      </c>
      <c r="BR1169">
        <v>0</v>
      </c>
      <c r="BS1169">
        <v>6</v>
      </c>
      <c r="BU1169">
        <v>1981999</v>
      </c>
    </row>
    <row r="1170" spans="1:73" x14ac:dyDescent="0.3">
      <c r="A1170" t="s">
        <v>298</v>
      </c>
      <c r="B1170">
        <v>0</v>
      </c>
      <c r="C1170">
        <v>0</v>
      </c>
      <c r="D1170">
        <v>3</v>
      </c>
      <c r="E1170">
        <v>556364</v>
      </c>
      <c r="F1170">
        <v>0</v>
      </c>
      <c r="G1170">
        <v>0</v>
      </c>
      <c r="H1170">
        <v>6</v>
      </c>
      <c r="I1170">
        <v>120000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19792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10</v>
      </c>
      <c r="BC1170" s="1">
        <v>1192312</v>
      </c>
      <c r="BD1170" t="s">
        <v>94</v>
      </c>
      <c r="BE1170" t="s">
        <v>299</v>
      </c>
      <c r="BF1170" t="s">
        <v>300</v>
      </c>
      <c r="BH1170" t="s">
        <v>114</v>
      </c>
      <c r="BI1170" t="s">
        <v>301</v>
      </c>
      <c r="BJ1170" t="s">
        <v>79</v>
      </c>
      <c r="BM1170">
        <v>1</v>
      </c>
      <c r="BN1170">
        <v>2</v>
      </c>
      <c r="BO1170">
        <v>3</v>
      </c>
      <c r="BP1170" t="s">
        <v>80</v>
      </c>
      <c r="BR1170">
        <v>0</v>
      </c>
      <c r="BS1170">
        <v>6</v>
      </c>
      <c r="BU1170">
        <v>696156</v>
      </c>
    </row>
    <row r="1171" spans="1:73" x14ac:dyDescent="0.3">
      <c r="A1171" t="s">
        <v>308</v>
      </c>
      <c r="B1171">
        <v>1</v>
      </c>
      <c r="C1171">
        <v>234773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 s="1">
        <v>234773</v>
      </c>
      <c r="BD1171" t="s">
        <v>94</v>
      </c>
      <c r="BE1171" t="s">
        <v>309</v>
      </c>
      <c r="BF1171" t="s">
        <v>310</v>
      </c>
      <c r="BM1171">
        <v>0</v>
      </c>
      <c r="BN1171">
        <v>1</v>
      </c>
      <c r="BO1171">
        <v>1</v>
      </c>
      <c r="BP1171" t="s">
        <v>80</v>
      </c>
      <c r="BR1171">
        <v>0</v>
      </c>
      <c r="BS1171">
        <v>6</v>
      </c>
      <c r="BU1171">
        <v>234773</v>
      </c>
    </row>
    <row r="1172" spans="1:73" x14ac:dyDescent="0.3">
      <c r="A1172" t="s">
        <v>311</v>
      </c>
      <c r="B1172">
        <v>0</v>
      </c>
      <c r="C1172">
        <v>0</v>
      </c>
      <c r="D1172">
        <v>1</v>
      </c>
      <c r="E1172">
        <v>193200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  <c r="BC1172" s="1">
        <v>386400</v>
      </c>
      <c r="BD1172" t="s">
        <v>94</v>
      </c>
      <c r="BE1172" t="s">
        <v>312</v>
      </c>
      <c r="BF1172" t="s">
        <v>297</v>
      </c>
      <c r="BH1172" t="s">
        <v>97</v>
      </c>
      <c r="BI1172" t="s">
        <v>119</v>
      </c>
      <c r="BJ1172" t="s">
        <v>79</v>
      </c>
      <c r="BM1172">
        <v>0</v>
      </c>
      <c r="BN1172">
        <v>1</v>
      </c>
      <c r="BO1172">
        <v>1</v>
      </c>
      <c r="BP1172" t="s">
        <v>80</v>
      </c>
      <c r="BR1172">
        <v>0</v>
      </c>
      <c r="BS1172">
        <v>6</v>
      </c>
      <c r="BU1172">
        <v>193200</v>
      </c>
    </row>
    <row r="1173" spans="1:73" x14ac:dyDescent="0.3">
      <c r="A1173" t="s">
        <v>313</v>
      </c>
      <c r="B1173">
        <v>0</v>
      </c>
      <c r="C1173">
        <v>0</v>
      </c>
      <c r="D1173">
        <v>3</v>
      </c>
      <c r="E1173">
        <v>2714286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6</v>
      </c>
      <c r="BC1173" s="1">
        <v>5285715</v>
      </c>
      <c r="BD1173" t="s">
        <v>94</v>
      </c>
      <c r="BE1173" t="s">
        <v>314</v>
      </c>
      <c r="BF1173" t="s">
        <v>315</v>
      </c>
      <c r="BH1173" t="s">
        <v>123</v>
      </c>
      <c r="BI1173" t="s">
        <v>288</v>
      </c>
      <c r="BJ1173" t="s">
        <v>125</v>
      </c>
      <c r="BM1173">
        <v>0</v>
      </c>
      <c r="BN1173">
        <v>1</v>
      </c>
      <c r="BO1173">
        <v>1</v>
      </c>
      <c r="BP1173" t="s">
        <v>80</v>
      </c>
      <c r="BR1173">
        <v>0</v>
      </c>
      <c r="BS1173">
        <v>6</v>
      </c>
      <c r="BU1173">
        <v>2714286</v>
      </c>
    </row>
    <row r="1174" spans="1:73" x14ac:dyDescent="0.3">
      <c r="A1174" t="s">
        <v>316</v>
      </c>
      <c r="B1174">
        <v>1</v>
      </c>
      <c r="C1174">
        <v>148997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 s="1">
        <v>148997</v>
      </c>
      <c r="BD1174" t="s">
        <v>94</v>
      </c>
      <c r="BE1174" t="s">
        <v>317</v>
      </c>
      <c r="BF1174" t="s">
        <v>318</v>
      </c>
      <c r="BM1174">
        <v>0</v>
      </c>
      <c r="BN1174">
        <v>1</v>
      </c>
      <c r="BO1174">
        <v>1</v>
      </c>
      <c r="BP1174" t="s">
        <v>80</v>
      </c>
      <c r="BR1174">
        <v>0</v>
      </c>
      <c r="BS1174">
        <v>6</v>
      </c>
      <c r="BU1174">
        <v>148997</v>
      </c>
    </row>
    <row r="1175" spans="1:73" x14ac:dyDescent="0.3">
      <c r="A1175" t="s">
        <v>319</v>
      </c>
      <c r="B1175">
        <v>0</v>
      </c>
      <c r="C1175">
        <v>0</v>
      </c>
      <c r="D1175">
        <v>1</v>
      </c>
      <c r="E1175">
        <v>720000</v>
      </c>
      <c r="F1175">
        <v>0</v>
      </c>
      <c r="G1175">
        <v>0</v>
      </c>
      <c r="H1175">
        <v>2</v>
      </c>
      <c r="I1175">
        <v>61149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3</v>
      </c>
      <c r="BC1175" s="1">
        <v>781149</v>
      </c>
      <c r="BD1175" t="s">
        <v>94</v>
      </c>
      <c r="BE1175" t="s">
        <v>320</v>
      </c>
      <c r="BF1175" t="s">
        <v>321</v>
      </c>
      <c r="BH1175" t="s">
        <v>97</v>
      </c>
      <c r="BI1175" t="s">
        <v>265</v>
      </c>
      <c r="BJ1175" t="s">
        <v>79</v>
      </c>
      <c r="BM1175">
        <v>0</v>
      </c>
      <c r="BN1175">
        <v>2</v>
      </c>
      <c r="BO1175">
        <v>2</v>
      </c>
      <c r="BP1175" t="s">
        <v>80</v>
      </c>
      <c r="BR1175">
        <v>0</v>
      </c>
      <c r="BS1175">
        <v>6</v>
      </c>
      <c r="BU1175">
        <v>781149</v>
      </c>
    </row>
    <row r="1176" spans="1:73" x14ac:dyDescent="0.3">
      <c r="A1176" t="s">
        <v>322</v>
      </c>
      <c r="B1176">
        <v>0</v>
      </c>
      <c r="C1176">
        <v>0</v>
      </c>
      <c r="D1176">
        <v>1</v>
      </c>
      <c r="E1176">
        <v>152727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2</v>
      </c>
      <c r="BC1176" s="1">
        <v>305454</v>
      </c>
      <c r="BD1176" t="s">
        <v>94</v>
      </c>
      <c r="BE1176" t="s">
        <v>323</v>
      </c>
      <c r="BF1176" t="s">
        <v>324</v>
      </c>
      <c r="BH1176" t="s">
        <v>123</v>
      </c>
      <c r="BI1176" t="s">
        <v>325</v>
      </c>
      <c r="BJ1176" t="s">
        <v>125</v>
      </c>
      <c r="BM1176">
        <v>0</v>
      </c>
      <c r="BN1176">
        <v>1</v>
      </c>
      <c r="BO1176">
        <v>1</v>
      </c>
      <c r="BP1176" t="s">
        <v>80</v>
      </c>
      <c r="BR1176">
        <v>0</v>
      </c>
      <c r="BS1176">
        <v>6</v>
      </c>
      <c r="BU1176">
        <v>152727</v>
      </c>
    </row>
    <row r="1177" spans="1:73" x14ac:dyDescent="0.3">
      <c r="A1177" t="s">
        <v>337</v>
      </c>
      <c r="B1177">
        <v>0</v>
      </c>
      <c r="C1177">
        <v>0</v>
      </c>
      <c r="D1177">
        <v>10</v>
      </c>
      <c r="E1177">
        <v>618379</v>
      </c>
      <c r="F1177">
        <v>0</v>
      </c>
      <c r="G1177">
        <v>0</v>
      </c>
      <c r="H1177">
        <v>8</v>
      </c>
      <c r="I1177">
        <v>165122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15</v>
      </c>
      <c r="BC1177" s="1">
        <v>1997350</v>
      </c>
      <c r="BD1177" t="s">
        <v>94</v>
      </c>
      <c r="BE1177" t="s">
        <v>338</v>
      </c>
      <c r="BF1177" t="s">
        <v>339</v>
      </c>
      <c r="BH1177" t="s">
        <v>123</v>
      </c>
      <c r="BI1177" t="s">
        <v>124</v>
      </c>
      <c r="BJ1177" t="s">
        <v>125</v>
      </c>
      <c r="BM1177">
        <v>0</v>
      </c>
      <c r="BN1177">
        <v>2</v>
      </c>
      <c r="BO1177">
        <v>2</v>
      </c>
      <c r="BP1177" t="s">
        <v>80</v>
      </c>
      <c r="BR1177">
        <v>0</v>
      </c>
      <c r="BS1177">
        <v>6</v>
      </c>
      <c r="BU1177">
        <v>783501</v>
      </c>
    </row>
    <row r="1178" spans="1:73" x14ac:dyDescent="0.3">
      <c r="A1178" t="s">
        <v>340</v>
      </c>
      <c r="B1178">
        <v>0</v>
      </c>
      <c r="C1178">
        <v>0</v>
      </c>
      <c r="D1178">
        <v>3</v>
      </c>
      <c r="E1178">
        <v>1020000</v>
      </c>
      <c r="F1178">
        <v>0</v>
      </c>
      <c r="G1178">
        <v>0</v>
      </c>
      <c r="H1178">
        <v>1</v>
      </c>
      <c r="I1178">
        <v>25000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4</v>
      </c>
      <c r="BC1178" s="1">
        <v>1045000</v>
      </c>
      <c r="BD1178" t="s">
        <v>94</v>
      </c>
      <c r="BE1178" t="s">
        <v>341</v>
      </c>
      <c r="BF1178" t="s">
        <v>342</v>
      </c>
      <c r="BH1178" t="s">
        <v>97</v>
      </c>
      <c r="BI1178" t="s">
        <v>107</v>
      </c>
      <c r="BJ1178" t="s">
        <v>79</v>
      </c>
      <c r="BM1178">
        <v>0</v>
      </c>
      <c r="BN1178">
        <v>2</v>
      </c>
      <c r="BO1178">
        <v>2</v>
      </c>
      <c r="BP1178" t="s">
        <v>80</v>
      </c>
      <c r="BR1178">
        <v>0</v>
      </c>
      <c r="BS1178">
        <v>6</v>
      </c>
      <c r="BU1178">
        <v>1045000</v>
      </c>
    </row>
    <row r="1179" spans="1:73" x14ac:dyDescent="0.3">
      <c r="A1179" t="s">
        <v>343</v>
      </c>
      <c r="B1179">
        <v>0</v>
      </c>
      <c r="C1179">
        <v>0</v>
      </c>
      <c r="D1179">
        <v>1</v>
      </c>
      <c r="E1179">
        <v>171818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 s="1">
        <v>171818</v>
      </c>
      <c r="BD1179" t="s">
        <v>94</v>
      </c>
      <c r="BE1179" t="s">
        <v>344</v>
      </c>
      <c r="BF1179" t="s">
        <v>345</v>
      </c>
      <c r="BH1179" t="s">
        <v>97</v>
      </c>
      <c r="BI1179" t="s">
        <v>232</v>
      </c>
      <c r="BJ1179" t="s">
        <v>79</v>
      </c>
      <c r="BM1179">
        <v>0</v>
      </c>
      <c r="BN1179">
        <v>1</v>
      </c>
      <c r="BO1179">
        <v>1</v>
      </c>
      <c r="BP1179" t="s">
        <v>80</v>
      </c>
      <c r="BR1179">
        <v>0</v>
      </c>
      <c r="BS1179">
        <v>6</v>
      </c>
      <c r="BU1179">
        <v>171818</v>
      </c>
    </row>
    <row r="1180" spans="1:73" x14ac:dyDescent="0.3">
      <c r="A1180" t="s">
        <v>349</v>
      </c>
      <c r="B1180">
        <v>2</v>
      </c>
      <c r="C1180">
        <v>335455</v>
      </c>
      <c r="D1180">
        <v>1</v>
      </c>
      <c r="E1180">
        <v>720000</v>
      </c>
      <c r="F1180">
        <v>0</v>
      </c>
      <c r="G1180">
        <v>0</v>
      </c>
      <c r="H1180">
        <v>6</v>
      </c>
      <c r="I1180">
        <v>206779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9</v>
      </c>
      <c r="BC1180" s="1">
        <v>1262234</v>
      </c>
      <c r="BD1180" t="s">
        <v>94</v>
      </c>
      <c r="BE1180" t="s">
        <v>350</v>
      </c>
      <c r="BF1180" t="s">
        <v>351</v>
      </c>
      <c r="BH1180" t="s">
        <v>97</v>
      </c>
      <c r="BI1180" t="s">
        <v>119</v>
      </c>
      <c r="BJ1180" t="s">
        <v>79</v>
      </c>
      <c r="BM1180">
        <v>0</v>
      </c>
      <c r="BN1180">
        <v>3</v>
      </c>
      <c r="BO1180">
        <v>3</v>
      </c>
      <c r="BP1180" t="s">
        <v>80</v>
      </c>
      <c r="BR1180">
        <v>0</v>
      </c>
      <c r="BS1180">
        <v>6</v>
      </c>
      <c r="BU1180">
        <v>1262234</v>
      </c>
    </row>
    <row r="1181" spans="1:73" x14ac:dyDescent="0.3">
      <c r="A1181" t="s">
        <v>352</v>
      </c>
      <c r="B1181">
        <v>7</v>
      </c>
      <c r="C1181">
        <v>2762999</v>
      </c>
      <c r="D1181">
        <v>40</v>
      </c>
      <c r="E1181">
        <v>5221994</v>
      </c>
      <c r="F1181">
        <v>0</v>
      </c>
      <c r="G1181">
        <v>0</v>
      </c>
      <c r="H1181">
        <v>131</v>
      </c>
      <c r="I1181">
        <v>6279353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154</v>
      </c>
      <c r="BC1181" s="1">
        <v>15124388</v>
      </c>
      <c r="BD1181" t="s">
        <v>94</v>
      </c>
      <c r="BE1181" t="s">
        <v>353</v>
      </c>
      <c r="BF1181" t="s">
        <v>354</v>
      </c>
      <c r="BH1181" t="s">
        <v>114</v>
      </c>
      <c r="BI1181" t="s">
        <v>355</v>
      </c>
      <c r="BJ1181" t="s">
        <v>79</v>
      </c>
      <c r="BM1181">
        <v>0</v>
      </c>
      <c r="BN1181">
        <v>3</v>
      </c>
      <c r="BO1181">
        <v>3</v>
      </c>
      <c r="BP1181" t="s">
        <v>99</v>
      </c>
      <c r="BR1181">
        <v>0</v>
      </c>
      <c r="BS1181">
        <v>4</v>
      </c>
      <c r="BU1181">
        <v>14264346</v>
      </c>
    </row>
    <row r="1182" spans="1:73" x14ac:dyDescent="0.3">
      <c r="A1182" t="s">
        <v>356</v>
      </c>
      <c r="B1182">
        <v>1</v>
      </c>
      <c r="C1182">
        <v>1771818</v>
      </c>
      <c r="D1182">
        <v>4</v>
      </c>
      <c r="E1182">
        <v>232727</v>
      </c>
      <c r="F1182">
        <v>0</v>
      </c>
      <c r="G1182">
        <v>0</v>
      </c>
      <c r="H1182">
        <v>6</v>
      </c>
      <c r="I1182">
        <v>123636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10</v>
      </c>
      <c r="BC1182" s="1">
        <v>2437272</v>
      </c>
      <c r="BD1182" t="s">
        <v>94</v>
      </c>
      <c r="BE1182" t="s">
        <v>357</v>
      </c>
      <c r="BF1182" t="s">
        <v>358</v>
      </c>
      <c r="BH1182" t="s">
        <v>97</v>
      </c>
      <c r="BI1182" t="s">
        <v>119</v>
      </c>
      <c r="BJ1182" t="s">
        <v>79</v>
      </c>
      <c r="BM1182">
        <v>0</v>
      </c>
      <c r="BN1182">
        <v>3</v>
      </c>
      <c r="BO1182">
        <v>3</v>
      </c>
      <c r="BP1182" t="s">
        <v>80</v>
      </c>
      <c r="BR1182">
        <v>0</v>
      </c>
      <c r="BS1182">
        <v>6</v>
      </c>
      <c r="BU1182">
        <v>2128181</v>
      </c>
    </row>
    <row r="1183" spans="1:73" x14ac:dyDescent="0.3">
      <c r="A1183" t="s">
        <v>365</v>
      </c>
      <c r="B1183">
        <v>0</v>
      </c>
      <c r="C1183">
        <v>0</v>
      </c>
      <c r="D1183">
        <v>1</v>
      </c>
      <c r="E1183">
        <v>222857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2</v>
      </c>
      <c r="BC1183" s="1">
        <v>445714</v>
      </c>
      <c r="BD1183" t="s">
        <v>94</v>
      </c>
      <c r="BE1183" t="s">
        <v>366</v>
      </c>
      <c r="BF1183" t="s">
        <v>367</v>
      </c>
      <c r="BH1183" t="s">
        <v>123</v>
      </c>
      <c r="BI1183" t="s">
        <v>288</v>
      </c>
      <c r="BJ1183" t="s">
        <v>125</v>
      </c>
      <c r="BM1183">
        <v>0</v>
      </c>
      <c r="BN1183">
        <v>1</v>
      </c>
      <c r="BO1183">
        <v>1</v>
      </c>
      <c r="BP1183" t="s">
        <v>80</v>
      </c>
      <c r="BR1183">
        <v>0</v>
      </c>
      <c r="BS1183">
        <v>6</v>
      </c>
      <c r="BU1183">
        <v>222857</v>
      </c>
    </row>
    <row r="1184" spans="1:73" x14ac:dyDescent="0.3">
      <c r="A1184" t="s">
        <v>371</v>
      </c>
      <c r="B1184">
        <v>0</v>
      </c>
      <c r="C1184">
        <v>0</v>
      </c>
      <c r="D1184">
        <v>1</v>
      </c>
      <c r="E1184">
        <v>428571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2</v>
      </c>
      <c r="BC1184" s="1">
        <v>857142</v>
      </c>
      <c r="BD1184" t="s">
        <v>94</v>
      </c>
      <c r="BE1184" t="s">
        <v>372</v>
      </c>
      <c r="BF1184" t="s">
        <v>373</v>
      </c>
      <c r="BH1184" t="s">
        <v>123</v>
      </c>
      <c r="BI1184" t="s">
        <v>288</v>
      </c>
      <c r="BJ1184" t="s">
        <v>125</v>
      </c>
      <c r="BM1184">
        <v>0</v>
      </c>
      <c r="BN1184">
        <v>1</v>
      </c>
      <c r="BO1184">
        <v>1</v>
      </c>
      <c r="BP1184" t="s">
        <v>80</v>
      </c>
      <c r="BR1184">
        <v>0</v>
      </c>
      <c r="BS1184">
        <v>6</v>
      </c>
      <c r="BU1184">
        <v>428571</v>
      </c>
    </row>
    <row r="1185" spans="1:73" x14ac:dyDescent="0.3">
      <c r="A1185" t="s">
        <v>374</v>
      </c>
      <c r="B1185">
        <v>0</v>
      </c>
      <c r="C1185">
        <v>0</v>
      </c>
      <c r="D1185">
        <v>1</v>
      </c>
      <c r="E1185">
        <v>192000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2</v>
      </c>
      <c r="BC1185" s="1">
        <v>384000</v>
      </c>
      <c r="BD1185" t="s">
        <v>94</v>
      </c>
      <c r="BE1185" t="s">
        <v>375</v>
      </c>
      <c r="BF1185" t="s">
        <v>376</v>
      </c>
      <c r="BH1185" t="s">
        <v>97</v>
      </c>
      <c r="BI1185" t="s">
        <v>160</v>
      </c>
      <c r="BJ1185" t="s">
        <v>79</v>
      </c>
      <c r="BM1185">
        <v>0</v>
      </c>
      <c r="BN1185">
        <v>1</v>
      </c>
      <c r="BO1185">
        <v>1</v>
      </c>
      <c r="BP1185" t="s">
        <v>80</v>
      </c>
      <c r="BR1185">
        <v>0</v>
      </c>
      <c r="BS1185">
        <v>6</v>
      </c>
      <c r="BU1185">
        <v>192000</v>
      </c>
    </row>
    <row r="1186" spans="1:73" x14ac:dyDescent="0.3">
      <c r="A1186" t="s">
        <v>380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78585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2</v>
      </c>
      <c r="BC1186" s="1">
        <v>157170</v>
      </c>
      <c r="BD1186" t="s">
        <v>94</v>
      </c>
      <c r="BE1186" t="s">
        <v>381</v>
      </c>
      <c r="BF1186" t="s">
        <v>382</v>
      </c>
      <c r="BH1186" t="s">
        <v>97</v>
      </c>
      <c r="BI1186" t="s">
        <v>119</v>
      </c>
      <c r="BJ1186" t="s">
        <v>79</v>
      </c>
      <c r="BM1186">
        <v>1</v>
      </c>
      <c r="BN1186">
        <v>0</v>
      </c>
      <c r="BO1186">
        <v>1</v>
      </c>
      <c r="BP1186" t="s">
        <v>80</v>
      </c>
      <c r="BR1186">
        <v>0</v>
      </c>
      <c r="BS1186">
        <v>6</v>
      </c>
      <c r="BU1186">
        <v>78585</v>
      </c>
    </row>
    <row r="1187" spans="1:73" x14ac:dyDescent="0.3">
      <c r="A1187" t="s">
        <v>389</v>
      </c>
      <c r="B1187">
        <v>0</v>
      </c>
      <c r="C1187">
        <v>0</v>
      </c>
      <c r="D1187">
        <v>1</v>
      </c>
      <c r="E1187">
        <v>700000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4</v>
      </c>
      <c r="BC1187" s="1">
        <v>2205160</v>
      </c>
      <c r="BD1187" t="s">
        <v>94</v>
      </c>
      <c r="BE1187" t="s">
        <v>390</v>
      </c>
      <c r="BF1187" t="s">
        <v>391</v>
      </c>
      <c r="BH1187" t="s">
        <v>123</v>
      </c>
      <c r="BI1187" t="s">
        <v>288</v>
      </c>
      <c r="BJ1187" t="s">
        <v>125</v>
      </c>
      <c r="BM1187">
        <v>0</v>
      </c>
      <c r="BN1187">
        <v>1</v>
      </c>
      <c r="BO1187">
        <v>1</v>
      </c>
      <c r="BP1187" t="s">
        <v>80</v>
      </c>
      <c r="BR1187">
        <v>0</v>
      </c>
      <c r="BS1187">
        <v>6</v>
      </c>
      <c r="BU1187">
        <v>700000</v>
      </c>
    </row>
    <row r="1188" spans="1:73" x14ac:dyDescent="0.3">
      <c r="A1188" t="s">
        <v>392</v>
      </c>
      <c r="B1188">
        <v>0</v>
      </c>
      <c r="C1188">
        <v>0</v>
      </c>
      <c r="D1188">
        <v>2</v>
      </c>
      <c r="E1188">
        <v>383127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4</v>
      </c>
      <c r="BC1188" s="1">
        <v>766254</v>
      </c>
      <c r="BD1188" t="s">
        <v>94</v>
      </c>
      <c r="BE1188" t="s">
        <v>393</v>
      </c>
      <c r="BF1188" t="s">
        <v>287</v>
      </c>
      <c r="BH1188" t="s">
        <v>123</v>
      </c>
      <c r="BI1188" t="s">
        <v>288</v>
      </c>
      <c r="BJ1188" t="s">
        <v>125</v>
      </c>
      <c r="BM1188">
        <v>0</v>
      </c>
      <c r="BN1188">
        <v>1</v>
      </c>
      <c r="BO1188">
        <v>1</v>
      </c>
      <c r="BP1188" t="s">
        <v>80</v>
      </c>
      <c r="BR1188">
        <v>0</v>
      </c>
      <c r="BS1188">
        <v>6</v>
      </c>
      <c r="BU1188">
        <v>383127</v>
      </c>
    </row>
    <row r="1189" spans="1:73" x14ac:dyDescent="0.3">
      <c r="A1189" t="s">
        <v>394</v>
      </c>
      <c r="B1189">
        <v>0</v>
      </c>
      <c r="C1189">
        <v>0</v>
      </c>
      <c r="D1189">
        <v>1</v>
      </c>
      <c r="E1189">
        <v>35000</v>
      </c>
      <c r="F1189">
        <v>0</v>
      </c>
      <c r="G1189">
        <v>0</v>
      </c>
      <c r="H1189">
        <v>2</v>
      </c>
      <c r="I1189">
        <v>40000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3</v>
      </c>
      <c r="BC1189" s="1">
        <v>75000</v>
      </c>
      <c r="BD1189" t="s">
        <v>94</v>
      </c>
      <c r="BE1189" t="s">
        <v>395</v>
      </c>
      <c r="BF1189" t="s">
        <v>396</v>
      </c>
      <c r="BH1189" t="s">
        <v>97</v>
      </c>
      <c r="BI1189" t="s">
        <v>119</v>
      </c>
      <c r="BJ1189" t="s">
        <v>79</v>
      </c>
      <c r="BM1189">
        <v>0</v>
      </c>
      <c r="BN1189">
        <v>2</v>
      </c>
      <c r="BO1189">
        <v>2</v>
      </c>
      <c r="BP1189" t="s">
        <v>80</v>
      </c>
      <c r="BR1189">
        <v>0</v>
      </c>
      <c r="BS1189">
        <v>6</v>
      </c>
      <c r="BU1189">
        <v>75000</v>
      </c>
    </row>
    <row r="1190" spans="1:73" x14ac:dyDescent="0.3">
      <c r="A1190" t="s">
        <v>397</v>
      </c>
      <c r="B1190">
        <v>0</v>
      </c>
      <c r="C1190">
        <v>0</v>
      </c>
      <c r="D1190">
        <v>1</v>
      </c>
      <c r="E1190">
        <v>500000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 s="1">
        <v>500000</v>
      </c>
      <c r="BD1190" t="s">
        <v>94</v>
      </c>
      <c r="BE1190" t="s">
        <v>398</v>
      </c>
      <c r="BF1190" t="s">
        <v>399</v>
      </c>
      <c r="BH1190" t="s">
        <v>97</v>
      </c>
      <c r="BI1190" t="s">
        <v>242</v>
      </c>
      <c r="BJ1190" t="s">
        <v>79</v>
      </c>
      <c r="BM1190">
        <v>0</v>
      </c>
      <c r="BN1190">
        <v>1</v>
      </c>
      <c r="BO1190">
        <v>1</v>
      </c>
      <c r="BP1190" t="s">
        <v>80</v>
      </c>
      <c r="BR1190">
        <v>0</v>
      </c>
      <c r="BS1190">
        <v>6</v>
      </c>
      <c r="BU1190">
        <v>500000</v>
      </c>
    </row>
    <row r="1191" spans="1:73" x14ac:dyDescent="0.3">
      <c r="A1191" t="s">
        <v>400</v>
      </c>
      <c r="B1191">
        <v>0</v>
      </c>
      <c r="C1191">
        <v>0</v>
      </c>
      <c r="D1191">
        <v>1</v>
      </c>
      <c r="E1191">
        <v>1000000</v>
      </c>
      <c r="F1191">
        <v>0</v>
      </c>
      <c r="G1191">
        <v>0</v>
      </c>
      <c r="H1191">
        <v>4</v>
      </c>
      <c r="I1191">
        <v>86692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5</v>
      </c>
      <c r="BC1191" s="1">
        <v>1086692</v>
      </c>
      <c r="BD1191" t="s">
        <v>94</v>
      </c>
      <c r="BE1191" t="s">
        <v>401</v>
      </c>
      <c r="BF1191" t="s">
        <v>287</v>
      </c>
      <c r="BH1191" t="s">
        <v>97</v>
      </c>
      <c r="BI1191" t="s">
        <v>119</v>
      </c>
      <c r="BJ1191" t="s">
        <v>79</v>
      </c>
      <c r="BM1191">
        <v>0</v>
      </c>
      <c r="BN1191">
        <v>2</v>
      </c>
      <c r="BO1191">
        <v>2</v>
      </c>
      <c r="BP1191" t="s">
        <v>80</v>
      </c>
      <c r="BR1191">
        <v>0</v>
      </c>
      <c r="BS1191">
        <v>6</v>
      </c>
      <c r="BU1191">
        <v>1086692</v>
      </c>
    </row>
    <row r="1192" spans="1:73" x14ac:dyDescent="0.3">
      <c r="A1192" t="s">
        <v>402</v>
      </c>
      <c r="B1192">
        <v>0</v>
      </c>
      <c r="C1192">
        <v>0</v>
      </c>
      <c r="D1192">
        <v>1</v>
      </c>
      <c r="E1192">
        <v>462857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 s="1">
        <v>462857</v>
      </c>
      <c r="BD1192" t="s">
        <v>94</v>
      </c>
      <c r="BE1192" t="s">
        <v>403</v>
      </c>
      <c r="BF1192" t="s">
        <v>404</v>
      </c>
      <c r="BH1192" t="s">
        <v>97</v>
      </c>
      <c r="BI1192" t="s">
        <v>119</v>
      </c>
      <c r="BJ1192" t="s">
        <v>79</v>
      </c>
      <c r="BM1192">
        <v>0</v>
      </c>
      <c r="BN1192">
        <v>1</v>
      </c>
      <c r="BO1192">
        <v>1</v>
      </c>
      <c r="BP1192" t="s">
        <v>80</v>
      </c>
      <c r="BR1192">
        <v>0</v>
      </c>
      <c r="BS1192">
        <v>6</v>
      </c>
      <c r="BU1192">
        <v>462857</v>
      </c>
    </row>
    <row r="1193" spans="1:73" x14ac:dyDescent="0.3">
      <c r="A1193" t="s">
        <v>409</v>
      </c>
      <c r="B1193">
        <v>0</v>
      </c>
      <c r="C1193">
        <v>0</v>
      </c>
      <c r="D1193">
        <v>7</v>
      </c>
      <c r="E1193">
        <v>2117273</v>
      </c>
      <c r="F1193">
        <v>0</v>
      </c>
      <c r="G1193">
        <v>0</v>
      </c>
      <c r="H1193">
        <v>10</v>
      </c>
      <c r="I1193">
        <v>200000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15</v>
      </c>
      <c r="BC1193" s="1">
        <v>4363117</v>
      </c>
      <c r="BD1193" t="s">
        <v>94</v>
      </c>
      <c r="BE1193" t="s">
        <v>410</v>
      </c>
      <c r="BF1193" t="s">
        <v>411</v>
      </c>
      <c r="BH1193" t="s">
        <v>97</v>
      </c>
      <c r="BI1193" t="s">
        <v>98</v>
      </c>
      <c r="BJ1193" t="s">
        <v>79</v>
      </c>
      <c r="BM1193">
        <v>0</v>
      </c>
      <c r="BN1193">
        <v>2</v>
      </c>
      <c r="BO1193">
        <v>2</v>
      </c>
      <c r="BP1193" t="s">
        <v>80</v>
      </c>
      <c r="BR1193">
        <v>0</v>
      </c>
      <c r="BS1193">
        <v>6</v>
      </c>
      <c r="BU1193">
        <v>2317273</v>
      </c>
    </row>
    <row r="1194" spans="1:73" x14ac:dyDescent="0.3">
      <c r="A1194" t="s">
        <v>415</v>
      </c>
      <c r="B1194">
        <v>0</v>
      </c>
      <c r="C1194">
        <v>0</v>
      </c>
      <c r="D1194">
        <v>1</v>
      </c>
      <c r="E1194">
        <v>153545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51000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4</v>
      </c>
      <c r="BC1194" s="1">
        <v>409090</v>
      </c>
      <c r="BD1194" t="s">
        <v>94</v>
      </c>
      <c r="BE1194" t="s">
        <v>416</v>
      </c>
      <c r="BF1194" t="s">
        <v>417</v>
      </c>
      <c r="BH1194" t="s">
        <v>97</v>
      </c>
      <c r="BI1194" t="s">
        <v>232</v>
      </c>
      <c r="BJ1194" t="s">
        <v>79</v>
      </c>
      <c r="BM1194">
        <v>0</v>
      </c>
      <c r="BN1194">
        <v>2</v>
      </c>
      <c r="BO1194">
        <v>2</v>
      </c>
      <c r="BP1194" t="s">
        <v>80</v>
      </c>
      <c r="BR1194">
        <v>0</v>
      </c>
      <c r="BS1194">
        <v>6</v>
      </c>
      <c r="BU1194">
        <v>204545</v>
      </c>
    </row>
    <row r="1195" spans="1:73" x14ac:dyDescent="0.3">
      <c r="A1195" t="s">
        <v>427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2</v>
      </c>
      <c r="Z1195">
        <v>152120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3</v>
      </c>
      <c r="BC1195" s="1">
        <v>230705</v>
      </c>
      <c r="BD1195" t="s">
        <v>94</v>
      </c>
      <c r="BE1195" t="s">
        <v>428</v>
      </c>
      <c r="BF1195" t="s">
        <v>429</v>
      </c>
      <c r="BM1195">
        <v>1</v>
      </c>
      <c r="BN1195">
        <v>0</v>
      </c>
      <c r="BO1195">
        <v>1</v>
      </c>
      <c r="BP1195" t="s">
        <v>80</v>
      </c>
      <c r="BR1195">
        <v>0</v>
      </c>
      <c r="BS1195">
        <v>6</v>
      </c>
      <c r="BU1195">
        <v>152120</v>
      </c>
    </row>
    <row r="1196" spans="1:73" x14ac:dyDescent="0.3">
      <c r="A1196" t="s">
        <v>433</v>
      </c>
      <c r="B1196">
        <v>0</v>
      </c>
      <c r="C1196">
        <v>0</v>
      </c>
      <c r="D1196">
        <v>1</v>
      </c>
      <c r="E1196">
        <v>500000</v>
      </c>
      <c r="F1196">
        <v>0</v>
      </c>
      <c r="G1196">
        <v>0</v>
      </c>
      <c r="H1196">
        <v>1</v>
      </c>
      <c r="I1196">
        <v>20000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2</v>
      </c>
      <c r="BC1196" s="1">
        <v>520000</v>
      </c>
      <c r="BD1196" t="s">
        <v>94</v>
      </c>
      <c r="BE1196" t="s">
        <v>434</v>
      </c>
      <c r="BF1196" t="s">
        <v>435</v>
      </c>
      <c r="BH1196" t="s">
        <v>97</v>
      </c>
      <c r="BI1196" t="s">
        <v>232</v>
      </c>
      <c r="BJ1196" t="s">
        <v>79</v>
      </c>
      <c r="BM1196">
        <v>0</v>
      </c>
      <c r="BN1196">
        <v>2</v>
      </c>
      <c r="BO1196">
        <v>2</v>
      </c>
      <c r="BP1196" t="s">
        <v>80</v>
      </c>
      <c r="BR1196">
        <v>0</v>
      </c>
      <c r="BS1196">
        <v>6</v>
      </c>
      <c r="BU1196">
        <v>520000</v>
      </c>
    </row>
    <row r="1197" spans="1:73" x14ac:dyDescent="0.3">
      <c r="A1197" t="s">
        <v>446</v>
      </c>
      <c r="B1197">
        <v>0</v>
      </c>
      <c r="C1197">
        <v>0</v>
      </c>
      <c r="D1197">
        <v>6</v>
      </c>
      <c r="E1197">
        <v>501860</v>
      </c>
      <c r="F1197">
        <v>0</v>
      </c>
      <c r="G1197">
        <v>0</v>
      </c>
      <c r="H1197">
        <v>8</v>
      </c>
      <c r="I1197">
        <v>173720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12</v>
      </c>
      <c r="BC1197" s="1">
        <v>1003720</v>
      </c>
      <c r="BD1197" t="s">
        <v>94</v>
      </c>
      <c r="BE1197" t="s">
        <v>447</v>
      </c>
      <c r="BF1197" t="s">
        <v>448</v>
      </c>
      <c r="BH1197" t="s">
        <v>97</v>
      </c>
      <c r="BI1197" t="s">
        <v>119</v>
      </c>
      <c r="BJ1197" t="s">
        <v>79</v>
      </c>
      <c r="BM1197">
        <v>0</v>
      </c>
      <c r="BN1197">
        <v>2</v>
      </c>
      <c r="BO1197">
        <v>2</v>
      </c>
      <c r="BP1197" t="s">
        <v>80</v>
      </c>
      <c r="BR1197">
        <v>0</v>
      </c>
      <c r="BS1197">
        <v>6</v>
      </c>
      <c r="BU1197">
        <v>675580</v>
      </c>
    </row>
    <row r="1198" spans="1:73" x14ac:dyDescent="0.3">
      <c r="A1198" t="s">
        <v>449</v>
      </c>
      <c r="B1198">
        <v>3</v>
      </c>
      <c r="C1198">
        <v>454836</v>
      </c>
      <c r="D1198">
        <v>14</v>
      </c>
      <c r="E1198">
        <v>1934741</v>
      </c>
      <c r="F1198">
        <v>0</v>
      </c>
      <c r="G1198">
        <v>0</v>
      </c>
      <c r="H1198">
        <v>42</v>
      </c>
      <c r="I1198">
        <v>1109482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57</v>
      </c>
      <c r="BC1198" s="1">
        <v>5326273</v>
      </c>
      <c r="BD1198" t="s">
        <v>94</v>
      </c>
      <c r="BE1198" t="s">
        <v>450</v>
      </c>
      <c r="BF1198" t="s">
        <v>451</v>
      </c>
      <c r="BH1198" t="s">
        <v>97</v>
      </c>
      <c r="BI1198" t="s">
        <v>208</v>
      </c>
      <c r="BJ1198" t="s">
        <v>79</v>
      </c>
      <c r="BM1198">
        <v>0</v>
      </c>
      <c r="BN1198">
        <v>3</v>
      </c>
      <c r="BO1198">
        <v>3</v>
      </c>
      <c r="BP1198" t="s">
        <v>80</v>
      </c>
      <c r="BR1198">
        <v>0</v>
      </c>
      <c r="BS1198">
        <v>6</v>
      </c>
      <c r="BU1198">
        <v>3499059</v>
      </c>
    </row>
    <row r="1199" spans="1:73" x14ac:dyDescent="0.3">
      <c r="A1199" t="s">
        <v>452</v>
      </c>
      <c r="B1199">
        <v>0</v>
      </c>
      <c r="C1199">
        <v>0</v>
      </c>
      <c r="D1199">
        <v>7</v>
      </c>
      <c r="E1199">
        <v>2213871</v>
      </c>
      <c r="F1199">
        <v>0</v>
      </c>
      <c r="G1199">
        <v>0</v>
      </c>
      <c r="H1199">
        <v>12</v>
      </c>
      <c r="I1199">
        <v>427742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14</v>
      </c>
      <c r="BC1199" s="1">
        <v>4427742</v>
      </c>
      <c r="BD1199" t="s">
        <v>94</v>
      </c>
      <c r="BE1199" t="s">
        <v>453</v>
      </c>
      <c r="BF1199" t="s">
        <v>454</v>
      </c>
      <c r="BH1199" t="s">
        <v>97</v>
      </c>
      <c r="BI1199" t="s">
        <v>98</v>
      </c>
      <c r="BJ1199" t="s">
        <v>79</v>
      </c>
      <c r="BM1199">
        <v>0</v>
      </c>
      <c r="BN1199">
        <v>2</v>
      </c>
      <c r="BO1199">
        <v>2</v>
      </c>
      <c r="BP1199" t="s">
        <v>80</v>
      </c>
      <c r="BR1199">
        <v>0</v>
      </c>
      <c r="BS1199">
        <v>6</v>
      </c>
      <c r="BU1199">
        <v>2641613</v>
      </c>
    </row>
    <row r="1200" spans="1:73" x14ac:dyDescent="0.3">
      <c r="A1200" t="s">
        <v>455</v>
      </c>
      <c r="B1200">
        <v>0</v>
      </c>
      <c r="C1200">
        <v>0</v>
      </c>
      <c r="D1200">
        <v>22</v>
      </c>
      <c r="E1200">
        <v>12180840</v>
      </c>
      <c r="F1200">
        <v>0</v>
      </c>
      <c r="G1200">
        <v>0</v>
      </c>
      <c r="H1200">
        <v>61</v>
      </c>
      <c r="I1200">
        <v>2002085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</v>
      </c>
      <c r="Z1200">
        <v>147070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77</v>
      </c>
      <c r="BC1200" s="1">
        <v>24057939</v>
      </c>
      <c r="BD1200" t="s">
        <v>94</v>
      </c>
      <c r="BE1200" t="s">
        <v>456</v>
      </c>
      <c r="BF1200" t="s">
        <v>457</v>
      </c>
      <c r="BH1200" t="s">
        <v>97</v>
      </c>
      <c r="BI1200" t="s">
        <v>208</v>
      </c>
      <c r="BJ1200" t="s">
        <v>79</v>
      </c>
      <c r="BM1200">
        <v>1</v>
      </c>
      <c r="BN1200">
        <v>2</v>
      </c>
      <c r="BO1200">
        <v>3</v>
      </c>
      <c r="BP1200" t="s">
        <v>80</v>
      </c>
      <c r="BR1200">
        <v>0</v>
      </c>
      <c r="BS1200">
        <v>4</v>
      </c>
      <c r="BU1200">
        <v>14329995</v>
      </c>
    </row>
    <row r="1201" spans="1:73" x14ac:dyDescent="0.3">
      <c r="A1201" t="s">
        <v>470</v>
      </c>
      <c r="B1201">
        <v>0</v>
      </c>
      <c r="C1201">
        <v>0</v>
      </c>
      <c r="D1201">
        <v>2</v>
      </c>
      <c r="E1201">
        <v>366400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4</v>
      </c>
      <c r="BC1201" s="1">
        <v>642659</v>
      </c>
      <c r="BD1201" t="s">
        <v>94</v>
      </c>
      <c r="BE1201" t="s">
        <v>471</v>
      </c>
      <c r="BF1201" t="s">
        <v>472</v>
      </c>
      <c r="BH1201" t="s">
        <v>97</v>
      </c>
      <c r="BI1201" t="s">
        <v>98</v>
      </c>
      <c r="BJ1201" t="s">
        <v>79</v>
      </c>
      <c r="BM1201">
        <v>0</v>
      </c>
      <c r="BN1201">
        <v>1</v>
      </c>
      <c r="BO1201">
        <v>1</v>
      </c>
      <c r="BP1201" t="s">
        <v>80</v>
      </c>
      <c r="BR1201">
        <v>0</v>
      </c>
      <c r="BS1201">
        <v>6</v>
      </c>
      <c r="BU1201">
        <v>366400</v>
      </c>
    </row>
    <row r="1202" spans="1:73" x14ac:dyDescent="0.3">
      <c r="A1202" t="s">
        <v>473</v>
      </c>
      <c r="B1202">
        <v>0</v>
      </c>
      <c r="C1202">
        <v>0</v>
      </c>
      <c r="D1202">
        <v>1</v>
      </c>
      <c r="E1202">
        <v>152727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2</v>
      </c>
      <c r="BC1202" s="1">
        <v>305454</v>
      </c>
      <c r="BD1202" t="s">
        <v>94</v>
      </c>
      <c r="BE1202" t="s">
        <v>474</v>
      </c>
      <c r="BF1202" t="s">
        <v>475</v>
      </c>
      <c r="BH1202" t="s">
        <v>476</v>
      </c>
      <c r="BI1202" t="s">
        <v>477</v>
      </c>
      <c r="BJ1202" t="s">
        <v>125</v>
      </c>
      <c r="BM1202">
        <v>0</v>
      </c>
      <c r="BN1202">
        <v>1</v>
      </c>
      <c r="BO1202">
        <v>1</v>
      </c>
      <c r="BP1202" t="s">
        <v>80</v>
      </c>
      <c r="BR1202">
        <v>0</v>
      </c>
      <c r="BS1202">
        <v>6</v>
      </c>
      <c r="BU1202">
        <v>152727</v>
      </c>
    </row>
    <row r="1203" spans="1:73" x14ac:dyDescent="0.3">
      <c r="A1203" t="s">
        <v>486</v>
      </c>
      <c r="B1203">
        <v>2</v>
      </c>
      <c r="C1203">
        <v>361818</v>
      </c>
      <c r="D1203">
        <v>4</v>
      </c>
      <c r="E1203">
        <v>1180000</v>
      </c>
      <c r="F1203">
        <v>0</v>
      </c>
      <c r="G1203">
        <v>0</v>
      </c>
      <c r="H1203">
        <v>6</v>
      </c>
      <c r="I1203">
        <v>120000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10</v>
      </c>
      <c r="BC1203" s="1">
        <v>2721818</v>
      </c>
      <c r="BD1203" t="s">
        <v>94</v>
      </c>
      <c r="BE1203" t="s">
        <v>487</v>
      </c>
      <c r="BF1203" t="s">
        <v>488</v>
      </c>
      <c r="BH1203" t="s">
        <v>123</v>
      </c>
      <c r="BI1203" t="s">
        <v>325</v>
      </c>
      <c r="BJ1203" t="s">
        <v>125</v>
      </c>
      <c r="BM1203">
        <v>0</v>
      </c>
      <c r="BN1203">
        <v>3</v>
      </c>
      <c r="BO1203">
        <v>3</v>
      </c>
      <c r="BP1203" t="s">
        <v>80</v>
      </c>
      <c r="BR1203">
        <v>0</v>
      </c>
      <c r="BS1203">
        <v>6</v>
      </c>
      <c r="BU1203">
        <v>1661818</v>
      </c>
    </row>
    <row r="1204" spans="1:73" x14ac:dyDescent="0.3">
      <c r="A1204" t="s">
        <v>498</v>
      </c>
      <c r="B1204">
        <v>0</v>
      </c>
      <c r="C1204">
        <v>0</v>
      </c>
      <c r="D1204">
        <v>20</v>
      </c>
      <c r="E1204">
        <v>4247811</v>
      </c>
      <c r="F1204">
        <v>0</v>
      </c>
      <c r="G1204">
        <v>0</v>
      </c>
      <c r="H1204">
        <v>33</v>
      </c>
      <c r="I1204">
        <v>2361607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48</v>
      </c>
      <c r="BC1204" s="1">
        <v>8743971</v>
      </c>
      <c r="BD1204" t="s">
        <v>94</v>
      </c>
      <c r="BE1204" t="s">
        <v>499</v>
      </c>
      <c r="BF1204" t="s">
        <v>500</v>
      </c>
      <c r="BH1204" t="s">
        <v>114</v>
      </c>
      <c r="BI1204" t="s">
        <v>141</v>
      </c>
      <c r="BJ1204" t="s">
        <v>79</v>
      </c>
      <c r="BM1204">
        <v>0</v>
      </c>
      <c r="BN1204">
        <v>2</v>
      </c>
      <c r="BO1204">
        <v>2</v>
      </c>
      <c r="BP1204" t="s">
        <v>80</v>
      </c>
      <c r="BR1204">
        <v>0</v>
      </c>
      <c r="BS1204">
        <v>6</v>
      </c>
      <c r="BU1204">
        <v>6609418</v>
      </c>
    </row>
    <row r="1205" spans="1:73" x14ac:dyDescent="0.3">
      <c r="A1205" t="s">
        <v>507</v>
      </c>
      <c r="B1205">
        <v>0</v>
      </c>
      <c r="C1205">
        <v>0</v>
      </c>
      <c r="D1205">
        <v>1</v>
      </c>
      <c r="E1205">
        <v>144000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 s="1">
        <v>144000</v>
      </c>
      <c r="BD1205" t="s">
        <v>94</v>
      </c>
      <c r="BE1205" t="s">
        <v>508</v>
      </c>
      <c r="BF1205" t="s">
        <v>509</v>
      </c>
      <c r="BH1205" t="s">
        <v>97</v>
      </c>
      <c r="BI1205" t="s">
        <v>265</v>
      </c>
      <c r="BJ1205" t="s">
        <v>79</v>
      </c>
      <c r="BM1205">
        <v>0</v>
      </c>
      <c r="BN1205">
        <v>1</v>
      </c>
      <c r="BO1205">
        <v>1</v>
      </c>
      <c r="BP1205" t="s">
        <v>80</v>
      </c>
      <c r="BR1205">
        <v>0</v>
      </c>
      <c r="BS1205">
        <v>6</v>
      </c>
      <c r="BU1205">
        <v>144000</v>
      </c>
    </row>
    <row r="1206" spans="1:73" x14ac:dyDescent="0.3">
      <c r="A1206" t="s">
        <v>510</v>
      </c>
      <c r="B1206">
        <v>1</v>
      </c>
      <c r="C1206">
        <v>49080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 s="1">
        <v>49080</v>
      </c>
      <c r="BD1206" t="s">
        <v>94</v>
      </c>
      <c r="BE1206" t="s">
        <v>95</v>
      </c>
      <c r="BF1206" t="s">
        <v>96</v>
      </c>
      <c r="BH1206" t="s">
        <v>97</v>
      </c>
      <c r="BI1206" t="s">
        <v>98</v>
      </c>
      <c r="BJ1206" t="s">
        <v>79</v>
      </c>
      <c r="BM1206">
        <v>0</v>
      </c>
      <c r="BN1206">
        <v>1</v>
      </c>
      <c r="BO1206">
        <v>1</v>
      </c>
      <c r="BP1206" t="s">
        <v>80</v>
      </c>
      <c r="BR1206">
        <v>0</v>
      </c>
      <c r="BS1206">
        <v>6</v>
      </c>
      <c r="BU1206">
        <v>49080</v>
      </c>
    </row>
    <row r="1207" spans="1:73" x14ac:dyDescent="0.3">
      <c r="A1207" t="s">
        <v>515</v>
      </c>
      <c r="B1207">
        <v>0</v>
      </c>
      <c r="C1207">
        <v>0</v>
      </c>
      <c r="D1207">
        <v>1</v>
      </c>
      <c r="E1207">
        <v>200000</v>
      </c>
      <c r="F1207">
        <v>0</v>
      </c>
      <c r="G1207">
        <v>0</v>
      </c>
      <c r="H1207">
        <v>1</v>
      </c>
      <c r="I1207">
        <v>20000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185000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3</v>
      </c>
      <c r="BC1207" s="1">
        <v>405000</v>
      </c>
      <c r="BD1207" t="s">
        <v>94</v>
      </c>
      <c r="BE1207" t="s">
        <v>516</v>
      </c>
      <c r="BF1207" t="s">
        <v>517</v>
      </c>
      <c r="BH1207" t="s">
        <v>97</v>
      </c>
      <c r="BI1207" t="s">
        <v>208</v>
      </c>
      <c r="BJ1207" t="s">
        <v>79</v>
      </c>
      <c r="BM1207">
        <v>0</v>
      </c>
      <c r="BN1207">
        <v>3</v>
      </c>
      <c r="BO1207">
        <v>3</v>
      </c>
      <c r="BP1207" t="s">
        <v>80</v>
      </c>
      <c r="BR1207">
        <v>0</v>
      </c>
      <c r="BS1207">
        <v>6</v>
      </c>
      <c r="BU1207">
        <v>405000</v>
      </c>
    </row>
    <row r="1208" spans="1:73" x14ac:dyDescent="0.3">
      <c r="A1208" t="s">
        <v>518</v>
      </c>
      <c r="B1208">
        <v>0</v>
      </c>
      <c r="C1208">
        <v>0</v>
      </c>
      <c r="D1208">
        <v>1</v>
      </c>
      <c r="E1208">
        <v>192000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2</v>
      </c>
      <c r="BC1208" s="1">
        <v>384000</v>
      </c>
      <c r="BD1208" t="s">
        <v>94</v>
      </c>
      <c r="BE1208" t="s">
        <v>519</v>
      </c>
      <c r="BF1208" t="s">
        <v>520</v>
      </c>
      <c r="BH1208" t="s">
        <v>97</v>
      </c>
      <c r="BI1208" t="s">
        <v>107</v>
      </c>
      <c r="BJ1208" t="s">
        <v>79</v>
      </c>
      <c r="BM1208">
        <v>0</v>
      </c>
      <c r="BN1208">
        <v>1</v>
      </c>
      <c r="BO1208">
        <v>1</v>
      </c>
      <c r="BP1208" t="s">
        <v>80</v>
      </c>
      <c r="BR1208">
        <v>0</v>
      </c>
      <c r="BS1208">
        <v>6</v>
      </c>
      <c r="BU1208">
        <v>192000</v>
      </c>
    </row>
    <row r="1209" spans="1:73" x14ac:dyDescent="0.3">
      <c r="A1209" t="s">
        <v>525</v>
      </c>
      <c r="B1209">
        <v>2</v>
      </c>
      <c r="C1209">
        <v>534689</v>
      </c>
      <c r="D1209">
        <v>6</v>
      </c>
      <c r="E1209">
        <v>5174627</v>
      </c>
      <c r="F1209">
        <v>0</v>
      </c>
      <c r="G1209">
        <v>0</v>
      </c>
      <c r="H1209">
        <v>10</v>
      </c>
      <c r="I1209">
        <v>289254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17</v>
      </c>
      <c r="BC1209" s="1">
        <v>14123943</v>
      </c>
      <c r="BD1209" t="s">
        <v>94</v>
      </c>
      <c r="BE1209" t="s">
        <v>526</v>
      </c>
      <c r="BF1209" t="s">
        <v>527</v>
      </c>
      <c r="BH1209" t="s">
        <v>123</v>
      </c>
      <c r="BI1209" t="s">
        <v>124</v>
      </c>
      <c r="BJ1209" t="s">
        <v>125</v>
      </c>
      <c r="BM1209">
        <v>0</v>
      </c>
      <c r="BN1209">
        <v>3</v>
      </c>
      <c r="BO1209">
        <v>3</v>
      </c>
      <c r="BP1209" t="s">
        <v>80</v>
      </c>
      <c r="BR1209">
        <v>0</v>
      </c>
      <c r="BS1209">
        <v>5</v>
      </c>
      <c r="BU1209">
        <v>5998570</v>
      </c>
    </row>
    <row r="1210" spans="1:73" x14ac:dyDescent="0.3">
      <c r="A1210" t="s">
        <v>550</v>
      </c>
      <c r="B1210">
        <v>0</v>
      </c>
      <c r="C1210">
        <v>0</v>
      </c>
      <c r="D1210">
        <v>1</v>
      </c>
      <c r="E1210">
        <v>168000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</v>
      </c>
      <c r="BC1210" s="1">
        <v>168000</v>
      </c>
      <c r="BD1210" t="s">
        <v>94</v>
      </c>
      <c r="BE1210" t="s">
        <v>551</v>
      </c>
      <c r="BF1210" t="s">
        <v>552</v>
      </c>
      <c r="BH1210" t="s">
        <v>97</v>
      </c>
      <c r="BI1210" t="s">
        <v>208</v>
      </c>
      <c r="BJ1210" t="s">
        <v>79</v>
      </c>
      <c r="BM1210">
        <v>0</v>
      </c>
      <c r="BN1210">
        <v>1</v>
      </c>
      <c r="BO1210">
        <v>1</v>
      </c>
      <c r="BP1210" t="s">
        <v>80</v>
      </c>
      <c r="BR1210">
        <v>0</v>
      </c>
      <c r="BS1210">
        <v>6</v>
      </c>
      <c r="BU1210">
        <v>168000</v>
      </c>
    </row>
    <row r="1211" spans="1:73" x14ac:dyDescent="0.3">
      <c r="A1211" t="s">
        <v>553</v>
      </c>
      <c r="B1211">
        <v>0</v>
      </c>
      <c r="C1211">
        <v>0</v>
      </c>
      <c r="D1211">
        <v>1</v>
      </c>
      <c r="E1211">
        <v>400000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2</v>
      </c>
      <c r="BC1211" s="1">
        <v>800000</v>
      </c>
      <c r="BD1211" t="s">
        <v>94</v>
      </c>
      <c r="BE1211" t="s">
        <v>554</v>
      </c>
      <c r="BF1211" t="s">
        <v>555</v>
      </c>
      <c r="BH1211" t="s">
        <v>97</v>
      </c>
      <c r="BI1211" t="s">
        <v>107</v>
      </c>
      <c r="BJ1211" t="s">
        <v>79</v>
      </c>
      <c r="BM1211">
        <v>0</v>
      </c>
      <c r="BN1211">
        <v>1</v>
      </c>
      <c r="BO1211">
        <v>1</v>
      </c>
      <c r="BP1211" t="s">
        <v>80</v>
      </c>
      <c r="BR1211">
        <v>0</v>
      </c>
      <c r="BS1211">
        <v>6</v>
      </c>
      <c r="BU1211">
        <v>400000</v>
      </c>
    </row>
    <row r="1212" spans="1:73" x14ac:dyDescent="0.3">
      <c r="A1212" t="s">
        <v>556</v>
      </c>
      <c r="B1212">
        <v>0</v>
      </c>
      <c r="C1212">
        <v>0</v>
      </c>
      <c r="D1212">
        <v>1</v>
      </c>
      <c r="E1212">
        <v>925713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2</v>
      </c>
      <c r="BC1212" s="1">
        <v>1851426</v>
      </c>
      <c r="BD1212" t="s">
        <v>94</v>
      </c>
      <c r="BE1212" t="s">
        <v>557</v>
      </c>
      <c r="BF1212" t="s">
        <v>558</v>
      </c>
      <c r="BH1212" t="s">
        <v>97</v>
      </c>
      <c r="BI1212" t="s">
        <v>559</v>
      </c>
      <c r="BJ1212" t="s">
        <v>79</v>
      </c>
      <c r="BM1212">
        <v>0</v>
      </c>
      <c r="BN1212">
        <v>1</v>
      </c>
      <c r="BO1212">
        <v>1</v>
      </c>
      <c r="BP1212" t="s">
        <v>80</v>
      </c>
      <c r="BR1212">
        <v>0</v>
      </c>
      <c r="BS1212">
        <v>6</v>
      </c>
      <c r="BU1212">
        <v>925713</v>
      </c>
    </row>
    <row r="1213" spans="1:73" x14ac:dyDescent="0.3">
      <c r="A1213" t="s">
        <v>560</v>
      </c>
      <c r="B1213">
        <v>0</v>
      </c>
      <c r="C1213">
        <v>0</v>
      </c>
      <c r="D1213">
        <v>1</v>
      </c>
      <c r="E1213">
        <v>163636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 s="1">
        <v>163636</v>
      </c>
      <c r="BD1213" t="s">
        <v>94</v>
      </c>
      <c r="BE1213" t="s">
        <v>561</v>
      </c>
      <c r="BF1213" t="s">
        <v>562</v>
      </c>
      <c r="BH1213" t="s">
        <v>97</v>
      </c>
      <c r="BI1213" t="s">
        <v>232</v>
      </c>
      <c r="BJ1213" t="s">
        <v>79</v>
      </c>
      <c r="BM1213">
        <v>0</v>
      </c>
      <c r="BN1213">
        <v>1</v>
      </c>
      <c r="BO1213">
        <v>1</v>
      </c>
      <c r="BP1213" t="s">
        <v>80</v>
      </c>
      <c r="BR1213">
        <v>0</v>
      </c>
      <c r="BS1213">
        <v>6</v>
      </c>
      <c r="BU1213">
        <v>163636</v>
      </c>
    </row>
    <row r="1214" spans="1:73" x14ac:dyDescent="0.3">
      <c r="A1214" t="s">
        <v>575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40</v>
      </c>
      <c r="I1214">
        <v>806800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40</v>
      </c>
      <c r="BC1214" s="1">
        <v>806800</v>
      </c>
      <c r="BD1214" t="s">
        <v>94</v>
      </c>
      <c r="BE1214" t="s">
        <v>576</v>
      </c>
      <c r="BF1214" t="s">
        <v>577</v>
      </c>
      <c r="BH1214" t="s">
        <v>97</v>
      </c>
      <c r="BI1214" t="s">
        <v>119</v>
      </c>
      <c r="BJ1214" t="s">
        <v>79</v>
      </c>
      <c r="BM1214">
        <v>0</v>
      </c>
      <c r="BN1214">
        <v>1</v>
      </c>
      <c r="BO1214">
        <v>1</v>
      </c>
      <c r="BP1214" t="s">
        <v>80</v>
      </c>
      <c r="BR1214">
        <v>0</v>
      </c>
      <c r="BS1214">
        <v>6</v>
      </c>
      <c r="BU1214">
        <v>806800</v>
      </c>
    </row>
    <row r="1215" spans="1:73" x14ac:dyDescent="0.3">
      <c r="A1215" t="s">
        <v>578</v>
      </c>
      <c r="B1215">
        <v>0</v>
      </c>
      <c r="C1215">
        <v>0</v>
      </c>
      <c r="D1215">
        <v>1</v>
      </c>
      <c r="E1215">
        <v>1080000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2</v>
      </c>
      <c r="BC1215" s="1">
        <v>2160000</v>
      </c>
      <c r="BD1215" t="s">
        <v>94</v>
      </c>
      <c r="BE1215" t="s">
        <v>579</v>
      </c>
      <c r="BF1215" t="s">
        <v>580</v>
      </c>
      <c r="BH1215" t="s">
        <v>97</v>
      </c>
      <c r="BI1215" t="s">
        <v>265</v>
      </c>
      <c r="BJ1215" t="s">
        <v>79</v>
      </c>
      <c r="BM1215">
        <v>0</v>
      </c>
      <c r="BN1215">
        <v>1</v>
      </c>
      <c r="BO1215">
        <v>1</v>
      </c>
      <c r="BP1215" t="s">
        <v>80</v>
      </c>
      <c r="BR1215">
        <v>0</v>
      </c>
      <c r="BS1215">
        <v>6</v>
      </c>
      <c r="BU1215">
        <v>1080000</v>
      </c>
    </row>
    <row r="1216" spans="1:73" x14ac:dyDescent="0.3">
      <c r="A1216" t="s">
        <v>581</v>
      </c>
      <c r="B1216">
        <v>0</v>
      </c>
      <c r="C1216">
        <v>0</v>
      </c>
      <c r="D1216">
        <v>1</v>
      </c>
      <c r="E1216">
        <v>280519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2</v>
      </c>
      <c r="BC1216" s="1">
        <v>561038</v>
      </c>
      <c r="BD1216" t="s">
        <v>94</v>
      </c>
      <c r="BE1216" t="s">
        <v>582</v>
      </c>
      <c r="BF1216" t="s">
        <v>583</v>
      </c>
      <c r="BH1216" t="s">
        <v>123</v>
      </c>
      <c r="BI1216" t="s">
        <v>124</v>
      </c>
      <c r="BJ1216" t="s">
        <v>125</v>
      </c>
      <c r="BM1216">
        <v>0</v>
      </c>
      <c r="BN1216">
        <v>1</v>
      </c>
      <c r="BO1216">
        <v>1</v>
      </c>
      <c r="BP1216" t="s">
        <v>80</v>
      </c>
      <c r="BR1216">
        <v>0</v>
      </c>
      <c r="BS1216">
        <v>6</v>
      </c>
      <c r="BU1216">
        <v>280519</v>
      </c>
    </row>
    <row r="1217" spans="1:73" x14ac:dyDescent="0.3">
      <c r="A1217" t="s">
        <v>587</v>
      </c>
      <c r="B1217">
        <v>0</v>
      </c>
      <c r="C1217">
        <v>0</v>
      </c>
      <c r="D1217">
        <v>1</v>
      </c>
      <c r="E1217">
        <v>720000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 s="1">
        <v>720000</v>
      </c>
      <c r="BD1217" t="s">
        <v>94</v>
      </c>
      <c r="BE1217" t="s">
        <v>588</v>
      </c>
      <c r="BF1217" t="s">
        <v>589</v>
      </c>
      <c r="BH1217" t="s">
        <v>97</v>
      </c>
      <c r="BI1217" t="s">
        <v>103</v>
      </c>
      <c r="BJ1217" t="s">
        <v>79</v>
      </c>
      <c r="BM1217">
        <v>0</v>
      </c>
      <c r="BN1217">
        <v>1</v>
      </c>
      <c r="BO1217">
        <v>1</v>
      </c>
      <c r="BP1217" t="s">
        <v>99</v>
      </c>
      <c r="BR1217">
        <v>0</v>
      </c>
      <c r="BS1217">
        <v>6</v>
      </c>
      <c r="BU1217">
        <v>720000</v>
      </c>
    </row>
    <row r="1218" spans="1:73" x14ac:dyDescent="0.3">
      <c r="A1218" t="s">
        <v>602</v>
      </c>
      <c r="B1218">
        <v>0</v>
      </c>
      <c r="C1218">
        <v>0</v>
      </c>
      <c r="D1218">
        <v>1</v>
      </c>
      <c r="E1218">
        <v>166276</v>
      </c>
      <c r="F1218">
        <v>0</v>
      </c>
      <c r="G1218">
        <v>0</v>
      </c>
      <c r="H1218">
        <v>2</v>
      </c>
      <c r="I1218">
        <v>44046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3</v>
      </c>
      <c r="BC1218" s="1">
        <v>210322</v>
      </c>
      <c r="BD1218" t="s">
        <v>94</v>
      </c>
      <c r="BE1218" t="s">
        <v>603</v>
      </c>
      <c r="BF1218" t="s">
        <v>604</v>
      </c>
      <c r="BH1218" t="s">
        <v>97</v>
      </c>
      <c r="BI1218" t="s">
        <v>208</v>
      </c>
      <c r="BJ1218" t="s">
        <v>79</v>
      </c>
      <c r="BM1218">
        <v>0</v>
      </c>
      <c r="BN1218">
        <v>2</v>
      </c>
      <c r="BO1218">
        <v>2</v>
      </c>
      <c r="BP1218" t="s">
        <v>514</v>
      </c>
      <c r="BR1218">
        <v>0</v>
      </c>
      <c r="BS1218">
        <v>6</v>
      </c>
      <c r="BU1218">
        <v>210322</v>
      </c>
    </row>
    <row r="1219" spans="1:73" x14ac:dyDescent="0.3">
      <c r="A1219" t="s">
        <v>605</v>
      </c>
      <c r="B1219">
        <v>0</v>
      </c>
      <c r="C1219">
        <v>45455</v>
      </c>
      <c r="D1219">
        <v>2</v>
      </c>
      <c r="E1219">
        <v>690909</v>
      </c>
      <c r="F1219">
        <v>0</v>
      </c>
      <c r="G1219">
        <v>0</v>
      </c>
      <c r="H1219">
        <v>8</v>
      </c>
      <c r="I1219">
        <v>199813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12</v>
      </c>
      <c r="BC1219" s="1">
        <v>1057085</v>
      </c>
      <c r="BD1219" t="s">
        <v>94</v>
      </c>
      <c r="BE1219" t="s">
        <v>606</v>
      </c>
      <c r="BF1219" t="s">
        <v>607</v>
      </c>
      <c r="BH1219" t="s">
        <v>476</v>
      </c>
      <c r="BI1219" t="s">
        <v>608</v>
      </c>
      <c r="BJ1219" t="s">
        <v>125</v>
      </c>
      <c r="BM1219">
        <v>0</v>
      </c>
      <c r="BN1219">
        <v>2</v>
      </c>
      <c r="BO1219">
        <v>2</v>
      </c>
      <c r="BP1219" t="s">
        <v>514</v>
      </c>
      <c r="BR1219">
        <v>0</v>
      </c>
      <c r="BS1219">
        <v>6</v>
      </c>
      <c r="BU1219">
        <v>936177</v>
      </c>
    </row>
    <row r="1220" spans="1:73" x14ac:dyDescent="0.3">
      <c r="A1220" t="s">
        <v>609</v>
      </c>
      <c r="B1220">
        <v>0</v>
      </c>
      <c r="C1220">
        <v>0</v>
      </c>
      <c r="D1220">
        <v>1</v>
      </c>
      <c r="E1220">
        <v>168000</v>
      </c>
      <c r="F1220">
        <v>0</v>
      </c>
      <c r="G1220">
        <v>0</v>
      </c>
      <c r="H1220">
        <v>2</v>
      </c>
      <c r="I1220">
        <v>45817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4</v>
      </c>
      <c r="BC1220" s="1">
        <v>381817</v>
      </c>
      <c r="BD1220" t="s">
        <v>94</v>
      </c>
      <c r="BE1220" t="s">
        <v>610</v>
      </c>
      <c r="BF1220" t="s">
        <v>611</v>
      </c>
      <c r="BH1220" t="s">
        <v>97</v>
      </c>
      <c r="BI1220" t="s">
        <v>232</v>
      </c>
      <c r="BJ1220" t="s">
        <v>79</v>
      </c>
      <c r="BM1220">
        <v>0</v>
      </c>
      <c r="BN1220">
        <v>2</v>
      </c>
      <c r="BO1220">
        <v>2</v>
      </c>
      <c r="BP1220" t="s">
        <v>514</v>
      </c>
      <c r="BR1220">
        <v>0</v>
      </c>
      <c r="BS1220">
        <v>6</v>
      </c>
      <c r="BU1220">
        <v>213817</v>
      </c>
    </row>
    <row r="1221" spans="1:73" x14ac:dyDescent="0.3">
      <c r="A1221" t="s">
        <v>612</v>
      </c>
      <c r="B1221">
        <v>0</v>
      </c>
      <c r="C1221">
        <v>0</v>
      </c>
      <c r="D1221">
        <v>4</v>
      </c>
      <c r="E1221">
        <v>622545</v>
      </c>
      <c r="F1221">
        <v>0</v>
      </c>
      <c r="G1221">
        <v>0</v>
      </c>
      <c r="H1221">
        <v>3</v>
      </c>
      <c r="I1221">
        <v>60000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42000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8</v>
      </c>
      <c r="BC1221" s="1">
        <v>724545</v>
      </c>
      <c r="BD1221" t="s">
        <v>94</v>
      </c>
      <c r="BE1221" t="s">
        <v>613</v>
      </c>
      <c r="BF1221" t="s">
        <v>614</v>
      </c>
      <c r="BH1221" t="s">
        <v>97</v>
      </c>
      <c r="BI1221" t="s">
        <v>103</v>
      </c>
      <c r="BJ1221" t="s">
        <v>79</v>
      </c>
      <c r="BM1221">
        <v>0</v>
      </c>
      <c r="BN1221">
        <v>3</v>
      </c>
      <c r="BO1221">
        <v>3</v>
      </c>
      <c r="BP1221" t="s">
        <v>514</v>
      </c>
      <c r="BR1221">
        <v>0</v>
      </c>
      <c r="BS1221">
        <v>6</v>
      </c>
      <c r="BU1221">
        <v>724545</v>
      </c>
    </row>
    <row r="1222" spans="1:73" x14ac:dyDescent="0.3">
      <c r="A1222" t="s">
        <v>615</v>
      </c>
      <c r="B1222">
        <v>0</v>
      </c>
      <c r="C1222">
        <v>0</v>
      </c>
      <c r="D1222">
        <v>1</v>
      </c>
      <c r="E1222">
        <v>117091</v>
      </c>
      <c r="F1222">
        <v>0</v>
      </c>
      <c r="G1222">
        <v>0</v>
      </c>
      <c r="H1222">
        <v>5</v>
      </c>
      <c r="I1222">
        <v>105000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</v>
      </c>
      <c r="Q1222">
        <v>122000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8</v>
      </c>
      <c r="BC1222" s="1">
        <v>344091</v>
      </c>
      <c r="BD1222" t="s">
        <v>94</v>
      </c>
      <c r="BE1222" t="s">
        <v>616</v>
      </c>
      <c r="BF1222" t="s">
        <v>617</v>
      </c>
      <c r="BH1222" t="s">
        <v>97</v>
      </c>
      <c r="BI1222" t="s">
        <v>265</v>
      </c>
      <c r="BJ1222" t="s">
        <v>79</v>
      </c>
      <c r="BM1222">
        <v>0</v>
      </c>
      <c r="BN1222">
        <v>3</v>
      </c>
      <c r="BO1222">
        <v>3</v>
      </c>
      <c r="BP1222" t="s">
        <v>514</v>
      </c>
      <c r="BR1222">
        <v>0</v>
      </c>
      <c r="BS1222">
        <v>6</v>
      </c>
      <c r="BU1222">
        <v>344091</v>
      </c>
    </row>
    <row r="1223" spans="1:73" x14ac:dyDescent="0.3">
      <c r="A1223" t="s">
        <v>618</v>
      </c>
      <c r="B1223">
        <v>0</v>
      </c>
      <c r="C1223">
        <v>0</v>
      </c>
      <c r="D1223">
        <v>1</v>
      </c>
      <c r="E1223">
        <v>117091</v>
      </c>
      <c r="F1223">
        <v>0</v>
      </c>
      <c r="G1223">
        <v>0</v>
      </c>
      <c r="H1223">
        <v>1</v>
      </c>
      <c r="I1223">
        <v>20000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42000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</v>
      </c>
      <c r="BC1223" s="1">
        <v>179091</v>
      </c>
      <c r="BD1223" t="s">
        <v>94</v>
      </c>
      <c r="BE1223" t="s">
        <v>619</v>
      </c>
      <c r="BF1223" t="s">
        <v>620</v>
      </c>
      <c r="BH1223" t="s">
        <v>97</v>
      </c>
      <c r="BI1223" t="s">
        <v>119</v>
      </c>
      <c r="BJ1223" t="s">
        <v>79</v>
      </c>
      <c r="BM1223">
        <v>0</v>
      </c>
      <c r="BN1223">
        <v>3</v>
      </c>
      <c r="BO1223">
        <v>3</v>
      </c>
      <c r="BP1223" t="s">
        <v>514</v>
      </c>
      <c r="BR1223">
        <v>0</v>
      </c>
      <c r="BS1223">
        <v>6</v>
      </c>
      <c r="BU1223">
        <v>179091</v>
      </c>
    </row>
    <row r="1224" spans="1:73" x14ac:dyDescent="0.3">
      <c r="A1224" t="s">
        <v>624</v>
      </c>
      <c r="B1224">
        <v>0</v>
      </c>
      <c r="C1224">
        <v>0</v>
      </c>
      <c r="D1224">
        <v>1</v>
      </c>
      <c r="E1224">
        <v>250000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 s="1">
        <v>250000</v>
      </c>
      <c r="BD1224" t="s">
        <v>94</v>
      </c>
      <c r="BE1224" t="s">
        <v>625</v>
      </c>
      <c r="BF1224" t="s">
        <v>626</v>
      </c>
      <c r="BH1224" t="s">
        <v>97</v>
      </c>
      <c r="BI1224" t="s">
        <v>265</v>
      </c>
      <c r="BJ1224" t="s">
        <v>79</v>
      </c>
      <c r="BM1224">
        <v>0</v>
      </c>
      <c r="BN1224">
        <v>1</v>
      </c>
      <c r="BO1224">
        <v>1</v>
      </c>
      <c r="BP1224" t="s">
        <v>80</v>
      </c>
      <c r="BR1224">
        <v>0</v>
      </c>
      <c r="BS1224">
        <v>6</v>
      </c>
      <c r="BU1224">
        <v>250000</v>
      </c>
    </row>
    <row r="1225" spans="1:73" x14ac:dyDescent="0.3">
      <c r="A1225" t="s">
        <v>630</v>
      </c>
      <c r="B1225">
        <v>0</v>
      </c>
      <c r="C1225">
        <v>0</v>
      </c>
      <c r="D1225">
        <v>2</v>
      </c>
      <c r="E1225">
        <v>842078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5</v>
      </c>
      <c r="BC1225" s="1">
        <v>1907013</v>
      </c>
      <c r="BD1225" t="s">
        <v>94</v>
      </c>
      <c r="BE1225" t="s">
        <v>631</v>
      </c>
      <c r="BF1225" t="s">
        <v>632</v>
      </c>
      <c r="BH1225" t="s">
        <v>97</v>
      </c>
      <c r="BI1225" t="s">
        <v>119</v>
      </c>
      <c r="BJ1225" t="s">
        <v>79</v>
      </c>
      <c r="BM1225">
        <v>0</v>
      </c>
      <c r="BN1225">
        <v>1</v>
      </c>
      <c r="BO1225">
        <v>1</v>
      </c>
      <c r="BP1225" t="s">
        <v>80</v>
      </c>
      <c r="BR1225">
        <v>0</v>
      </c>
      <c r="BS1225">
        <v>6</v>
      </c>
      <c r="BU1225">
        <v>842078</v>
      </c>
    </row>
    <row r="1226" spans="1:73" x14ac:dyDescent="0.3">
      <c r="A1226" t="s">
        <v>635</v>
      </c>
      <c r="B1226">
        <v>0</v>
      </c>
      <c r="C1226">
        <v>0</v>
      </c>
      <c r="D1226">
        <v>8</v>
      </c>
      <c r="E1226">
        <v>1940000</v>
      </c>
      <c r="F1226">
        <v>0</v>
      </c>
      <c r="G1226">
        <v>0</v>
      </c>
      <c r="H1226">
        <v>18</v>
      </c>
      <c r="I1226">
        <v>360000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135000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73535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25</v>
      </c>
      <c r="BC1226" s="1">
        <v>5024078</v>
      </c>
      <c r="BD1226" t="s">
        <v>94</v>
      </c>
      <c r="BE1226" t="s">
        <v>636</v>
      </c>
      <c r="BF1226" t="s">
        <v>457</v>
      </c>
      <c r="BH1226" t="s">
        <v>123</v>
      </c>
      <c r="BI1226" t="s">
        <v>325</v>
      </c>
      <c r="BJ1226" t="s">
        <v>125</v>
      </c>
      <c r="BM1226">
        <v>1</v>
      </c>
      <c r="BN1226">
        <v>3</v>
      </c>
      <c r="BO1226">
        <v>4</v>
      </c>
      <c r="BP1226" t="s">
        <v>80</v>
      </c>
      <c r="BR1226">
        <v>0</v>
      </c>
      <c r="BS1226">
        <v>6</v>
      </c>
      <c r="BU1226">
        <v>2508535</v>
      </c>
    </row>
    <row r="1227" spans="1:73" x14ac:dyDescent="0.3">
      <c r="A1227" t="s">
        <v>637</v>
      </c>
      <c r="B1227">
        <v>2</v>
      </c>
      <c r="C1227">
        <v>691605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2</v>
      </c>
      <c r="BC1227" s="1">
        <v>691605</v>
      </c>
      <c r="BD1227" t="s">
        <v>94</v>
      </c>
      <c r="BE1227" t="s">
        <v>638</v>
      </c>
      <c r="BF1227" t="s">
        <v>639</v>
      </c>
      <c r="BH1227" t="s">
        <v>97</v>
      </c>
      <c r="BI1227" t="s">
        <v>208</v>
      </c>
      <c r="BJ1227" t="s">
        <v>79</v>
      </c>
      <c r="BM1227">
        <v>0</v>
      </c>
      <c r="BN1227">
        <v>1</v>
      </c>
      <c r="BO1227">
        <v>1</v>
      </c>
      <c r="BP1227" t="s">
        <v>80</v>
      </c>
      <c r="BR1227">
        <v>0</v>
      </c>
      <c r="BS1227">
        <v>6</v>
      </c>
      <c r="BU1227">
        <v>691605</v>
      </c>
    </row>
    <row r="1228" spans="1:73" x14ac:dyDescent="0.3">
      <c r="A1228" t="s">
        <v>647</v>
      </c>
      <c r="B1228">
        <v>0</v>
      </c>
      <c r="C1228">
        <v>0</v>
      </c>
      <c r="D1228">
        <v>8</v>
      </c>
      <c r="E1228">
        <v>2119149</v>
      </c>
      <c r="F1228">
        <v>0</v>
      </c>
      <c r="G1228">
        <v>0</v>
      </c>
      <c r="H1228">
        <v>10</v>
      </c>
      <c r="I1228">
        <v>201156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16</v>
      </c>
      <c r="BC1228" s="1">
        <v>4238298</v>
      </c>
      <c r="BD1228" t="s">
        <v>94</v>
      </c>
      <c r="BE1228" t="s">
        <v>648</v>
      </c>
      <c r="BF1228" t="s">
        <v>649</v>
      </c>
      <c r="BH1228" t="s">
        <v>97</v>
      </c>
      <c r="BI1228" t="s">
        <v>208</v>
      </c>
      <c r="BJ1228" t="s">
        <v>79</v>
      </c>
      <c r="BM1228">
        <v>0</v>
      </c>
      <c r="BN1228">
        <v>2</v>
      </c>
      <c r="BO1228">
        <v>2</v>
      </c>
      <c r="BP1228" t="s">
        <v>80</v>
      </c>
      <c r="BR1228">
        <v>0</v>
      </c>
      <c r="BS1228">
        <v>6</v>
      </c>
      <c r="BU1228">
        <v>2320305</v>
      </c>
    </row>
    <row r="1229" spans="1:73" x14ac:dyDescent="0.3">
      <c r="A1229" t="s">
        <v>650</v>
      </c>
      <c r="B1229">
        <v>0</v>
      </c>
      <c r="C1229">
        <v>0</v>
      </c>
      <c r="D1229">
        <v>6</v>
      </c>
      <c r="E1229">
        <v>1868000</v>
      </c>
      <c r="F1229">
        <v>0</v>
      </c>
      <c r="G1229">
        <v>0</v>
      </c>
      <c r="H1229">
        <v>8</v>
      </c>
      <c r="I1229">
        <v>160000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12</v>
      </c>
      <c r="BC1229" s="1">
        <v>3736000</v>
      </c>
      <c r="BD1229" t="s">
        <v>94</v>
      </c>
      <c r="BE1229" t="s">
        <v>651</v>
      </c>
      <c r="BF1229" t="s">
        <v>652</v>
      </c>
      <c r="BH1229" t="s">
        <v>123</v>
      </c>
      <c r="BI1229" t="s">
        <v>325</v>
      </c>
      <c r="BJ1229" t="s">
        <v>125</v>
      </c>
      <c r="BM1229">
        <v>0</v>
      </c>
      <c r="BN1229">
        <v>2</v>
      </c>
      <c r="BO1229">
        <v>2</v>
      </c>
      <c r="BP1229" t="s">
        <v>80</v>
      </c>
      <c r="BR1229">
        <v>0</v>
      </c>
      <c r="BS1229">
        <v>6</v>
      </c>
      <c r="BU1229">
        <v>2028000</v>
      </c>
    </row>
    <row r="1230" spans="1:73" x14ac:dyDescent="0.3">
      <c r="A1230" t="s">
        <v>653</v>
      </c>
      <c r="B1230">
        <v>0</v>
      </c>
      <c r="C1230">
        <v>0</v>
      </c>
      <c r="D1230">
        <v>2</v>
      </c>
      <c r="E1230">
        <v>1776000</v>
      </c>
      <c r="F1230">
        <v>0</v>
      </c>
      <c r="G1230">
        <v>0</v>
      </c>
      <c r="H1230">
        <v>6</v>
      </c>
      <c r="I1230">
        <v>120000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10</v>
      </c>
      <c r="BC1230" s="1">
        <v>3672000</v>
      </c>
      <c r="BD1230" t="s">
        <v>94</v>
      </c>
      <c r="BE1230" t="s">
        <v>654</v>
      </c>
      <c r="BF1230" t="s">
        <v>655</v>
      </c>
      <c r="BH1230" t="s">
        <v>97</v>
      </c>
      <c r="BI1230" t="s">
        <v>119</v>
      </c>
      <c r="BJ1230" t="s">
        <v>79</v>
      </c>
      <c r="BM1230">
        <v>0</v>
      </c>
      <c r="BN1230">
        <v>2</v>
      </c>
      <c r="BO1230">
        <v>2</v>
      </c>
      <c r="BP1230" t="s">
        <v>80</v>
      </c>
      <c r="BR1230">
        <v>0</v>
      </c>
      <c r="BS1230">
        <v>6</v>
      </c>
      <c r="BU1230">
        <v>1896000</v>
      </c>
    </row>
    <row r="1231" spans="1:73" x14ac:dyDescent="0.3">
      <c r="A1231" t="s">
        <v>656</v>
      </c>
      <c r="B1231">
        <v>0</v>
      </c>
      <c r="C1231">
        <v>0</v>
      </c>
      <c r="D1231">
        <v>5</v>
      </c>
      <c r="E1231">
        <v>715358</v>
      </c>
      <c r="F1231">
        <v>0</v>
      </c>
      <c r="G1231">
        <v>0</v>
      </c>
      <c r="H1231">
        <v>8</v>
      </c>
      <c r="I1231">
        <v>245002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50000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14</v>
      </c>
      <c r="BC1231" s="1">
        <v>1570716</v>
      </c>
      <c r="BD1231" t="s">
        <v>94</v>
      </c>
      <c r="BE1231" t="s">
        <v>657</v>
      </c>
      <c r="BF1231" t="s">
        <v>658</v>
      </c>
      <c r="BH1231" t="s">
        <v>97</v>
      </c>
      <c r="BI1231" t="s">
        <v>208</v>
      </c>
      <c r="BJ1231" t="s">
        <v>79</v>
      </c>
      <c r="BM1231">
        <v>0</v>
      </c>
      <c r="BN1231">
        <v>3</v>
      </c>
      <c r="BO1231">
        <v>3</v>
      </c>
      <c r="BP1231" t="s">
        <v>80</v>
      </c>
      <c r="BR1231">
        <v>0</v>
      </c>
      <c r="BS1231">
        <v>6</v>
      </c>
      <c r="BU1231">
        <v>1010360</v>
      </c>
    </row>
    <row r="1232" spans="1:73" x14ac:dyDescent="0.3">
      <c r="A1232" t="s">
        <v>659</v>
      </c>
      <c r="B1232">
        <v>0</v>
      </c>
      <c r="C1232">
        <v>0</v>
      </c>
      <c r="D1232">
        <v>5</v>
      </c>
      <c r="E1232">
        <v>277517</v>
      </c>
      <c r="F1232">
        <v>0</v>
      </c>
      <c r="G1232">
        <v>0</v>
      </c>
      <c r="H1232">
        <v>6</v>
      </c>
      <c r="I1232">
        <v>145034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9</v>
      </c>
      <c r="BC1232" s="1">
        <v>520034</v>
      </c>
      <c r="BD1232" t="s">
        <v>94</v>
      </c>
      <c r="BE1232" t="s">
        <v>660</v>
      </c>
      <c r="BF1232" t="s">
        <v>661</v>
      </c>
      <c r="BH1232" t="s">
        <v>97</v>
      </c>
      <c r="BI1232" t="s">
        <v>559</v>
      </c>
      <c r="BJ1232" t="s">
        <v>79</v>
      </c>
      <c r="BM1232">
        <v>0</v>
      </c>
      <c r="BN1232">
        <v>2</v>
      </c>
      <c r="BO1232">
        <v>2</v>
      </c>
      <c r="BP1232" t="s">
        <v>80</v>
      </c>
      <c r="BR1232">
        <v>0</v>
      </c>
      <c r="BS1232">
        <v>6</v>
      </c>
      <c r="BU1232">
        <v>422551</v>
      </c>
    </row>
    <row r="1233" spans="1:73" x14ac:dyDescent="0.3">
      <c r="A1233" t="s">
        <v>662</v>
      </c>
      <c r="B1233">
        <v>0</v>
      </c>
      <c r="C1233">
        <v>0</v>
      </c>
      <c r="D1233">
        <v>6</v>
      </c>
      <c r="E1233">
        <v>1720239</v>
      </c>
      <c r="F1233">
        <v>0</v>
      </c>
      <c r="G1233">
        <v>0</v>
      </c>
      <c r="H1233">
        <v>8</v>
      </c>
      <c r="I1233">
        <v>170478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12</v>
      </c>
      <c r="BC1233" s="1">
        <v>3440478</v>
      </c>
      <c r="BD1233" t="s">
        <v>94</v>
      </c>
      <c r="BE1233" t="s">
        <v>663</v>
      </c>
      <c r="BF1233" t="s">
        <v>664</v>
      </c>
      <c r="BH1233" t="s">
        <v>97</v>
      </c>
      <c r="BI1233" t="s">
        <v>119</v>
      </c>
      <c r="BJ1233" t="s">
        <v>79</v>
      </c>
      <c r="BM1233">
        <v>0</v>
      </c>
      <c r="BN1233">
        <v>2</v>
      </c>
      <c r="BO1233">
        <v>2</v>
      </c>
      <c r="BP1233" t="s">
        <v>80</v>
      </c>
      <c r="BR1233">
        <v>0</v>
      </c>
      <c r="BS1233">
        <v>6</v>
      </c>
      <c r="BU1233">
        <v>1890717</v>
      </c>
    </row>
    <row r="1234" spans="1:73" x14ac:dyDescent="0.3">
      <c r="A1234" t="s">
        <v>665</v>
      </c>
      <c r="B1234">
        <v>0</v>
      </c>
      <c r="C1234">
        <v>75454</v>
      </c>
      <c r="D1234">
        <v>1</v>
      </c>
      <c r="E1234">
        <v>195455</v>
      </c>
      <c r="F1234">
        <v>0</v>
      </c>
      <c r="G1234">
        <v>0</v>
      </c>
      <c r="H1234">
        <v>1</v>
      </c>
      <c r="I1234">
        <v>20000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2</v>
      </c>
      <c r="BC1234" s="1">
        <v>290909</v>
      </c>
      <c r="BD1234" t="s">
        <v>94</v>
      </c>
      <c r="BE1234" t="s">
        <v>666</v>
      </c>
      <c r="BF1234" t="s">
        <v>667</v>
      </c>
      <c r="BH1234" t="s">
        <v>97</v>
      </c>
      <c r="BI1234" t="s">
        <v>98</v>
      </c>
      <c r="BJ1234" t="s">
        <v>79</v>
      </c>
      <c r="BM1234">
        <v>0</v>
      </c>
      <c r="BN1234">
        <v>2</v>
      </c>
      <c r="BO1234">
        <v>2</v>
      </c>
      <c r="BP1234" t="s">
        <v>80</v>
      </c>
      <c r="BR1234">
        <v>0</v>
      </c>
      <c r="BS1234">
        <v>6</v>
      </c>
      <c r="BU1234">
        <v>290909</v>
      </c>
    </row>
    <row r="1235" spans="1:73" x14ac:dyDescent="0.3">
      <c r="A1235" t="s">
        <v>668</v>
      </c>
      <c r="B1235">
        <v>5</v>
      </c>
      <c r="C1235">
        <v>456507</v>
      </c>
      <c r="D1235">
        <v>7</v>
      </c>
      <c r="E1235">
        <v>1311748</v>
      </c>
      <c r="F1235">
        <v>0</v>
      </c>
      <c r="G1235">
        <v>0</v>
      </c>
      <c r="H1235">
        <v>14</v>
      </c>
      <c r="I1235">
        <v>433496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22</v>
      </c>
      <c r="BC1235" s="1">
        <v>3197881</v>
      </c>
      <c r="BD1235" t="s">
        <v>94</v>
      </c>
      <c r="BE1235" t="s">
        <v>669</v>
      </c>
      <c r="BF1235" t="s">
        <v>670</v>
      </c>
      <c r="BH1235" t="s">
        <v>123</v>
      </c>
      <c r="BI1235" t="s">
        <v>325</v>
      </c>
      <c r="BJ1235" t="s">
        <v>125</v>
      </c>
      <c r="BM1235">
        <v>0</v>
      </c>
      <c r="BN1235">
        <v>3</v>
      </c>
      <c r="BO1235">
        <v>3</v>
      </c>
      <c r="BP1235" t="s">
        <v>80</v>
      </c>
      <c r="BR1235">
        <v>0</v>
      </c>
      <c r="BS1235">
        <v>6</v>
      </c>
      <c r="BU1235">
        <v>2201751</v>
      </c>
    </row>
    <row r="1236" spans="1:73" x14ac:dyDescent="0.3">
      <c r="A1236" t="s">
        <v>674</v>
      </c>
      <c r="B1236">
        <v>0</v>
      </c>
      <c r="C1236">
        <v>214546</v>
      </c>
      <c r="D1236">
        <v>22</v>
      </c>
      <c r="E1236">
        <v>20889468</v>
      </c>
      <c r="F1236">
        <v>1</v>
      </c>
      <c r="G1236">
        <v>7000000</v>
      </c>
      <c r="H1236">
        <v>32</v>
      </c>
      <c r="I1236">
        <v>941664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51</v>
      </c>
      <c r="BC1236" s="1">
        <v>51418482</v>
      </c>
      <c r="BD1236" t="s">
        <v>94</v>
      </c>
      <c r="BE1236" t="s">
        <v>675</v>
      </c>
      <c r="BF1236" t="s">
        <v>676</v>
      </c>
      <c r="BH1236" t="s">
        <v>97</v>
      </c>
      <c r="BI1236" t="s">
        <v>119</v>
      </c>
      <c r="BJ1236" t="s">
        <v>79</v>
      </c>
      <c r="BM1236">
        <v>0</v>
      </c>
      <c r="BN1236">
        <v>3</v>
      </c>
      <c r="BO1236">
        <v>3</v>
      </c>
      <c r="BP1236" t="s">
        <v>80</v>
      </c>
      <c r="BR1236">
        <v>0</v>
      </c>
      <c r="BS1236">
        <v>3</v>
      </c>
      <c r="BU1236">
        <v>29045678</v>
      </c>
    </row>
    <row r="1237" spans="1:73" x14ac:dyDescent="0.3">
      <c r="A1237" t="s">
        <v>677</v>
      </c>
      <c r="B1237">
        <v>1</v>
      </c>
      <c r="C1237">
        <v>248272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 s="1">
        <v>248272</v>
      </c>
      <c r="BD1237" t="s">
        <v>94</v>
      </c>
      <c r="BE1237" t="s">
        <v>678</v>
      </c>
      <c r="BF1237" t="s">
        <v>679</v>
      </c>
      <c r="BH1237" t="s">
        <v>97</v>
      </c>
      <c r="BI1237" t="s">
        <v>680</v>
      </c>
      <c r="BJ1237" t="s">
        <v>79</v>
      </c>
      <c r="BM1237">
        <v>0</v>
      </c>
      <c r="BN1237">
        <v>1</v>
      </c>
      <c r="BO1237">
        <v>1</v>
      </c>
      <c r="BP1237" t="s">
        <v>80</v>
      </c>
      <c r="BR1237">
        <v>0</v>
      </c>
      <c r="BS1237">
        <v>6</v>
      </c>
      <c r="BU1237">
        <v>248272</v>
      </c>
    </row>
    <row r="1238" spans="1:73" x14ac:dyDescent="0.3">
      <c r="A1238" t="s">
        <v>690</v>
      </c>
      <c r="B1238">
        <v>8</v>
      </c>
      <c r="C1238">
        <v>2302042</v>
      </c>
      <c r="D1238">
        <v>6</v>
      </c>
      <c r="E1238">
        <v>4164814</v>
      </c>
      <c r="F1238">
        <v>0</v>
      </c>
      <c r="G1238">
        <v>0</v>
      </c>
      <c r="H1238">
        <v>10</v>
      </c>
      <c r="I1238">
        <v>329628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20</v>
      </c>
      <c r="BC1238" s="1">
        <v>10631670</v>
      </c>
      <c r="BD1238" t="s">
        <v>94</v>
      </c>
      <c r="BE1238" t="s">
        <v>691</v>
      </c>
      <c r="BF1238" t="s">
        <v>692</v>
      </c>
      <c r="BH1238" t="s">
        <v>123</v>
      </c>
      <c r="BI1238" t="s">
        <v>124</v>
      </c>
      <c r="BJ1238" t="s">
        <v>125</v>
      </c>
      <c r="BM1238">
        <v>0</v>
      </c>
      <c r="BN1238">
        <v>3</v>
      </c>
      <c r="BO1238">
        <v>3</v>
      </c>
      <c r="BP1238" t="s">
        <v>80</v>
      </c>
      <c r="BR1238">
        <v>0</v>
      </c>
      <c r="BS1238">
        <v>5</v>
      </c>
      <c r="BU1238">
        <v>6796484</v>
      </c>
    </row>
    <row r="1239" spans="1:73" x14ac:dyDescent="0.3">
      <c r="A1239" t="s">
        <v>696</v>
      </c>
      <c r="B1239">
        <v>0</v>
      </c>
      <c r="C1239">
        <v>0</v>
      </c>
      <c r="D1239">
        <v>1</v>
      </c>
      <c r="E1239">
        <v>134400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2</v>
      </c>
      <c r="BC1239" s="1">
        <v>268800</v>
      </c>
      <c r="BD1239" t="s">
        <v>94</v>
      </c>
      <c r="BE1239" t="s">
        <v>697</v>
      </c>
      <c r="BF1239" t="s">
        <v>698</v>
      </c>
      <c r="BH1239" t="s">
        <v>97</v>
      </c>
      <c r="BI1239" t="s">
        <v>265</v>
      </c>
      <c r="BJ1239" t="s">
        <v>79</v>
      </c>
      <c r="BM1239">
        <v>0</v>
      </c>
      <c r="BN1239">
        <v>1</v>
      </c>
      <c r="BO1239">
        <v>1</v>
      </c>
      <c r="BP1239" t="s">
        <v>80</v>
      </c>
      <c r="BR1239">
        <v>0</v>
      </c>
      <c r="BS1239">
        <v>6</v>
      </c>
      <c r="BU1239">
        <v>134400</v>
      </c>
    </row>
    <row r="1240" spans="1:73" x14ac:dyDescent="0.3">
      <c r="A1240" t="s">
        <v>702</v>
      </c>
      <c r="B1240">
        <v>1</v>
      </c>
      <c r="C1240">
        <v>9091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 s="1">
        <v>9091</v>
      </c>
      <c r="BD1240" t="s">
        <v>94</v>
      </c>
      <c r="BE1240" t="s">
        <v>703</v>
      </c>
      <c r="BF1240" t="s">
        <v>704</v>
      </c>
      <c r="BM1240">
        <v>0</v>
      </c>
      <c r="BN1240">
        <v>1</v>
      </c>
      <c r="BO1240">
        <v>1</v>
      </c>
      <c r="BP1240" t="s">
        <v>80</v>
      </c>
      <c r="BR1240">
        <v>0</v>
      </c>
      <c r="BS1240">
        <v>0</v>
      </c>
      <c r="BU1240">
        <v>9091</v>
      </c>
    </row>
    <row r="1241" spans="1:73" x14ac:dyDescent="0.3">
      <c r="A1241" t="s">
        <v>714</v>
      </c>
      <c r="B1241">
        <v>1</v>
      </c>
      <c r="C1241">
        <v>502430</v>
      </c>
      <c r="D1241">
        <v>9</v>
      </c>
      <c r="E1241">
        <v>388313</v>
      </c>
      <c r="F1241">
        <v>0</v>
      </c>
      <c r="G1241">
        <v>0</v>
      </c>
      <c r="H1241">
        <v>16</v>
      </c>
      <c r="I1241">
        <v>394808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73535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20</v>
      </c>
      <c r="BC1241" s="1">
        <v>1352591</v>
      </c>
      <c r="BD1241" t="s">
        <v>94</v>
      </c>
      <c r="BE1241" t="s">
        <v>715</v>
      </c>
      <c r="BF1241" t="s">
        <v>716</v>
      </c>
      <c r="BH1241" t="s">
        <v>97</v>
      </c>
      <c r="BI1241" t="s">
        <v>119</v>
      </c>
      <c r="BJ1241" t="s">
        <v>79</v>
      </c>
      <c r="BM1241">
        <v>1</v>
      </c>
      <c r="BN1241">
        <v>3</v>
      </c>
      <c r="BO1241">
        <v>4</v>
      </c>
      <c r="BP1241" t="s">
        <v>80</v>
      </c>
      <c r="BR1241">
        <v>0</v>
      </c>
      <c r="BS1241">
        <v>6</v>
      </c>
      <c r="BU1241">
        <v>1359086</v>
      </c>
    </row>
    <row r="1242" spans="1:73" x14ac:dyDescent="0.3">
      <c r="A1242" t="s">
        <v>721</v>
      </c>
      <c r="B1242">
        <v>1</v>
      </c>
      <c r="C1242">
        <v>145181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 s="1">
        <v>145181</v>
      </c>
      <c r="BD1242" t="s">
        <v>94</v>
      </c>
      <c r="BE1242" t="s">
        <v>722</v>
      </c>
      <c r="BF1242" t="s">
        <v>723</v>
      </c>
      <c r="BM1242">
        <v>0</v>
      </c>
      <c r="BN1242">
        <v>1</v>
      </c>
      <c r="BO1242">
        <v>1</v>
      </c>
      <c r="BP1242" t="s">
        <v>80</v>
      </c>
      <c r="BR1242">
        <v>0</v>
      </c>
      <c r="BS1242">
        <v>6</v>
      </c>
      <c r="BU1242">
        <v>145181</v>
      </c>
    </row>
    <row r="1243" spans="1:73" x14ac:dyDescent="0.3">
      <c r="A1243" t="s">
        <v>724</v>
      </c>
      <c r="B1243">
        <v>0</v>
      </c>
      <c r="C1243">
        <v>0</v>
      </c>
      <c r="D1243">
        <v>5</v>
      </c>
      <c r="E1243">
        <v>345817</v>
      </c>
      <c r="F1243">
        <v>0</v>
      </c>
      <c r="G1243">
        <v>0</v>
      </c>
      <c r="H1243">
        <v>8</v>
      </c>
      <c r="I1243">
        <v>231634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10</v>
      </c>
      <c r="BC1243" s="1">
        <v>691634</v>
      </c>
      <c r="BD1243" t="s">
        <v>94</v>
      </c>
      <c r="BE1243" t="s">
        <v>725</v>
      </c>
      <c r="BF1243" t="s">
        <v>726</v>
      </c>
      <c r="BH1243" t="s">
        <v>97</v>
      </c>
      <c r="BI1243" t="s">
        <v>208</v>
      </c>
      <c r="BJ1243" t="s">
        <v>79</v>
      </c>
      <c r="BM1243">
        <v>0</v>
      </c>
      <c r="BN1243">
        <v>2</v>
      </c>
      <c r="BO1243">
        <v>2</v>
      </c>
      <c r="BP1243" t="s">
        <v>80</v>
      </c>
      <c r="BR1243">
        <v>0</v>
      </c>
      <c r="BS1243">
        <v>6</v>
      </c>
      <c r="BU1243">
        <v>577451</v>
      </c>
    </row>
    <row r="1244" spans="1:73" x14ac:dyDescent="0.3">
      <c r="A1244" t="s">
        <v>730</v>
      </c>
      <c r="B1244">
        <v>6</v>
      </c>
      <c r="C1244">
        <v>4086415</v>
      </c>
      <c r="D1244">
        <v>21</v>
      </c>
      <c r="E1244">
        <v>2612945</v>
      </c>
      <c r="F1244">
        <v>0</v>
      </c>
      <c r="G1244">
        <v>0</v>
      </c>
      <c r="H1244">
        <v>38</v>
      </c>
      <c r="I1244">
        <v>1565084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2</v>
      </c>
      <c r="Z1244">
        <v>406869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58</v>
      </c>
      <c r="BC1244" s="1">
        <v>10323417</v>
      </c>
      <c r="BD1244" t="s">
        <v>94</v>
      </c>
      <c r="BE1244" t="s">
        <v>731</v>
      </c>
      <c r="BF1244" t="s">
        <v>732</v>
      </c>
      <c r="BH1244" t="s">
        <v>123</v>
      </c>
      <c r="BI1244" t="s">
        <v>325</v>
      </c>
      <c r="BJ1244" t="s">
        <v>125</v>
      </c>
      <c r="BM1244">
        <v>1</v>
      </c>
      <c r="BN1244">
        <v>3</v>
      </c>
      <c r="BO1244">
        <v>4</v>
      </c>
      <c r="BP1244" t="s">
        <v>80</v>
      </c>
      <c r="BR1244">
        <v>0</v>
      </c>
      <c r="BS1244">
        <v>5</v>
      </c>
      <c r="BU1244">
        <v>8671313</v>
      </c>
    </row>
    <row r="1245" spans="1:73" x14ac:dyDescent="0.3">
      <c r="A1245" t="s">
        <v>733</v>
      </c>
      <c r="B1245">
        <v>0</v>
      </c>
      <c r="C1245">
        <v>0</v>
      </c>
      <c r="D1245">
        <v>2</v>
      </c>
      <c r="E1245">
        <v>1475000</v>
      </c>
      <c r="F1245">
        <v>0</v>
      </c>
      <c r="G1245">
        <v>0</v>
      </c>
      <c r="H1245">
        <v>3</v>
      </c>
      <c r="I1245">
        <v>70777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135000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7</v>
      </c>
      <c r="BC1245" s="1">
        <v>3120777</v>
      </c>
      <c r="BD1245" t="s">
        <v>94</v>
      </c>
      <c r="BE1245" t="s">
        <v>734</v>
      </c>
      <c r="BF1245" t="s">
        <v>735</v>
      </c>
      <c r="BH1245" t="s">
        <v>97</v>
      </c>
      <c r="BI1245" t="s">
        <v>160</v>
      </c>
      <c r="BJ1245" t="s">
        <v>79</v>
      </c>
      <c r="BM1245">
        <v>0</v>
      </c>
      <c r="BN1245">
        <v>3</v>
      </c>
      <c r="BO1245">
        <v>3</v>
      </c>
      <c r="BP1245" t="s">
        <v>99</v>
      </c>
      <c r="BR1245">
        <v>0</v>
      </c>
      <c r="BS1245">
        <v>6</v>
      </c>
      <c r="BU1245">
        <v>1680777</v>
      </c>
    </row>
    <row r="1246" spans="1:73" x14ac:dyDescent="0.3">
      <c r="A1246" t="s">
        <v>740</v>
      </c>
      <c r="B1246">
        <v>0</v>
      </c>
      <c r="C1246">
        <v>0</v>
      </c>
      <c r="D1246">
        <v>1</v>
      </c>
      <c r="E1246">
        <v>270000</v>
      </c>
      <c r="F1246">
        <v>0</v>
      </c>
      <c r="G1246">
        <v>0</v>
      </c>
      <c r="H1246">
        <v>1</v>
      </c>
      <c r="I1246">
        <v>20000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2</v>
      </c>
      <c r="BC1246" s="1">
        <v>290000</v>
      </c>
      <c r="BD1246" t="s">
        <v>94</v>
      </c>
      <c r="BE1246" t="s">
        <v>741</v>
      </c>
      <c r="BF1246" t="s">
        <v>742</v>
      </c>
      <c r="BH1246" t="s">
        <v>97</v>
      </c>
      <c r="BI1246" t="s">
        <v>119</v>
      </c>
      <c r="BJ1246" t="s">
        <v>79</v>
      </c>
      <c r="BM1246">
        <v>0</v>
      </c>
      <c r="BN1246">
        <v>2</v>
      </c>
      <c r="BO1246">
        <v>2</v>
      </c>
      <c r="BP1246" t="s">
        <v>80</v>
      </c>
      <c r="BR1246">
        <v>0</v>
      </c>
      <c r="BS1246">
        <v>6</v>
      </c>
      <c r="BU1246">
        <v>290000</v>
      </c>
    </row>
    <row r="1247" spans="1:73" x14ac:dyDescent="0.3">
      <c r="A1247" t="s">
        <v>764</v>
      </c>
      <c r="B1247">
        <v>0</v>
      </c>
      <c r="C1247">
        <v>0</v>
      </c>
      <c r="D1247">
        <v>3</v>
      </c>
      <c r="E1247">
        <v>797143</v>
      </c>
      <c r="F1247">
        <v>0</v>
      </c>
      <c r="G1247">
        <v>0</v>
      </c>
      <c r="H1247">
        <v>3</v>
      </c>
      <c r="I1247">
        <v>60000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9</v>
      </c>
      <c r="BC1247" s="1">
        <v>1654286</v>
      </c>
      <c r="BD1247" t="s">
        <v>94</v>
      </c>
      <c r="BE1247" t="s">
        <v>765</v>
      </c>
      <c r="BF1247" t="s">
        <v>766</v>
      </c>
      <c r="BH1247" t="s">
        <v>114</v>
      </c>
      <c r="BI1247" t="s">
        <v>767</v>
      </c>
      <c r="BJ1247" t="s">
        <v>79</v>
      </c>
      <c r="BM1247">
        <v>0</v>
      </c>
      <c r="BN1247">
        <v>2</v>
      </c>
      <c r="BO1247">
        <v>2</v>
      </c>
      <c r="BP1247" t="s">
        <v>80</v>
      </c>
      <c r="BR1247">
        <v>0</v>
      </c>
      <c r="BS1247">
        <v>6</v>
      </c>
      <c r="BU1247">
        <v>857143</v>
      </c>
    </row>
    <row r="1248" spans="1:73" x14ac:dyDescent="0.3">
      <c r="A1248" t="s">
        <v>768</v>
      </c>
      <c r="B1248">
        <v>0</v>
      </c>
      <c r="C1248">
        <v>0</v>
      </c>
      <c r="D1248">
        <v>1</v>
      </c>
      <c r="E1248">
        <v>1200000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 s="1">
        <v>1200000</v>
      </c>
      <c r="BD1248" t="s">
        <v>94</v>
      </c>
      <c r="BE1248" t="s">
        <v>769</v>
      </c>
      <c r="BF1248" t="s">
        <v>770</v>
      </c>
      <c r="BH1248" t="s">
        <v>97</v>
      </c>
      <c r="BI1248" t="s">
        <v>119</v>
      </c>
      <c r="BJ1248" t="s">
        <v>79</v>
      </c>
      <c r="BM1248">
        <v>0</v>
      </c>
      <c r="BN1248">
        <v>1</v>
      </c>
      <c r="BO1248">
        <v>1</v>
      </c>
      <c r="BP1248" t="s">
        <v>80</v>
      </c>
      <c r="BR1248">
        <v>0</v>
      </c>
      <c r="BS1248">
        <v>6</v>
      </c>
      <c r="BU1248">
        <v>1200000</v>
      </c>
    </row>
    <row r="1249" spans="1:73" x14ac:dyDescent="0.3">
      <c r="A1249" t="s">
        <v>776</v>
      </c>
      <c r="B1249">
        <v>0</v>
      </c>
      <c r="C1249">
        <v>0</v>
      </c>
      <c r="D1249">
        <v>1</v>
      </c>
      <c r="E1249">
        <v>20000</v>
      </c>
      <c r="F1249">
        <v>0</v>
      </c>
      <c r="G1249">
        <v>0</v>
      </c>
      <c r="H1249">
        <v>4</v>
      </c>
      <c r="I1249">
        <v>90000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4</v>
      </c>
      <c r="BC1249" s="1">
        <v>90000</v>
      </c>
      <c r="BD1249" t="s">
        <v>94</v>
      </c>
      <c r="BE1249" t="s">
        <v>777</v>
      </c>
      <c r="BF1249" t="s">
        <v>778</v>
      </c>
      <c r="BH1249" t="s">
        <v>97</v>
      </c>
      <c r="BI1249" t="s">
        <v>242</v>
      </c>
      <c r="BJ1249" t="s">
        <v>79</v>
      </c>
      <c r="BM1249">
        <v>0</v>
      </c>
      <c r="BN1249">
        <v>2</v>
      </c>
      <c r="BO1249">
        <v>2</v>
      </c>
      <c r="BP1249" t="s">
        <v>80</v>
      </c>
      <c r="BR1249">
        <v>0</v>
      </c>
      <c r="BS1249">
        <v>6</v>
      </c>
      <c r="BU1249">
        <v>110000</v>
      </c>
    </row>
    <row r="1250" spans="1:73" x14ac:dyDescent="0.3">
      <c r="A1250" t="s">
        <v>779</v>
      </c>
      <c r="B1250">
        <v>0</v>
      </c>
      <c r="C1250">
        <v>0</v>
      </c>
      <c r="D1250">
        <v>3</v>
      </c>
      <c r="E1250">
        <v>60000</v>
      </c>
      <c r="F1250">
        <v>0</v>
      </c>
      <c r="G1250">
        <v>0</v>
      </c>
      <c r="H1250">
        <v>6</v>
      </c>
      <c r="I1250">
        <v>120000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73535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8</v>
      </c>
      <c r="BC1250" s="1">
        <v>272120</v>
      </c>
      <c r="BD1250" t="s">
        <v>94</v>
      </c>
      <c r="BE1250" t="s">
        <v>780</v>
      </c>
      <c r="BF1250" t="s">
        <v>781</v>
      </c>
      <c r="BH1250" t="s">
        <v>97</v>
      </c>
      <c r="BI1250" t="s">
        <v>98</v>
      </c>
      <c r="BJ1250" t="s">
        <v>79</v>
      </c>
      <c r="BM1250">
        <v>1</v>
      </c>
      <c r="BN1250">
        <v>2</v>
      </c>
      <c r="BO1250">
        <v>3</v>
      </c>
      <c r="BP1250" t="s">
        <v>80</v>
      </c>
      <c r="BR1250">
        <v>0</v>
      </c>
      <c r="BS1250">
        <v>6</v>
      </c>
      <c r="BU1250">
        <v>253535</v>
      </c>
    </row>
    <row r="1251" spans="1:73" x14ac:dyDescent="0.3">
      <c r="A1251" t="s">
        <v>782</v>
      </c>
      <c r="B1251">
        <v>0</v>
      </c>
      <c r="C1251">
        <v>0</v>
      </c>
      <c r="D1251">
        <v>1</v>
      </c>
      <c r="E1251">
        <v>500000</v>
      </c>
      <c r="F1251">
        <v>0</v>
      </c>
      <c r="G1251">
        <v>0</v>
      </c>
      <c r="H1251">
        <v>2</v>
      </c>
      <c r="I1251">
        <v>50000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4</v>
      </c>
      <c r="BC1251" s="1">
        <v>1050000</v>
      </c>
      <c r="BD1251" t="s">
        <v>94</v>
      </c>
      <c r="BE1251" t="s">
        <v>783</v>
      </c>
      <c r="BF1251" t="s">
        <v>784</v>
      </c>
      <c r="BH1251" t="s">
        <v>97</v>
      </c>
      <c r="BI1251" t="s">
        <v>119</v>
      </c>
      <c r="BJ1251" t="s">
        <v>79</v>
      </c>
      <c r="BM1251">
        <v>0</v>
      </c>
      <c r="BN1251">
        <v>2</v>
      </c>
      <c r="BO1251">
        <v>2</v>
      </c>
      <c r="BP1251" t="s">
        <v>80</v>
      </c>
      <c r="BR1251">
        <v>0</v>
      </c>
      <c r="BS1251">
        <v>6</v>
      </c>
      <c r="BU1251">
        <v>550000</v>
      </c>
    </row>
    <row r="1252" spans="1:73" x14ac:dyDescent="0.3">
      <c r="A1252" t="s">
        <v>788</v>
      </c>
      <c r="B1252">
        <v>0</v>
      </c>
      <c r="C1252">
        <v>0</v>
      </c>
      <c r="D1252">
        <v>1</v>
      </c>
      <c r="E1252">
        <v>230000</v>
      </c>
      <c r="F1252">
        <v>0</v>
      </c>
      <c r="G1252">
        <v>0</v>
      </c>
      <c r="H1252">
        <v>2</v>
      </c>
      <c r="I1252">
        <v>40000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78585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19792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5</v>
      </c>
      <c r="BC1252" s="1">
        <v>368377</v>
      </c>
      <c r="BD1252" t="s">
        <v>94</v>
      </c>
      <c r="BE1252" t="s">
        <v>789</v>
      </c>
      <c r="BF1252" t="s">
        <v>790</v>
      </c>
      <c r="BH1252" t="s">
        <v>97</v>
      </c>
      <c r="BI1252" t="s">
        <v>98</v>
      </c>
      <c r="BJ1252" t="s">
        <v>79</v>
      </c>
      <c r="BM1252">
        <v>2</v>
      </c>
      <c r="BN1252">
        <v>2</v>
      </c>
      <c r="BO1252">
        <v>4</v>
      </c>
      <c r="BP1252" t="s">
        <v>80</v>
      </c>
      <c r="BR1252">
        <v>0</v>
      </c>
      <c r="BS1252">
        <v>6</v>
      </c>
      <c r="BU1252">
        <v>368377</v>
      </c>
    </row>
    <row r="1253" spans="1:73" x14ac:dyDescent="0.3">
      <c r="A1253" t="s">
        <v>791</v>
      </c>
      <c r="B1253">
        <v>6</v>
      </c>
      <c r="C1253">
        <v>1331579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6</v>
      </c>
      <c r="BC1253" s="1">
        <v>1331579</v>
      </c>
      <c r="BD1253" t="s">
        <v>94</v>
      </c>
      <c r="BE1253" t="s">
        <v>792</v>
      </c>
      <c r="BF1253" t="s">
        <v>793</v>
      </c>
      <c r="BH1253" t="s">
        <v>97</v>
      </c>
      <c r="BI1253" t="s">
        <v>208</v>
      </c>
      <c r="BJ1253" t="s">
        <v>79</v>
      </c>
      <c r="BM1253">
        <v>0</v>
      </c>
      <c r="BN1253">
        <v>1</v>
      </c>
      <c r="BO1253">
        <v>1</v>
      </c>
      <c r="BP1253" t="s">
        <v>80</v>
      </c>
      <c r="BR1253">
        <v>0</v>
      </c>
      <c r="BS1253">
        <v>6</v>
      </c>
      <c r="BU1253">
        <v>1331579</v>
      </c>
    </row>
    <row r="1254" spans="1:73" x14ac:dyDescent="0.3">
      <c r="A1254" t="s">
        <v>800</v>
      </c>
      <c r="B1254">
        <v>0</v>
      </c>
      <c r="C1254">
        <v>0</v>
      </c>
      <c r="D1254">
        <v>3</v>
      </c>
      <c r="E1254">
        <v>497273</v>
      </c>
      <c r="F1254">
        <v>0</v>
      </c>
      <c r="G1254">
        <v>0</v>
      </c>
      <c r="H1254">
        <v>4</v>
      </c>
      <c r="I1254">
        <v>90000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73535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10</v>
      </c>
      <c r="BC1254" s="1">
        <v>1191616</v>
      </c>
      <c r="BD1254" t="s">
        <v>94</v>
      </c>
      <c r="BE1254" t="s">
        <v>801</v>
      </c>
      <c r="BF1254" t="s">
        <v>649</v>
      </c>
      <c r="BH1254" t="s">
        <v>97</v>
      </c>
      <c r="BI1254" t="s">
        <v>208</v>
      </c>
      <c r="BJ1254" t="s">
        <v>79</v>
      </c>
      <c r="BM1254">
        <v>1</v>
      </c>
      <c r="BN1254">
        <v>2</v>
      </c>
      <c r="BO1254">
        <v>3</v>
      </c>
      <c r="BP1254" t="s">
        <v>80</v>
      </c>
      <c r="BR1254">
        <v>0</v>
      </c>
      <c r="BS1254">
        <v>6</v>
      </c>
      <c r="BU1254">
        <v>660808</v>
      </c>
    </row>
    <row r="1255" spans="1:73" x14ac:dyDescent="0.3">
      <c r="A1255" t="s">
        <v>802</v>
      </c>
      <c r="B1255">
        <v>0</v>
      </c>
      <c r="C1255">
        <v>0</v>
      </c>
      <c r="D1255">
        <v>3</v>
      </c>
      <c r="E1255">
        <v>278181</v>
      </c>
      <c r="F1255">
        <v>0</v>
      </c>
      <c r="G1255">
        <v>0</v>
      </c>
      <c r="H1255">
        <v>3</v>
      </c>
      <c r="I1255">
        <v>60000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45682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11526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8</v>
      </c>
      <c r="BC1255" s="1">
        <v>393570</v>
      </c>
      <c r="BD1255" t="s">
        <v>94</v>
      </c>
      <c r="BE1255" t="s">
        <v>803</v>
      </c>
      <c r="BF1255" t="s">
        <v>804</v>
      </c>
      <c r="BH1255" t="s">
        <v>97</v>
      </c>
      <c r="BI1255" t="s">
        <v>119</v>
      </c>
      <c r="BJ1255" t="s">
        <v>79</v>
      </c>
      <c r="BM1255">
        <v>2</v>
      </c>
      <c r="BN1255">
        <v>2</v>
      </c>
      <c r="BO1255">
        <v>4</v>
      </c>
      <c r="BP1255" t="s">
        <v>80</v>
      </c>
      <c r="BR1255">
        <v>0</v>
      </c>
      <c r="BS1255">
        <v>6</v>
      </c>
      <c r="BU1255">
        <v>395389</v>
      </c>
    </row>
    <row r="1256" spans="1:73" x14ac:dyDescent="0.3">
      <c r="A1256" t="s">
        <v>808</v>
      </c>
      <c r="B1256">
        <v>0</v>
      </c>
      <c r="C1256">
        <v>0</v>
      </c>
      <c r="D1256">
        <v>4</v>
      </c>
      <c r="E1256">
        <v>2439600</v>
      </c>
      <c r="F1256">
        <v>0</v>
      </c>
      <c r="G1256">
        <v>0</v>
      </c>
      <c r="H1256">
        <v>6</v>
      </c>
      <c r="I1256">
        <v>162058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12</v>
      </c>
      <c r="BC1256" s="1">
        <v>5078291</v>
      </c>
      <c r="BD1256" t="s">
        <v>94</v>
      </c>
      <c r="BE1256" t="s">
        <v>809</v>
      </c>
      <c r="BF1256" t="s">
        <v>810</v>
      </c>
      <c r="BH1256" t="s">
        <v>97</v>
      </c>
      <c r="BI1256" t="s">
        <v>242</v>
      </c>
      <c r="BJ1256" t="s">
        <v>79</v>
      </c>
      <c r="BM1256">
        <v>0</v>
      </c>
      <c r="BN1256">
        <v>2</v>
      </c>
      <c r="BO1256">
        <v>2</v>
      </c>
      <c r="BP1256" t="s">
        <v>80</v>
      </c>
      <c r="BR1256">
        <v>0</v>
      </c>
      <c r="BS1256">
        <v>6</v>
      </c>
      <c r="BU1256">
        <v>2601658</v>
      </c>
    </row>
    <row r="1257" spans="1:73" x14ac:dyDescent="0.3">
      <c r="A1257" t="s">
        <v>811</v>
      </c>
      <c r="B1257">
        <v>0</v>
      </c>
      <c r="C1257">
        <v>0</v>
      </c>
      <c r="D1257">
        <v>3</v>
      </c>
      <c r="E1257">
        <v>328000</v>
      </c>
      <c r="F1257">
        <v>0</v>
      </c>
      <c r="G1257">
        <v>0</v>
      </c>
      <c r="H1257">
        <v>4</v>
      </c>
      <c r="I1257">
        <v>80000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6</v>
      </c>
      <c r="BC1257" s="1">
        <v>656000</v>
      </c>
      <c r="BD1257" t="s">
        <v>94</v>
      </c>
      <c r="BE1257" t="s">
        <v>812</v>
      </c>
      <c r="BF1257" t="s">
        <v>813</v>
      </c>
      <c r="BH1257" t="s">
        <v>97</v>
      </c>
      <c r="BI1257" t="s">
        <v>103</v>
      </c>
      <c r="BJ1257" t="s">
        <v>79</v>
      </c>
      <c r="BM1257">
        <v>0</v>
      </c>
      <c r="BN1257">
        <v>2</v>
      </c>
      <c r="BO1257">
        <v>2</v>
      </c>
      <c r="BP1257" t="s">
        <v>80</v>
      </c>
      <c r="BR1257">
        <v>0</v>
      </c>
      <c r="BS1257">
        <v>6</v>
      </c>
      <c r="BU1257">
        <v>408000</v>
      </c>
    </row>
    <row r="1258" spans="1:73" x14ac:dyDescent="0.3">
      <c r="A1258" t="s">
        <v>814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82993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 s="1">
        <v>82993</v>
      </c>
      <c r="BD1258" t="s">
        <v>94</v>
      </c>
      <c r="BE1258" t="s">
        <v>815</v>
      </c>
      <c r="BF1258" t="s">
        <v>816</v>
      </c>
      <c r="BH1258" t="s">
        <v>97</v>
      </c>
      <c r="BI1258" t="s">
        <v>119</v>
      </c>
      <c r="BJ1258" t="s">
        <v>79</v>
      </c>
      <c r="BM1258">
        <v>1</v>
      </c>
      <c r="BN1258">
        <v>0</v>
      </c>
      <c r="BO1258">
        <v>1</v>
      </c>
      <c r="BP1258" t="s">
        <v>80</v>
      </c>
      <c r="BR1258">
        <v>0</v>
      </c>
      <c r="BS1258">
        <v>6</v>
      </c>
      <c r="BU1258">
        <v>82993</v>
      </c>
    </row>
    <row r="1259" spans="1:73" x14ac:dyDescent="0.3">
      <c r="A1259" t="s">
        <v>823</v>
      </c>
      <c r="B1259">
        <v>0</v>
      </c>
      <c r="C1259">
        <v>0</v>
      </c>
      <c r="D1259">
        <v>2</v>
      </c>
      <c r="E1259">
        <v>1285714</v>
      </c>
      <c r="F1259">
        <v>0</v>
      </c>
      <c r="G1259">
        <v>0</v>
      </c>
      <c r="H1259">
        <v>6</v>
      </c>
      <c r="I1259">
        <v>198563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8</v>
      </c>
      <c r="BC1259" s="1">
        <v>1484277</v>
      </c>
      <c r="BD1259" t="s">
        <v>94</v>
      </c>
      <c r="BE1259" t="s">
        <v>824</v>
      </c>
      <c r="BF1259" t="s">
        <v>825</v>
      </c>
      <c r="BH1259" t="s">
        <v>97</v>
      </c>
      <c r="BI1259" t="s">
        <v>119</v>
      </c>
      <c r="BJ1259" t="s">
        <v>79</v>
      </c>
      <c r="BM1259">
        <v>0</v>
      </c>
      <c r="BN1259">
        <v>2</v>
      </c>
      <c r="BO1259">
        <v>2</v>
      </c>
      <c r="BP1259" t="s">
        <v>80</v>
      </c>
      <c r="BR1259">
        <v>0</v>
      </c>
      <c r="BS1259">
        <v>6</v>
      </c>
      <c r="BU1259">
        <v>1484277</v>
      </c>
    </row>
    <row r="1260" spans="1:73" x14ac:dyDescent="0.3">
      <c r="A1260" t="s">
        <v>826</v>
      </c>
      <c r="B1260">
        <v>1</v>
      </c>
      <c r="C1260">
        <v>46360</v>
      </c>
      <c r="D1260">
        <v>2</v>
      </c>
      <c r="E1260">
        <v>377600</v>
      </c>
      <c r="F1260">
        <v>0</v>
      </c>
      <c r="G1260">
        <v>0</v>
      </c>
      <c r="H1260">
        <v>2</v>
      </c>
      <c r="I1260">
        <v>45000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73535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27778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9</v>
      </c>
      <c r="BC1260" s="1">
        <v>756652</v>
      </c>
      <c r="BD1260" t="s">
        <v>94</v>
      </c>
      <c r="BE1260" t="s">
        <v>827</v>
      </c>
      <c r="BF1260" t="s">
        <v>828</v>
      </c>
      <c r="BH1260" t="s">
        <v>97</v>
      </c>
      <c r="BI1260" t="s">
        <v>119</v>
      </c>
      <c r="BJ1260" t="s">
        <v>79</v>
      </c>
      <c r="BM1260">
        <v>2</v>
      </c>
      <c r="BN1260">
        <v>3</v>
      </c>
      <c r="BO1260">
        <v>5</v>
      </c>
      <c r="BP1260" t="s">
        <v>80</v>
      </c>
      <c r="BR1260">
        <v>0</v>
      </c>
      <c r="BS1260">
        <v>6</v>
      </c>
      <c r="BU1260">
        <v>570273</v>
      </c>
    </row>
    <row r="1261" spans="1:73" x14ac:dyDescent="0.3">
      <c r="A1261" t="s">
        <v>835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20000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 s="1">
        <v>20000</v>
      </c>
      <c r="BD1261" t="s">
        <v>94</v>
      </c>
      <c r="BE1261" t="s">
        <v>836</v>
      </c>
      <c r="BF1261" t="s">
        <v>837</v>
      </c>
      <c r="BH1261" t="s">
        <v>97</v>
      </c>
      <c r="BI1261" t="s">
        <v>160</v>
      </c>
      <c r="BJ1261" t="s">
        <v>79</v>
      </c>
      <c r="BM1261">
        <v>0</v>
      </c>
      <c r="BN1261">
        <v>1</v>
      </c>
      <c r="BO1261">
        <v>1</v>
      </c>
      <c r="BP1261" t="s">
        <v>80</v>
      </c>
      <c r="BR1261">
        <v>0</v>
      </c>
      <c r="BS1261">
        <v>6</v>
      </c>
      <c r="BU1261">
        <v>20000</v>
      </c>
    </row>
    <row r="1262" spans="1:73" x14ac:dyDescent="0.3">
      <c r="A1262" t="s">
        <v>838</v>
      </c>
      <c r="B1262">
        <v>0</v>
      </c>
      <c r="C1262">
        <v>0</v>
      </c>
      <c r="D1262">
        <v>1</v>
      </c>
      <c r="E1262">
        <v>536364</v>
      </c>
      <c r="F1262">
        <v>0</v>
      </c>
      <c r="G1262">
        <v>0</v>
      </c>
      <c r="H1262">
        <v>1</v>
      </c>
      <c r="I1262">
        <v>30780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</v>
      </c>
      <c r="BC1262" s="1">
        <v>567144</v>
      </c>
      <c r="BD1262" t="s">
        <v>94</v>
      </c>
      <c r="BE1262" t="s">
        <v>839</v>
      </c>
      <c r="BF1262" t="s">
        <v>840</v>
      </c>
      <c r="BH1262" t="s">
        <v>97</v>
      </c>
      <c r="BI1262" t="s">
        <v>107</v>
      </c>
      <c r="BJ1262" t="s">
        <v>79</v>
      </c>
      <c r="BM1262">
        <v>0</v>
      </c>
      <c r="BN1262">
        <v>2</v>
      </c>
      <c r="BO1262">
        <v>2</v>
      </c>
      <c r="BP1262" t="s">
        <v>80</v>
      </c>
      <c r="BR1262">
        <v>0</v>
      </c>
      <c r="BS1262">
        <v>6</v>
      </c>
      <c r="BU1262">
        <v>567144</v>
      </c>
    </row>
    <row r="1263" spans="1:73" x14ac:dyDescent="0.3">
      <c r="A1263" t="s">
        <v>851</v>
      </c>
      <c r="B1263">
        <v>0</v>
      </c>
      <c r="C1263">
        <v>0</v>
      </c>
      <c r="D1263">
        <v>7</v>
      </c>
      <c r="E1263">
        <v>1544302</v>
      </c>
      <c r="F1263">
        <v>0</v>
      </c>
      <c r="G1263">
        <v>0</v>
      </c>
      <c r="H1263">
        <v>10</v>
      </c>
      <c r="I1263">
        <v>304604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73535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15</v>
      </c>
      <c r="BC1263" s="1">
        <v>3638710</v>
      </c>
      <c r="BD1263" t="s">
        <v>94</v>
      </c>
      <c r="BE1263" t="s">
        <v>852</v>
      </c>
      <c r="BF1263" t="s">
        <v>853</v>
      </c>
      <c r="BH1263" t="s">
        <v>97</v>
      </c>
      <c r="BI1263" t="s">
        <v>98</v>
      </c>
      <c r="BJ1263" t="s">
        <v>79</v>
      </c>
      <c r="BM1263">
        <v>1</v>
      </c>
      <c r="BN1263">
        <v>2</v>
      </c>
      <c r="BO1263">
        <v>3</v>
      </c>
      <c r="BP1263" t="s">
        <v>80</v>
      </c>
      <c r="BR1263">
        <v>0</v>
      </c>
      <c r="BS1263">
        <v>6</v>
      </c>
      <c r="BU1263">
        <v>1922441</v>
      </c>
    </row>
    <row r="1264" spans="1:73" x14ac:dyDescent="0.3">
      <c r="A1264" t="s">
        <v>858</v>
      </c>
      <c r="B1264">
        <v>0</v>
      </c>
      <c r="C1264">
        <v>0</v>
      </c>
      <c r="D1264">
        <v>32</v>
      </c>
      <c r="E1264">
        <v>3128117</v>
      </c>
      <c r="F1264">
        <v>0</v>
      </c>
      <c r="G1264">
        <v>0</v>
      </c>
      <c r="H1264">
        <v>60</v>
      </c>
      <c r="I1264">
        <v>2162520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277778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66</v>
      </c>
      <c r="BC1264" s="1">
        <v>6811790</v>
      </c>
      <c r="BD1264" t="s">
        <v>94</v>
      </c>
      <c r="BE1264" t="s">
        <v>859</v>
      </c>
      <c r="BF1264" t="s">
        <v>860</v>
      </c>
      <c r="BH1264" t="s">
        <v>97</v>
      </c>
      <c r="BI1264" t="s">
        <v>242</v>
      </c>
      <c r="BJ1264" t="s">
        <v>79</v>
      </c>
      <c r="BM1264">
        <v>1</v>
      </c>
      <c r="BN1264">
        <v>2</v>
      </c>
      <c r="BO1264">
        <v>3</v>
      </c>
      <c r="BP1264" t="s">
        <v>80</v>
      </c>
      <c r="BR1264">
        <v>0</v>
      </c>
      <c r="BS1264">
        <v>6</v>
      </c>
      <c r="BU1264">
        <v>5568415</v>
      </c>
    </row>
    <row r="1265" spans="1:73" x14ac:dyDescent="0.3">
      <c r="A1265" t="s">
        <v>864</v>
      </c>
      <c r="B1265">
        <v>0</v>
      </c>
      <c r="C1265">
        <v>0</v>
      </c>
      <c r="D1265">
        <v>1</v>
      </c>
      <c r="E1265">
        <v>274286</v>
      </c>
      <c r="F1265">
        <v>0</v>
      </c>
      <c r="G1265">
        <v>0</v>
      </c>
      <c r="H1265">
        <v>2</v>
      </c>
      <c r="I1265">
        <v>46148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4</v>
      </c>
      <c r="BC1265" s="1">
        <v>594720</v>
      </c>
      <c r="BD1265" t="s">
        <v>94</v>
      </c>
      <c r="BE1265" t="s">
        <v>865</v>
      </c>
      <c r="BF1265" t="s">
        <v>866</v>
      </c>
      <c r="BH1265" t="s">
        <v>97</v>
      </c>
      <c r="BI1265" t="s">
        <v>119</v>
      </c>
      <c r="BJ1265" t="s">
        <v>79</v>
      </c>
      <c r="BM1265">
        <v>0</v>
      </c>
      <c r="BN1265">
        <v>2</v>
      </c>
      <c r="BO1265">
        <v>2</v>
      </c>
      <c r="BP1265" t="s">
        <v>80</v>
      </c>
      <c r="BR1265">
        <v>0</v>
      </c>
      <c r="BS1265">
        <v>6</v>
      </c>
      <c r="BU1265">
        <v>320434</v>
      </c>
    </row>
    <row r="1266" spans="1:73" x14ac:dyDescent="0.3">
      <c r="A1266" t="s">
        <v>870</v>
      </c>
      <c r="B1266">
        <v>0</v>
      </c>
      <c r="C1266">
        <v>0</v>
      </c>
      <c r="D1266">
        <v>4</v>
      </c>
      <c r="E1266">
        <v>1525505</v>
      </c>
      <c r="F1266">
        <v>0</v>
      </c>
      <c r="G1266">
        <v>0</v>
      </c>
      <c r="H1266">
        <v>6</v>
      </c>
      <c r="I1266">
        <v>171010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19792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10</v>
      </c>
      <c r="BC1266" s="1">
        <v>3090594</v>
      </c>
      <c r="BD1266" t="s">
        <v>94</v>
      </c>
      <c r="BE1266" t="s">
        <v>871</v>
      </c>
      <c r="BF1266" t="s">
        <v>872</v>
      </c>
      <c r="BH1266" t="s">
        <v>97</v>
      </c>
      <c r="BI1266" t="s">
        <v>98</v>
      </c>
      <c r="BJ1266" t="s">
        <v>79</v>
      </c>
      <c r="BM1266">
        <v>1</v>
      </c>
      <c r="BN1266">
        <v>2</v>
      </c>
      <c r="BO1266">
        <v>3</v>
      </c>
      <c r="BP1266" t="s">
        <v>80</v>
      </c>
      <c r="BR1266">
        <v>0</v>
      </c>
      <c r="BS1266">
        <v>6</v>
      </c>
      <c r="BU1266">
        <v>1716307</v>
      </c>
    </row>
    <row r="1267" spans="1:73" x14ac:dyDescent="0.3">
      <c r="A1267" t="s">
        <v>879</v>
      </c>
      <c r="B1267">
        <v>1</v>
      </c>
      <c r="C1267">
        <v>285317</v>
      </c>
      <c r="D1267">
        <v>2</v>
      </c>
      <c r="E1267">
        <v>215858</v>
      </c>
      <c r="F1267">
        <v>0</v>
      </c>
      <c r="G1267">
        <v>0</v>
      </c>
      <c r="H1267">
        <v>2</v>
      </c>
      <c r="I1267">
        <v>51716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7</v>
      </c>
      <c r="BC1267" s="1">
        <v>1015215</v>
      </c>
      <c r="BD1267" t="s">
        <v>94</v>
      </c>
      <c r="BE1267" t="s">
        <v>880</v>
      </c>
      <c r="BF1267" t="s">
        <v>881</v>
      </c>
      <c r="BH1267" t="s">
        <v>97</v>
      </c>
      <c r="BI1267" t="s">
        <v>208</v>
      </c>
      <c r="BJ1267" t="s">
        <v>79</v>
      </c>
      <c r="BM1267">
        <v>0</v>
      </c>
      <c r="BN1267">
        <v>3</v>
      </c>
      <c r="BO1267">
        <v>3</v>
      </c>
      <c r="BP1267" t="s">
        <v>80</v>
      </c>
      <c r="BR1267">
        <v>0</v>
      </c>
      <c r="BS1267">
        <v>6</v>
      </c>
      <c r="BU1267">
        <v>552891</v>
      </c>
    </row>
    <row r="1268" spans="1:73" x14ac:dyDescent="0.3">
      <c r="A1268" t="s">
        <v>891</v>
      </c>
      <c r="B1268">
        <v>0</v>
      </c>
      <c r="C1268">
        <v>0</v>
      </c>
      <c r="D1268">
        <v>1</v>
      </c>
      <c r="E1268">
        <v>540000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 s="1">
        <v>540000</v>
      </c>
      <c r="BD1268" t="s">
        <v>94</v>
      </c>
      <c r="BE1268" t="s">
        <v>892</v>
      </c>
      <c r="BF1268" t="s">
        <v>893</v>
      </c>
      <c r="BH1268" t="s">
        <v>97</v>
      </c>
      <c r="BI1268" t="s">
        <v>894</v>
      </c>
      <c r="BJ1268" t="s">
        <v>79</v>
      </c>
      <c r="BM1268">
        <v>0</v>
      </c>
      <c r="BN1268">
        <v>1</v>
      </c>
      <c r="BO1268">
        <v>1</v>
      </c>
      <c r="BP1268" t="s">
        <v>80</v>
      </c>
      <c r="BR1268">
        <v>0</v>
      </c>
      <c r="BS1268">
        <v>6</v>
      </c>
      <c r="BU1268">
        <v>540000</v>
      </c>
    </row>
    <row r="1269" spans="1:73" x14ac:dyDescent="0.3">
      <c r="A1269" t="s">
        <v>895</v>
      </c>
      <c r="B1269">
        <v>0</v>
      </c>
      <c r="C1269">
        <v>0</v>
      </c>
      <c r="D1269">
        <v>1</v>
      </c>
      <c r="E1269">
        <v>230400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 s="1">
        <v>230400</v>
      </c>
      <c r="BD1269" t="s">
        <v>94</v>
      </c>
      <c r="BE1269" t="s">
        <v>896</v>
      </c>
      <c r="BF1269" t="s">
        <v>897</v>
      </c>
      <c r="BH1269" t="s">
        <v>97</v>
      </c>
      <c r="BI1269" t="s">
        <v>119</v>
      </c>
      <c r="BJ1269" t="s">
        <v>79</v>
      </c>
      <c r="BM1269">
        <v>0</v>
      </c>
      <c r="BN1269">
        <v>1</v>
      </c>
      <c r="BO1269">
        <v>1</v>
      </c>
      <c r="BP1269" t="s">
        <v>80</v>
      </c>
      <c r="BR1269">
        <v>0</v>
      </c>
      <c r="BS1269">
        <v>6</v>
      </c>
      <c r="BU1269">
        <v>230400</v>
      </c>
    </row>
    <row r="1270" spans="1:73" x14ac:dyDescent="0.3">
      <c r="A1270" t="s">
        <v>898</v>
      </c>
      <c r="B1270">
        <v>0</v>
      </c>
      <c r="C1270">
        <v>0</v>
      </c>
      <c r="D1270">
        <v>1</v>
      </c>
      <c r="E1270">
        <v>540000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2</v>
      </c>
      <c r="BC1270" s="1">
        <v>1007742</v>
      </c>
      <c r="BD1270" t="s">
        <v>94</v>
      </c>
      <c r="BE1270" t="s">
        <v>899</v>
      </c>
      <c r="BF1270" t="s">
        <v>900</v>
      </c>
      <c r="BH1270" t="s">
        <v>97</v>
      </c>
      <c r="BI1270" t="s">
        <v>265</v>
      </c>
      <c r="BJ1270" t="s">
        <v>79</v>
      </c>
      <c r="BM1270">
        <v>0</v>
      </c>
      <c r="BN1270">
        <v>1</v>
      </c>
      <c r="BO1270">
        <v>1</v>
      </c>
      <c r="BP1270" t="s">
        <v>80</v>
      </c>
      <c r="BR1270">
        <v>0</v>
      </c>
      <c r="BS1270">
        <v>6</v>
      </c>
      <c r="BU1270">
        <v>540000</v>
      </c>
    </row>
    <row r="1271" spans="1:73" x14ac:dyDescent="0.3">
      <c r="A1271" t="s">
        <v>901</v>
      </c>
      <c r="B1271">
        <v>0</v>
      </c>
      <c r="C1271">
        <v>0</v>
      </c>
      <c r="D1271">
        <v>4</v>
      </c>
      <c r="E1271">
        <v>341900</v>
      </c>
      <c r="F1271">
        <v>0</v>
      </c>
      <c r="G1271">
        <v>0</v>
      </c>
      <c r="H1271">
        <v>6</v>
      </c>
      <c r="I1271">
        <v>122762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8</v>
      </c>
      <c r="BC1271" s="1">
        <v>683800</v>
      </c>
      <c r="BD1271" t="s">
        <v>94</v>
      </c>
      <c r="BE1271" t="s">
        <v>902</v>
      </c>
      <c r="BF1271" t="s">
        <v>903</v>
      </c>
      <c r="BH1271" t="s">
        <v>97</v>
      </c>
      <c r="BI1271" t="s">
        <v>119</v>
      </c>
      <c r="BJ1271" t="s">
        <v>79</v>
      </c>
      <c r="BM1271">
        <v>0</v>
      </c>
      <c r="BN1271">
        <v>2</v>
      </c>
      <c r="BO1271">
        <v>2</v>
      </c>
      <c r="BP1271" t="s">
        <v>80</v>
      </c>
      <c r="BR1271">
        <v>0</v>
      </c>
      <c r="BS1271">
        <v>6</v>
      </c>
      <c r="BU1271">
        <v>464662</v>
      </c>
    </row>
    <row r="1272" spans="1:73" x14ac:dyDescent="0.3">
      <c r="A1272" t="s">
        <v>904</v>
      </c>
      <c r="B1272">
        <v>0</v>
      </c>
      <c r="C1272">
        <v>0</v>
      </c>
      <c r="D1272">
        <v>1</v>
      </c>
      <c r="E1272">
        <v>246857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2</v>
      </c>
      <c r="BC1272" s="1">
        <v>493714</v>
      </c>
      <c r="BD1272" t="s">
        <v>94</v>
      </c>
      <c r="BE1272" t="s">
        <v>905</v>
      </c>
      <c r="BF1272" t="s">
        <v>906</v>
      </c>
      <c r="BH1272" t="s">
        <v>123</v>
      </c>
      <c r="BI1272" t="s">
        <v>124</v>
      </c>
      <c r="BJ1272" t="s">
        <v>125</v>
      </c>
      <c r="BM1272">
        <v>0</v>
      </c>
      <c r="BN1272">
        <v>1</v>
      </c>
      <c r="BO1272">
        <v>1</v>
      </c>
      <c r="BP1272" t="s">
        <v>80</v>
      </c>
      <c r="BR1272">
        <v>0</v>
      </c>
      <c r="BS1272">
        <v>6</v>
      </c>
      <c r="BU1272">
        <v>246857</v>
      </c>
    </row>
    <row r="1273" spans="1:73" x14ac:dyDescent="0.3">
      <c r="A1273" t="s">
        <v>907</v>
      </c>
      <c r="B1273">
        <v>0</v>
      </c>
      <c r="C1273">
        <v>0</v>
      </c>
      <c r="D1273">
        <v>1</v>
      </c>
      <c r="E1273">
        <v>900000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</v>
      </c>
      <c r="BC1273" s="1">
        <v>900000</v>
      </c>
      <c r="BD1273" t="s">
        <v>94</v>
      </c>
      <c r="BE1273" t="s">
        <v>908</v>
      </c>
      <c r="BF1273" t="s">
        <v>391</v>
      </c>
      <c r="BH1273" t="s">
        <v>97</v>
      </c>
      <c r="BI1273" t="s">
        <v>119</v>
      </c>
      <c r="BJ1273" t="s">
        <v>79</v>
      </c>
      <c r="BM1273">
        <v>0</v>
      </c>
      <c r="BN1273">
        <v>1</v>
      </c>
      <c r="BO1273">
        <v>1</v>
      </c>
      <c r="BP1273" t="s">
        <v>80</v>
      </c>
      <c r="BR1273">
        <v>0</v>
      </c>
      <c r="BS1273">
        <v>6</v>
      </c>
      <c r="BU1273">
        <v>900000</v>
      </c>
    </row>
    <row r="1274" spans="1:73" x14ac:dyDescent="0.3">
      <c r="A1274" t="s">
        <v>912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67878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2</v>
      </c>
      <c r="BC1274" s="1">
        <v>135756</v>
      </c>
      <c r="BD1274" t="s">
        <v>94</v>
      </c>
      <c r="BE1274" t="s">
        <v>913</v>
      </c>
      <c r="BF1274" t="s">
        <v>914</v>
      </c>
      <c r="BH1274" t="s">
        <v>97</v>
      </c>
      <c r="BI1274" t="s">
        <v>894</v>
      </c>
      <c r="BJ1274" t="s">
        <v>79</v>
      </c>
      <c r="BM1274">
        <v>1</v>
      </c>
      <c r="BN1274">
        <v>0</v>
      </c>
      <c r="BO1274">
        <v>1</v>
      </c>
      <c r="BP1274" t="s">
        <v>80</v>
      </c>
      <c r="BR1274">
        <v>0</v>
      </c>
      <c r="BS1274">
        <v>6</v>
      </c>
      <c r="BU1274">
        <v>67878</v>
      </c>
    </row>
    <row r="1275" spans="1:73" x14ac:dyDescent="0.3">
      <c r="A1275" t="s">
        <v>933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2</v>
      </c>
      <c r="Z1275">
        <v>147070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3</v>
      </c>
      <c r="BC1275" s="1">
        <v>220605</v>
      </c>
      <c r="BD1275" t="s">
        <v>94</v>
      </c>
      <c r="BE1275" t="s">
        <v>934</v>
      </c>
      <c r="BF1275" t="s">
        <v>935</v>
      </c>
      <c r="BH1275" t="s">
        <v>97</v>
      </c>
      <c r="BI1275" t="s">
        <v>98</v>
      </c>
      <c r="BJ1275" t="s">
        <v>79</v>
      </c>
      <c r="BM1275">
        <v>1</v>
      </c>
      <c r="BN1275">
        <v>0</v>
      </c>
      <c r="BO1275">
        <v>1</v>
      </c>
      <c r="BP1275" t="s">
        <v>80</v>
      </c>
      <c r="BR1275">
        <v>0</v>
      </c>
      <c r="BS1275">
        <v>6</v>
      </c>
      <c r="BU1275">
        <v>147070</v>
      </c>
    </row>
    <row r="1276" spans="1:73" x14ac:dyDescent="0.3">
      <c r="A1276" t="s">
        <v>940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73535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19792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2</v>
      </c>
      <c r="BC1276" s="1">
        <v>93327</v>
      </c>
      <c r="BD1276" t="s">
        <v>94</v>
      </c>
      <c r="BE1276" t="s">
        <v>941</v>
      </c>
      <c r="BF1276" t="s">
        <v>942</v>
      </c>
      <c r="BH1276" t="s">
        <v>97</v>
      </c>
      <c r="BI1276" t="s">
        <v>242</v>
      </c>
      <c r="BJ1276" t="s">
        <v>79</v>
      </c>
      <c r="BM1276">
        <v>2</v>
      </c>
      <c r="BN1276">
        <v>0</v>
      </c>
      <c r="BO1276">
        <v>2</v>
      </c>
      <c r="BP1276" t="s">
        <v>80</v>
      </c>
      <c r="BR1276">
        <v>0</v>
      </c>
      <c r="BS1276">
        <v>0</v>
      </c>
      <c r="BU1276">
        <v>93327</v>
      </c>
    </row>
    <row r="1277" spans="1:73" x14ac:dyDescent="0.3">
      <c r="A1277" t="s">
        <v>943</v>
      </c>
      <c r="B1277">
        <v>2</v>
      </c>
      <c r="C1277">
        <v>354728</v>
      </c>
      <c r="D1277">
        <v>2</v>
      </c>
      <c r="E1277">
        <v>80378</v>
      </c>
      <c r="F1277">
        <v>0</v>
      </c>
      <c r="G1277">
        <v>0</v>
      </c>
      <c r="H1277">
        <v>4</v>
      </c>
      <c r="I1277">
        <v>160756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128334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98000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15</v>
      </c>
      <c r="BC1277" s="1">
        <v>12549580</v>
      </c>
      <c r="BD1277" t="s">
        <v>94</v>
      </c>
      <c r="BE1277" t="s">
        <v>944</v>
      </c>
      <c r="BF1277" t="s">
        <v>945</v>
      </c>
      <c r="BH1277" t="s">
        <v>97</v>
      </c>
      <c r="BI1277" t="s">
        <v>107</v>
      </c>
      <c r="BJ1277" t="s">
        <v>79</v>
      </c>
      <c r="BM1277">
        <v>2</v>
      </c>
      <c r="BN1277">
        <v>3</v>
      </c>
      <c r="BO1277">
        <v>5</v>
      </c>
      <c r="BP1277" t="s">
        <v>99</v>
      </c>
      <c r="BR1277">
        <v>0</v>
      </c>
      <c r="BS1277">
        <v>6</v>
      </c>
      <c r="BU1277">
        <v>822196</v>
      </c>
    </row>
    <row r="1278" spans="1:73" x14ac:dyDescent="0.3">
      <c r="A1278" t="s">
        <v>946</v>
      </c>
      <c r="B1278">
        <v>0</v>
      </c>
      <c r="C1278">
        <v>0</v>
      </c>
      <c r="D1278">
        <v>2</v>
      </c>
      <c r="E1278">
        <v>2978572</v>
      </c>
      <c r="F1278">
        <v>0</v>
      </c>
      <c r="G1278">
        <v>0</v>
      </c>
      <c r="H1278">
        <v>1</v>
      </c>
      <c r="I1278">
        <v>20000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5</v>
      </c>
      <c r="BC1278" s="1">
        <v>5977144</v>
      </c>
      <c r="BD1278" t="s">
        <v>94</v>
      </c>
      <c r="BE1278" t="s">
        <v>947</v>
      </c>
      <c r="BF1278" t="s">
        <v>948</v>
      </c>
      <c r="BH1278" t="s">
        <v>123</v>
      </c>
      <c r="BI1278" t="s">
        <v>124</v>
      </c>
      <c r="BJ1278" t="s">
        <v>125</v>
      </c>
      <c r="BM1278">
        <v>0</v>
      </c>
      <c r="BN1278">
        <v>2</v>
      </c>
      <c r="BO1278">
        <v>2</v>
      </c>
      <c r="BP1278" t="s">
        <v>80</v>
      </c>
      <c r="BR1278">
        <v>0</v>
      </c>
      <c r="BS1278">
        <v>6</v>
      </c>
      <c r="BU1278">
        <v>2998572</v>
      </c>
    </row>
    <row r="1279" spans="1:73" x14ac:dyDescent="0.3">
      <c r="A1279" t="s">
        <v>949</v>
      </c>
      <c r="B1279">
        <v>0</v>
      </c>
      <c r="C1279">
        <v>0</v>
      </c>
      <c r="D1279">
        <v>4</v>
      </c>
      <c r="E1279">
        <v>921600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4</v>
      </c>
      <c r="BC1279" s="1">
        <v>921600</v>
      </c>
      <c r="BD1279" t="s">
        <v>94</v>
      </c>
      <c r="BE1279" t="s">
        <v>950</v>
      </c>
      <c r="BF1279" t="s">
        <v>951</v>
      </c>
      <c r="BH1279" t="s">
        <v>97</v>
      </c>
      <c r="BI1279" t="s">
        <v>242</v>
      </c>
      <c r="BJ1279" t="s">
        <v>79</v>
      </c>
      <c r="BM1279">
        <v>0</v>
      </c>
      <c r="BN1279">
        <v>1</v>
      </c>
      <c r="BO1279">
        <v>1</v>
      </c>
      <c r="BP1279" t="s">
        <v>80</v>
      </c>
      <c r="BR1279">
        <v>0</v>
      </c>
      <c r="BS1279">
        <v>6</v>
      </c>
      <c r="BU1279">
        <v>921600</v>
      </c>
    </row>
    <row r="1280" spans="1:73" x14ac:dyDescent="0.3">
      <c r="A1280" t="s">
        <v>952</v>
      </c>
      <c r="B1280">
        <v>6</v>
      </c>
      <c r="C1280">
        <v>54545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6</v>
      </c>
      <c r="BC1280" s="1">
        <v>54545</v>
      </c>
      <c r="BD1280" t="s">
        <v>94</v>
      </c>
      <c r="BE1280" t="s">
        <v>703</v>
      </c>
      <c r="BF1280" t="s">
        <v>704</v>
      </c>
      <c r="BM1280">
        <v>0</v>
      </c>
      <c r="BN1280">
        <v>1</v>
      </c>
      <c r="BO1280">
        <v>1</v>
      </c>
      <c r="BP1280" t="s">
        <v>80</v>
      </c>
      <c r="BR1280">
        <v>0</v>
      </c>
      <c r="BS1280">
        <v>0</v>
      </c>
      <c r="BU1280">
        <v>54545</v>
      </c>
    </row>
    <row r="1281" spans="1:73" x14ac:dyDescent="0.3">
      <c r="A1281" t="s">
        <v>966</v>
      </c>
      <c r="B1281">
        <v>0</v>
      </c>
      <c r="C1281">
        <v>0</v>
      </c>
      <c r="D1281">
        <v>9</v>
      </c>
      <c r="E1281">
        <v>30600000</v>
      </c>
      <c r="F1281">
        <v>0</v>
      </c>
      <c r="G1281">
        <v>0</v>
      </c>
      <c r="H1281">
        <v>6</v>
      </c>
      <c r="I1281">
        <v>120000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21</v>
      </c>
      <c r="BC1281" s="1">
        <v>61908572</v>
      </c>
      <c r="BD1281" t="s">
        <v>94</v>
      </c>
      <c r="BE1281" t="s">
        <v>967</v>
      </c>
      <c r="BF1281" t="s">
        <v>649</v>
      </c>
      <c r="BH1281" t="s">
        <v>97</v>
      </c>
      <c r="BI1281" t="s">
        <v>98</v>
      </c>
      <c r="BJ1281" t="s">
        <v>79</v>
      </c>
      <c r="BM1281">
        <v>0</v>
      </c>
      <c r="BN1281">
        <v>2</v>
      </c>
      <c r="BO1281">
        <v>2</v>
      </c>
      <c r="BP1281" t="s">
        <v>80</v>
      </c>
      <c r="BR1281">
        <v>0</v>
      </c>
      <c r="BS1281">
        <v>3</v>
      </c>
      <c r="BU1281">
        <v>30720000</v>
      </c>
    </row>
    <row r="1282" spans="1:73" x14ac:dyDescent="0.3">
      <c r="A1282" t="s">
        <v>971</v>
      </c>
      <c r="B1282">
        <v>0</v>
      </c>
      <c r="C1282">
        <v>0</v>
      </c>
      <c r="D1282">
        <v>1</v>
      </c>
      <c r="E1282">
        <v>216000</v>
      </c>
      <c r="F1282">
        <v>0</v>
      </c>
      <c r="G1282">
        <v>0</v>
      </c>
      <c r="H1282">
        <v>1</v>
      </c>
      <c r="I1282">
        <v>20000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2</v>
      </c>
      <c r="BC1282" s="1">
        <v>236000</v>
      </c>
      <c r="BD1282" t="s">
        <v>94</v>
      </c>
      <c r="BE1282" t="s">
        <v>972</v>
      </c>
      <c r="BF1282" t="s">
        <v>973</v>
      </c>
      <c r="BH1282" t="s">
        <v>97</v>
      </c>
      <c r="BI1282" t="s">
        <v>160</v>
      </c>
      <c r="BJ1282" t="s">
        <v>79</v>
      </c>
      <c r="BM1282">
        <v>0</v>
      </c>
      <c r="BN1282">
        <v>2</v>
      </c>
      <c r="BO1282">
        <v>2</v>
      </c>
      <c r="BP1282" t="s">
        <v>80</v>
      </c>
      <c r="BR1282">
        <v>0</v>
      </c>
      <c r="BS1282">
        <v>6</v>
      </c>
      <c r="BU1282">
        <v>236000</v>
      </c>
    </row>
    <row r="1283" spans="1:73" x14ac:dyDescent="0.3">
      <c r="A1283" t="s">
        <v>977</v>
      </c>
      <c r="B1283">
        <v>0</v>
      </c>
      <c r="C1283">
        <v>0</v>
      </c>
      <c r="D1283">
        <v>1</v>
      </c>
      <c r="E1283">
        <v>240000</v>
      </c>
      <c r="F1283">
        <v>0</v>
      </c>
      <c r="G1283">
        <v>0</v>
      </c>
      <c r="H1283">
        <v>1</v>
      </c>
      <c r="I1283">
        <v>20000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2</v>
      </c>
      <c r="BC1283" s="1">
        <v>260000</v>
      </c>
      <c r="BD1283" t="s">
        <v>94</v>
      </c>
      <c r="BE1283" t="s">
        <v>978</v>
      </c>
      <c r="BF1283" t="s">
        <v>589</v>
      </c>
      <c r="BH1283" t="s">
        <v>97</v>
      </c>
      <c r="BI1283" t="s">
        <v>103</v>
      </c>
      <c r="BJ1283" t="s">
        <v>79</v>
      </c>
      <c r="BM1283">
        <v>0</v>
      </c>
      <c r="BN1283">
        <v>2</v>
      </c>
      <c r="BO1283">
        <v>2</v>
      </c>
      <c r="BP1283" t="s">
        <v>80</v>
      </c>
      <c r="BR1283">
        <v>0</v>
      </c>
      <c r="BS1283">
        <v>6</v>
      </c>
      <c r="BU1283">
        <v>260000</v>
      </c>
    </row>
    <row r="1284" spans="1:73" x14ac:dyDescent="0.3">
      <c r="A1284" t="s">
        <v>979</v>
      </c>
      <c r="B1284">
        <v>0</v>
      </c>
      <c r="C1284">
        <v>0</v>
      </c>
      <c r="D1284">
        <v>2</v>
      </c>
      <c r="E1284">
        <v>1320000</v>
      </c>
      <c r="F1284">
        <v>0</v>
      </c>
      <c r="G1284">
        <v>0</v>
      </c>
      <c r="H1284">
        <v>2</v>
      </c>
      <c r="I1284">
        <v>40000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4</v>
      </c>
      <c r="BC1284" s="1">
        <v>1360000</v>
      </c>
      <c r="BD1284" t="s">
        <v>94</v>
      </c>
      <c r="BE1284" t="s">
        <v>980</v>
      </c>
      <c r="BF1284" t="s">
        <v>981</v>
      </c>
      <c r="BH1284" t="s">
        <v>97</v>
      </c>
      <c r="BI1284" t="s">
        <v>265</v>
      </c>
      <c r="BJ1284" t="s">
        <v>79</v>
      </c>
      <c r="BM1284">
        <v>0</v>
      </c>
      <c r="BN1284">
        <v>2</v>
      </c>
      <c r="BO1284">
        <v>2</v>
      </c>
      <c r="BP1284" t="s">
        <v>80</v>
      </c>
      <c r="BR1284">
        <v>0</v>
      </c>
      <c r="BS1284">
        <v>6</v>
      </c>
      <c r="BU1284">
        <v>1360000</v>
      </c>
    </row>
    <row r="1285" spans="1:73" x14ac:dyDescent="0.3">
      <c r="A1285" t="s">
        <v>982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96439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 s="1">
        <v>96439</v>
      </c>
      <c r="BD1285" t="s">
        <v>94</v>
      </c>
      <c r="BE1285" t="s">
        <v>983</v>
      </c>
      <c r="BF1285" t="s">
        <v>984</v>
      </c>
      <c r="BH1285" t="s">
        <v>97</v>
      </c>
      <c r="BI1285" t="s">
        <v>119</v>
      </c>
      <c r="BJ1285" t="s">
        <v>79</v>
      </c>
      <c r="BM1285">
        <v>1</v>
      </c>
      <c r="BN1285">
        <v>0</v>
      </c>
      <c r="BO1285">
        <v>1</v>
      </c>
      <c r="BP1285" t="s">
        <v>80</v>
      </c>
      <c r="BR1285">
        <v>0</v>
      </c>
      <c r="BS1285">
        <v>6</v>
      </c>
      <c r="BU1285">
        <v>96439</v>
      </c>
    </row>
    <row r="1286" spans="1:73" x14ac:dyDescent="0.3">
      <c r="A1286" t="s">
        <v>985</v>
      </c>
      <c r="B1286">
        <v>0</v>
      </c>
      <c r="C1286">
        <v>0</v>
      </c>
      <c r="D1286">
        <v>1</v>
      </c>
      <c r="E1286">
        <v>171428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2</v>
      </c>
      <c r="BC1286" s="1">
        <v>342856</v>
      </c>
      <c r="BD1286" t="s">
        <v>94</v>
      </c>
      <c r="BE1286" t="s">
        <v>986</v>
      </c>
      <c r="BF1286" t="s">
        <v>987</v>
      </c>
      <c r="BH1286" t="s">
        <v>476</v>
      </c>
      <c r="BI1286" t="s">
        <v>608</v>
      </c>
      <c r="BJ1286" t="s">
        <v>125</v>
      </c>
      <c r="BM1286">
        <v>0</v>
      </c>
      <c r="BN1286">
        <v>1</v>
      </c>
      <c r="BO1286">
        <v>1</v>
      </c>
      <c r="BP1286" t="s">
        <v>80</v>
      </c>
      <c r="BR1286">
        <v>0</v>
      </c>
      <c r="BS1286">
        <v>6</v>
      </c>
      <c r="BU1286">
        <v>171428</v>
      </c>
    </row>
    <row r="1287" spans="1:73" x14ac:dyDescent="0.3">
      <c r="A1287" t="s">
        <v>988</v>
      </c>
      <c r="B1287">
        <v>0</v>
      </c>
      <c r="C1287">
        <v>0</v>
      </c>
      <c r="D1287">
        <v>4</v>
      </c>
      <c r="E1287">
        <v>311522</v>
      </c>
      <c r="F1287">
        <v>0</v>
      </c>
      <c r="G1287">
        <v>0</v>
      </c>
      <c r="H1287">
        <v>6</v>
      </c>
      <c r="I1287">
        <v>295772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8</v>
      </c>
      <c r="BC1287" s="1">
        <v>623044</v>
      </c>
      <c r="BD1287" t="s">
        <v>94</v>
      </c>
      <c r="BE1287" t="s">
        <v>989</v>
      </c>
      <c r="BF1287" t="s">
        <v>990</v>
      </c>
      <c r="BH1287" t="s">
        <v>97</v>
      </c>
      <c r="BI1287" t="s">
        <v>119</v>
      </c>
      <c r="BJ1287" t="s">
        <v>79</v>
      </c>
      <c r="BM1287">
        <v>0</v>
      </c>
      <c r="BN1287">
        <v>2</v>
      </c>
      <c r="BO1287">
        <v>2</v>
      </c>
      <c r="BP1287" t="s">
        <v>80</v>
      </c>
      <c r="BR1287">
        <v>0</v>
      </c>
      <c r="BS1287">
        <v>6</v>
      </c>
      <c r="BU1287">
        <v>607294</v>
      </c>
    </row>
    <row r="1288" spans="1:73" x14ac:dyDescent="0.3">
      <c r="A1288" t="s">
        <v>991</v>
      </c>
      <c r="B1288">
        <v>0</v>
      </c>
      <c r="C1288">
        <v>0</v>
      </c>
      <c r="D1288">
        <v>1</v>
      </c>
      <c r="E1288">
        <v>246857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</v>
      </c>
      <c r="BC1288" s="1">
        <v>493714</v>
      </c>
      <c r="BD1288" t="s">
        <v>94</v>
      </c>
      <c r="BE1288" t="s">
        <v>992</v>
      </c>
      <c r="BF1288" t="s">
        <v>993</v>
      </c>
      <c r="BH1288" t="s">
        <v>97</v>
      </c>
      <c r="BI1288" t="s">
        <v>119</v>
      </c>
      <c r="BJ1288" t="s">
        <v>79</v>
      </c>
      <c r="BM1288">
        <v>0</v>
      </c>
      <c r="BN1288">
        <v>1</v>
      </c>
      <c r="BO1288">
        <v>1</v>
      </c>
      <c r="BP1288" t="s">
        <v>80</v>
      </c>
      <c r="BR1288">
        <v>0</v>
      </c>
      <c r="BS1288">
        <v>6</v>
      </c>
      <c r="BU1288">
        <v>246857</v>
      </c>
    </row>
    <row r="1289" spans="1:73" x14ac:dyDescent="0.3">
      <c r="A1289" t="s">
        <v>1000</v>
      </c>
      <c r="B1289">
        <v>0</v>
      </c>
      <c r="C1289">
        <v>0</v>
      </c>
      <c r="D1289">
        <v>1</v>
      </c>
      <c r="E1289">
        <v>900000</v>
      </c>
      <c r="F1289">
        <v>0</v>
      </c>
      <c r="G1289">
        <v>0</v>
      </c>
      <c r="H1289">
        <v>3</v>
      </c>
      <c r="I1289">
        <v>60000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</v>
      </c>
      <c r="BC1289" s="1">
        <v>960000</v>
      </c>
      <c r="BD1289" t="s">
        <v>94</v>
      </c>
      <c r="BE1289" t="s">
        <v>1001</v>
      </c>
      <c r="BF1289" t="s">
        <v>1002</v>
      </c>
      <c r="BH1289" t="s">
        <v>97</v>
      </c>
      <c r="BI1289" t="s">
        <v>559</v>
      </c>
      <c r="BJ1289" t="s">
        <v>79</v>
      </c>
      <c r="BM1289">
        <v>0</v>
      </c>
      <c r="BN1289">
        <v>2</v>
      </c>
      <c r="BO1289">
        <v>2</v>
      </c>
      <c r="BP1289" t="s">
        <v>80</v>
      </c>
      <c r="BR1289">
        <v>0</v>
      </c>
      <c r="BS1289">
        <v>6</v>
      </c>
      <c r="BU1289">
        <v>960000</v>
      </c>
    </row>
    <row r="1290" spans="1:73" x14ac:dyDescent="0.3">
      <c r="A1290" t="s">
        <v>1003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38788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 s="1">
        <v>38788</v>
      </c>
      <c r="BD1290" t="s">
        <v>94</v>
      </c>
      <c r="BE1290" t="s">
        <v>1004</v>
      </c>
      <c r="BF1290" t="s">
        <v>1005</v>
      </c>
      <c r="BH1290" t="s">
        <v>97</v>
      </c>
      <c r="BI1290" t="s">
        <v>1006</v>
      </c>
      <c r="BJ1290" t="s">
        <v>79</v>
      </c>
      <c r="BM1290">
        <v>1</v>
      </c>
      <c r="BN1290">
        <v>0</v>
      </c>
      <c r="BO1290">
        <v>1</v>
      </c>
      <c r="BP1290" t="s">
        <v>80</v>
      </c>
      <c r="BR1290">
        <v>0</v>
      </c>
      <c r="BS1290">
        <v>0</v>
      </c>
      <c r="BU1290">
        <v>38788</v>
      </c>
    </row>
    <row r="1291" spans="1:73" x14ac:dyDescent="0.3">
      <c r="A1291" t="s">
        <v>1010</v>
      </c>
      <c r="B1291">
        <v>0</v>
      </c>
      <c r="C1291">
        <v>0</v>
      </c>
      <c r="D1291">
        <v>2</v>
      </c>
      <c r="E1291">
        <v>212653</v>
      </c>
      <c r="F1291">
        <v>0</v>
      </c>
      <c r="G1291">
        <v>0</v>
      </c>
      <c r="H1291">
        <v>2</v>
      </c>
      <c r="I1291">
        <v>41306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5</v>
      </c>
      <c r="BC1291" s="1">
        <v>853884</v>
      </c>
      <c r="BD1291" t="s">
        <v>94</v>
      </c>
      <c r="BE1291" t="s">
        <v>1011</v>
      </c>
      <c r="BF1291" t="s">
        <v>1012</v>
      </c>
      <c r="BH1291" t="s">
        <v>97</v>
      </c>
      <c r="BI1291" t="s">
        <v>119</v>
      </c>
      <c r="BJ1291" t="s">
        <v>79</v>
      </c>
      <c r="BM1291">
        <v>0</v>
      </c>
      <c r="BN1291">
        <v>2</v>
      </c>
      <c r="BO1291">
        <v>2</v>
      </c>
      <c r="BP1291" t="s">
        <v>80</v>
      </c>
      <c r="BR1291">
        <v>0</v>
      </c>
      <c r="BS1291">
        <v>6</v>
      </c>
      <c r="BU1291">
        <v>253959</v>
      </c>
    </row>
    <row r="1292" spans="1:73" x14ac:dyDescent="0.3">
      <c r="A1292" t="s">
        <v>1019</v>
      </c>
      <c r="B1292">
        <v>1</v>
      </c>
      <c r="C1292">
        <v>339571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 s="1">
        <v>339571</v>
      </c>
      <c r="BD1292" t="s">
        <v>94</v>
      </c>
      <c r="BE1292" t="s">
        <v>1020</v>
      </c>
      <c r="BF1292" t="s">
        <v>1021</v>
      </c>
      <c r="BH1292" t="s">
        <v>97</v>
      </c>
      <c r="BI1292" t="s">
        <v>232</v>
      </c>
      <c r="BJ1292" t="s">
        <v>79</v>
      </c>
      <c r="BM1292">
        <v>0</v>
      </c>
      <c r="BN1292">
        <v>1</v>
      </c>
      <c r="BO1292">
        <v>1</v>
      </c>
      <c r="BP1292" t="s">
        <v>80</v>
      </c>
      <c r="BR1292">
        <v>0</v>
      </c>
      <c r="BS1292">
        <v>6</v>
      </c>
      <c r="BU1292">
        <v>339571</v>
      </c>
    </row>
    <row r="1293" spans="1:73" x14ac:dyDescent="0.3">
      <c r="A1293" t="s">
        <v>1025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45682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11526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2</v>
      </c>
      <c r="BC1293" s="1">
        <v>57208</v>
      </c>
      <c r="BD1293" t="s">
        <v>94</v>
      </c>
      <c r="BE1293" t="s">
        <v>1026</v>
      </c>
      <c r="BF1293" t="s">
        <v>1027</v>
      </c>
      <c r="BH1293" t="s">
        <v>97</v>
      </c>
      <c r="BI1293" t="s">
        <v>208</v>
      </c>
      <c r="BJ1293" t="s">
        <v>79</v>
      </c>
      <c r="BM1293">
        <v>2</v>
      </c>
      <c r="BN1293">
        <v>0</v>
      </c>
      <c r="BO1293">
        <v>2</v>
      </c>
      <c r="BP1293" t="s">
        <v>514</v>
      </c>
      <c r="BR1293">
        <v>0</v>
      </c>
      <c r="BS1293">
        <v>0</v>
      </c>
      <c r="BU1293">
        <v>57208</v>
      </c>
    </row>
    <row r="1294" spans="1:73" x14ac:dyDescent="0.3">
      <c r="A1294" t="s">
        <v>1031</v>
      </c>
      <c r="B1294">
        <v>0</v>
      </c>
      <c r="C1294">
        <v>0</v>
      </c>
      <c r="D1294">
        <v>3</v>
      </c>
      <c r="E1294">
        <v>1872208</v>
      </c>
      <c r="F1294">
        <v>0</v>
      </c>
      <c r="G1294">
        <v>0</v>
      </c>
      <c r="H1294">
        <v>4</v>
      </c>
      <c r="I1294">
        <v>144416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73535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8</v>
      </c>
      <c r="BC1294" s="1">
        <v>3891486</v>
      </c>
      <c r="BD1294" t="s">
        <v>94</v>
      </c>
      <c r="BE1294" t="s">
        <v>1032</v>
      </c>
      <c r="BF1294" t="s">
        <v>1033</v>
      </c>
      <c r="BH1294" t="s">
        <v>97</v>
      </c>
      <c r="BI1294" t="s">
        <v>119</v>
      </c>
      <c r="BJ1294" t="s">
        <v>79</v>
      </c>
      <c r="BM1294">
        <v>1</v>
      </c>
      <c r="BN1294">
        <v>2</v>
      </c>
      <c r="BO1294">
        <v>3</v>
      </c>
      <c r="BP1294" t="s">
        <v>80</v>
      </c>
      <c r="BR1294">
        <v>0</v>
      </c>
      <c r="BS1294">
        <v>6</v>
      </c>
      <c r="BU1294">
        <v>2090159</v>
      </c>
    </row>
    <row r="1295" spans="1:73" x14ac:dyDescent="0.3">
      <c r="A1295" t="s">
        <v>1034</v>
      </c>
      <c r="B1295">
        <v>0</v>
      </c>
      <c r="C1295">
        <v>0</v>
      </c>
      <c r="D1295">
        <v>2</v>
      </c>
      <c r="E1295">
        <v>566400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4</v>
      </c>
      <c r="BC1295" s="1">
        <v>1132800</v>
      </c>
      <c r="BD1295" t="s">
        <v>94</v>
      </c>
      <c r="BE1295" t="s">
        <v>1035</v>
      </c>
      <c r="BF1295" t="s">
        <v>1036</v>
      </c>
      <c r="BH1295" t="s">
        <v>476</v>
      </c>
      <c r="BI1295" t="s">
        <v>1037</v>
      </c>
      <c r="BJ1295" t="s">
        <v>125</v>
      </c>
      <c r="BM1295">
        <v>0</v>
      </c>
      <c r="BN1295">
        <v>1</v>
      </c>
      <c r="BO1295">
        <v>1</v>
      </c>
      <c r="BP1295" t="s">
        <v>80</v>
      </c>
      <c r="BR1295">
        <v>0</v>
      </c>
      <c r="BS1295">
        <v>6</v>
      </c>
      <c r="BU1295">
        <v>566400</v>
      </c>
    </row>
    <row r="1296" spans="1:73" x14ac:dyDescent="0.3">
      <c r="A1296" t="s">
        <v>1050</v>
      </c>
      <c r="B1296">
        <v>8</v>
      </c>
      <c r="C1296">
        <v>2721181</v>
      </c>
      <c r="D1296">
        <v>5</v>
      </c>
      <c r="E1296">
        <v>109091</v>
      </c>
      <c r="F1296">
        <v>0</v>
      </c>
      <c r="G1296">
        <v>0</v>
      </c>
      <c r="H1296">
        <v>10</v>
      </c>
      <c r="I1296">
        <v>218182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18</v>
      </c>
      <c r="BC1296" s="1">
        <v>2939363</v>
      </c>
      <c r="BD1296" t="s">
        <v>94</v>
      </c>
      <c r="BE1296" t="s">
        <v>1051</v>
      </c>
      <c r="BF1296" t="s">
        <v>1052</v>
      </c>
      <c r="BH1296" t="s">
        <v>123</v>
      </c>
      <c r="BI1296" t="s">
        <v>124</v>
      </c>
      <c r="BJ1296" t="s">
        <v>125</v>
      </c>
      <c r="BM1296">
        <v>0</v>
      </c>
      <c r="BN1296">
        <v>3</v>
      </c>
      <c r="BO1296">
        <v>3</v>
      </c>
      <c r="BP1296" t="s">
        <v>99</v>
      </c>
      <c r="BR1296">
        <v>0</v>
      </c>
      <c r="BS1296">
        <v>6</v>
      </c>
      <c r="BU1296">
        <v>3048454</v>
      </c>
    </row>
    <row r="1297" spans="1:73" x14ac:dyDescent="0.3">
      <c r="A1297" t="s">
        <v>1053</v>
      </c>
      <c r="B1297">
        <v>0</v>
      </c>
      <c r="C1297">
        <v>0</v>
      </c>
      <c r="D1297">
        <v>1</v>
      </c>
      <c r="E1297">
        <v>411428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2</v>
      </c>
      <c r="BC1297" s="1">
        <v>840003</v>
      </c>
      <c r="BD1297" t="s">
        <v>94</v>
      </c>
      <c r="BE1297" t="s">
        <v>1054</v>
      </c>
      <c r="BF1297" t="s">
        <v>1055</v>
      </c>
      <c r="BH1297" t="s">
        <v>77</v>
      </c>
      <c r="BI1297" t="s">
        <v>204</v>
      </c>
      <c r="BJ1297" t="s">
        <v>79</v>
      </c>
      <c r="BM1297">
        <v>0</v>
      </c>
      <c r="BN1297">
        <v>1</v>
      </c>
      <c r="BO1297">
        <v>1</v>
      </c>
      <c r="BP1297" t="s">
        <v>80</v>
      </c>
      <c r="BR1297">
        <v>0</v>
      </c>
      <c r="BS1297">
        <v>6</v>
      </c>
      <c r="BU1297">
        <v>411428</v>
      </c>
    </row>
    <row r="1298" spans="1:73" x14ac:dyDescent="0.3">
      <c r="A1298" t="s">
        <v>1077</v>
      </c>
      <c r="B1298">
        <v>0</v>
      </c>
      <c r="C1298">
        <v>0</v>
      </c>
      <c r="D1298">
        <v>2</v>
      </c>
      <c r="E1298">
        <v>320000</v>
      </c>
      <c r="F1298">
        <v>0</v>
      </c>
      <c r="G1298">
        <v>0</v>
      </c>
      <c r="H1298">
        <v>2</v>
      </c>
      <c r="I1298">
        <v>40000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4</v>
      </c>
      <c r="BC1298" s="1">
        <v>640000</v>
      </c>
      <c r="BD1298" t="s">
        <v>94</v>
      </c>
      <c r="BE1298" t="s">
        <v>1078</v>
      </c>
      <c r="BF1298" t="s">
        <v>1079</v>
      </c>
      <c r="BH1298" t="s">
        <v>476</v>
      </c>
      <c r="BI1298" t="s">
        <v>1080</v>
      </c>
      <c r="BJ1298" t="s">
        <v>125</v>
      </c>
      <c r="BM1298">
        <v>0</v>
      </c>
      <c r="BN1298">
        <v>2</v>
      </c>
      <c r="BO1298">
        <v>2</v>
      </c>
      <c r="BP1298" t="s">
        <v>80</v>
      </c>
      <c r="BR1298">
        <v>0</v>
      </c>
      <c r="BS1298">
        <v>6</v>
      </c>
      <c r="BU1298">
        <v>360000</v>
      </c>
    </row>
    <row r="1299" spans="1:73" x14ac:dyDescent="0.3">
      <c r="A1299" t="s">
        <v>1102</v>
      </c>
      <c r="B1299">
        <v>0</v>
      </c>
      <c r="C1299">
        <v>0</v>
      </c>
      <c r="D1299">
        <v>1</v>
      </c>
      <c r="E1299">
        <v>1600000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 s="1">
        <v>1600000</v>
      </c>
      <c r="BD1299" t="s">
        <v>94</v>
      </c>
      <c r="BE1299" t="s">
        <v>1103</v>
      </c>
      <c r="BF1299" t="s">
        <v>1104</v>
      </c>
      <c r="BH1299" t="s">
        <v>97</v>
      </c>
      <c r="BI1299" t="s">
        <v>119</v>
      </c>
      <c r="BJ1299" t="s">
        <v>79</v>
      </c>
      <c r="BM1299">
        <v>0</v>
      </c>
      <c r="BN1299">
        <v>1</v>
      </c>
      <c r="BO1299">
        <v>1</v>
      </c>
      <c r="BP1299" t="s">
        <v>80</v>
      </c>
      <c r="BR1299">
        <v>0</v>
      </c>
      <c r="BS1299">
        <v>6</v>
      </c>
      <c r="BU1299">
        <v>1600000</v>
      </c>
    </row>
    <row r="1300" spans="1:73" x14ac:dyDescent="0.3">
      <c r="A1300" t="s">
        <v>1117</v>
      </c>
      <c r="B1300">
        <v>1</v>
      </c>
      <c r="C1300">
        <v>265918</v>
      </c>
      <c r="D1300">
        <v>1</v>
      </c>
      <c r="E1300">
        <v>163636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2</v>
      </c>
      <c r="BC1300" s="1">
        <v>429554</v>
      </c>
      <c r="BD1300" t="s">
        <v>94</v>
      </c>
      <c r="BE1300" t="s">
        <v>1118</v>
      </c>
      <c r="BF1300" t="s">
        <v>1119</v>
      </c>
      <c r="BH1300" t="s">
        <v>97</v>
      </c>
      <c r="BI1300" t="s">
        <v>160</v>
      </c>
      <c r="BJ1300" t="s">
        <v>79</v>
      </c>
      <c r="BM1300">
        <v>0</v>
      </c>
      <c r="BN1300">
        <v>2</v>
      </c>
      <c r="BO1300">
        <v>2</v>
      </c>
      <c r="BP1300" t="s">
        <v>80</v>
      </c>
      <c r="BR1300">
        <v>0</v>
      </c>
      <c r="BS1300">
        <v>6</v>
      </c>
      <c r="BU1300">
        <v>429554</v>
      </c>
    </row>
    <row r="1301" spans="1:73" x14ac:dyDescent="0.3">
      <c r="A1301" t="s">
        <v>1120</v>
      </c>
      <c r="B1301">
        <v>0</v>
      </c>
      <c r="C1301">
        <v>0</v>
      </c>
      <c r="D1301">
        <v>3</v>
      </c>
      <c r="E1301">
        <v>1040000</v>
      </c>
      <c r="F1301">
        <v>0</v>
      </c>
      <c r="G1301">
        <v>0</v>
      </c>
      <c r="H1301">
        <v>4</v>
      </c>
      <c r="I1301">
        <v>80000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6</v>
      </c>
      <c r="BC1301" s="1">
        <v>2080000</v>
      </c>
      <c r="BD1301" t="s">
        <v>94</v>
      </c>
      <c r="BE1301" t="s">
        <v>1121</v>
      </c>
      <c r="BF1301" t="s">
        <v>1122</v>
      </c>
      <c r="BH1301" t="s">
        <v>476</v>
      </c>
      <c r="BI1301" t="s">
        <v>1037</v>
      </c>
      <c r="BJ1301" t="s">
        <v>125</v>
      </c>
      <c r="BM1301">
        <v>0</v>
      </c>
      <c r="BN1301">
        <v>2</v>
      </c>
      <c r="BO1301">
        <v>2</v>
      </c>
      <c r="BP1301" t="s">
        <v>80</v>
      </c>
      <c r="BR1301">
        <v>0</v>
      </c>
      <c r="BS1301">
        <v>6</v>
      </c>
      <c r="BU1301">
        <v>1120000</v>
      </c>
    </row>
    <row r="1302" spans="1:73" x14ac:dyDescent="0.3">
      <c r="A1302" t="s">
        <v>1126</v>
      </c>
      <c r="B1302">
        <v>0</v>
      </c>
      <c r="C1302">
        <v>0</v>
      </c>
      <c r="D1302">
        <v>10</v>
      </c>
      <c r="E1302">
        <v>5658861</v>
      </c>
      <c r="F1302">
        <v>0</v>
      </c>
      <c r="G1302">
        <v>0</v>
      </c>
      <c r="H1302">
        <v>21</v>
      </c>
      <c r="I1302">
        <v>841722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2</v>
      </c>
      <c r="Z1302">
        <v>406869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29</v>
      </c>
      <c r="BC1302" s="1">
        <v>12231460</v>
      </c>
      <c r="BD1302" t="s">
        <v>94</v>
      </c>
      <c r="BE1302" t="s">
        <v>1127</v>
      </c>
      <c r="BF1302" t="s">
        <v>1128</v>
      </c>
      <c r="BH1302" t="s">
        <v>97</v>
      </c>
      <c r="BI1302" t="s">
        <v>119</v>
      </c>
      <c r="BJ1302" t="s">
        <v>79</v>
      </c>
      <c r="BM1302">
        <v>1</v>
      </c>
      <c r="BN1302">
        <v>2</v>
      </c>
      <c r="BO1302">
        <v>3</v>
      </c>
      <c r="BP1302" t="s">
        <v>80</v>
      </c>
      <c r="BR1302">
        <v>0</v>
      </c>
      <c r="BS1302">
        <v>5</v>
      </c>
      <c r="BU1302">
        <v>6907452</v>
      </c>
    </row>
    <row r="1303" spans="1:73" x14ac:dyDescent="0.3">
      <c r="A1303" t="s">
        <v>1129</v>
      </c>
      <c r="B1303">
        <v>3</v>
      </c>
      <c r="C1303">
        <v>168641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3</v>
      </c>
      <c r="BC1303" s="1">
        <v>168641</v>
      </c>
      <c r="BD1303" t="s">
        <v>94</v>
      </c>
      <c r="BE1303" t="s">
        <v>1130</v>
      </c>
      <c r="BF1303" t="s">
        <v>1131</v>
      </c>
      <c r="BH1303" t="s">
        <v>97</v>
      </c>
      <c r="BI1303" t="s">
        <v>98</v>
      </c>
      <c r="BJ1303" t="s">
        <v>79</v>
      </c>
      <c r="BM1303">
        <v>0</v>
      </c>
      <c r="BN1303">
        <v>1</v>
      </c>
      <c r="BO1303">
        <v>1</v>
      </c>
      <c r="BP1303" t="s">
        <v>80</v>
      </c>
      <c r="BR1303">
        <v>0</v>
      </c>
      <c r="BS1303">
        <v>6</v>
      </c>
      <c r="BU1303">
        <v>168641</v>
      </c>
    </row>
    <row r="1304" spans="1:73" x14ac:dyDescent="0.3">
      <c r="A1304" t="s">
        <v>1137</v>
      </c>
      <c r="B1304">
        <v>4</v>
      </c>
      <c r="C1304">
        <v>285542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4</v>
      </c>
      <c r="BC1304" s="1">
        <v>285542</v>
      </c>
      <c r="BD1304" t="s">
        <v>94</v>
      </c>
      <c r="BE1304" t="s">
        <v>1138</v>
      </c>
      <c r="BF1304" t="s">
        <v>1139</v>
      </c>
      <c r="BM1304">
        <v>0</v>
      </c>
      <c r="BN1304">
        <v>1</v>
      </c>
      <c r="BO1304">
        <v>1</v>
      </c>
      <c r="BP1304" t="s">
        <v>80</v>
      </c>
      <c r="BR1304">
        <v>0</v>
      </c>
      <c r="BS1304">
        <v>6</v>
      </c>
      <c r="BU1304">
        <v>285542</v>
      </c>
    </row>
    <row r="1305" spans="1:73" x14ac:dyDescent="0.3">
      <c r="A1305" t="s">
        <v>1146</v>
      </c>
      <c r="B1305">
        <v>0</v>
      </c>
      <c r="C1305">
        <v>0</v>
      </c>
      <c r="D1305">
        <v>2</v>
      </c>
      <c r="E1305">
        <v>1430000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4</v>
      </c>
      <c r="BC1305" s="1">
        <v>2860000</v>
      </c>
      <c r="BD1305" t="s">
        <v>94</v>
      </c>
      <c r="BE1305" t="s">
        <v>1147</v>
      </c>
      <c r="BF1305" t="s">
        <v>1148</v>
      </c>
      <c r="BH1305" t="s">
        <v>476</v>
      </c>
      <c r="BI1305" t="s">
        <v>477</v>
      </c>
      <c r="BJ1305" t="s">
        <v>125</v>
      </c>
      <c r="BM1305">
        <v>0</v>
      </c>
      <c r="BN1305">
        <v>1</v>
      </c>
      <c r="BO1305">
        <v>1</v>
      </c>
      <c r="BP1305" t="s">
        <v>80</v>
      </c>
      <c r="BR1305">
        <v>0</v>
      </c>
      <c r="BS1305">
        <v>6</v>
      </c>
      <c r="BU1305">
        <v>1430000</v>
      </c>
    </row>
    <row r="1306" spans="1:73" x14ac:dyDescent="0.3">
      <c r="A1306" t="s">
        <v>1167</v>
      </c>
      <c r="B1306">
        <v>0</v>
      </c>
      <c r="C1306">
        <v>0</v>
      </c>
      <c r="D1306">
        <v>1</v>
      </c>
      <c r="E1306">
        <v>432000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 s="1">
        <v>432000</v>
      </c>
      <c r="BD1306" t="s">
        <v>94</v>
      </c>
      <c r="BE1306" t="s">
        <v>1168</v>
      </c>
      <c r="BF1306" t="s">
        <v>297</v>
      </c>
      <c r="BH1306" t="s">
        <v>97</v>
      </c>
      <c r="BI1306" t="s">
        <v>119</v>
      </c>
      <c r="BJ1306" t="s">
        <v>79</v>
      </c>
      <c r="BM1306">
        <v>0</v>
      </c>
      <c r="BN1306">
        <v>1</v>
      </c>
      <c r="BO1306">
        <v>1</v>
      </c>
      <c r="BP1306" t="s">
        <v>80</v>
      </c>
      <c r="BR1306">
        <v>0</v>
      </c>
      <c r="BS1306">
        <v>6</v>
      </c>
      <c r="BU1306">
        <v>432000</v>
      </c>
    </row>
    <row r="1307" spans="1:73" x14ac:dyDescent="0.3">
      <c r="A1307" t="s">
        <v>1169</v>
      </c>
      <c r="B1307">
        <v>2</v>
      </c>
      <c r="C1307">
        <v>2515367</v>
      </c>
      <c r="D1307">
        <v>2</v>
      </c>
      <c r="E1307">
        <v>942337</v>
      </c>
      <c r="F1307">
        <v>0</v>
      </c>
      <c r="G1307">
        <v>0</v>
      </c>
      <c r="H1307">
        <v>30</v>
      </c>
      <c r="I1307">
        <v>605000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37</v>
      </c>
      <c r="BC1307" s="1">
        <v>5165405</v>
      </c>
      <c r="BD1307" t="s">
        <v>94</v>
      </c>
      <c r="BE1307" t="s">
        <v>1170</v>
      </c>
      <c r="BF1307" t="s">
        <v>1171</v>
      </c>
      <c r="BH1307" t="s">
        <v>97</v>
      </c>
      <c r="BI1307" t="s">
        <v>119</v>
      </c>
      <c r="BJ1307" t="s">
        <v>79</v>
      </c>
      <c r="BM1307">
        <v>0</v>
      </c>
      <c r="BN1307">
        <v>3</v>
      </c>
      <c r="BO1307">
        <v>3</v>
      </c>
      <c r="BP1307" t="s">
        <v>80</v>
      </c>
      <c r="BR1307">
        <v>0</v>
      </c>
      <c r="BS1307">
        <v>6</v>
      </c>
      <c r="BU1307">
        <v>4062704</v>
      </c>
    </row>
    <row r="1308" spans="1:73" x14ac:dyDescent="0.3">
      <c r="A1308" t="s">
        <v>1190</v>
      </c>
      <c r="B1308">
        <v>0</v>
      </c>
      <c r="C1308">
        <v>0</v>
      </c>
      <c r="D1308">
        <v>1</v>
      </c>
      <c r="E1308">
        <v>1200000</v>
      </c>
      <c r="F1308">
        <v>0</v>
      </c>
      <c r="G1308">
        <v>0</v>
      </c>
      <c r="H1308">
        <v>2</v>
      </c>
      <c r="I1308">
        <v>41079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3</v>
      </c>
      <c r="BC1308" s="1">
        <v>1241079</v>
      </c>
      <c r="BD1308" t="s">
        <v>94</v>
      </c>
      <c r="BE1308" t="s">
        <v>1191</v>
      </c>
      <c r="BF1308" t="s">
        <v>1192</v>
      </c>
      <c r="BH1308" t="s">
        <v>97</v>
      </c>
      <c r="BI1308" t="s">
        <v>1006</v>
      </c>
      <c r="BJ1308" t="s">
        <v>79</v>
      </c>
      <c r="BM1308">
        <v>0</v>
      </c>
      <c r="BN1308">
        <v>2</v>
      </c>
      <c r="BO1308">
        <v>2</v>
      </c>
      <c r="BP1308" t="s">
        <v>80</v>
      </c>
      <c r="BR1308">
        <v>0</v>
      </c>
      <c r="BS1308">
        <v>6</v>
      </c>
      <c r="BU1308">
        <v>1241079</v>
      </c>
    </row>
    <row r="1309" spans="1:73" x14ac:dyDescent="0.3">
      <c r="A1309" t="s">
        <v>1193</v>
      </c>
      <c r="B1309">
        <v>0</v>
      </c>
      <c r="C1309">
        <v>0</v>
      </c>
      <c r="D1309">
        <v>4</v>
      </c>
      <c r="E1309">
        <v>794700</v>
      </c>
      <c r="F1309">
        <v>0</v>
      </c>
      <c r="G1309">
        <v>0</v>
      </c>
      <c r="H1309">
        <v>6</v>
      </c>
      <c r="I1309">
        <v>189400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8</v>
      </c>
      <c r="BC1309" s="1">
        <v>1589400</v>
      </c>
      <c r="BD1309" t="s">
        <v>94</v>
      </c>
      <c r="BE1309" t="s">
        <v>1194</v>
      </c>
      <c r="BF1309" t="s">
        <v>1195</v>
      </c>
      <c r="BH1309" t="s">
        <v>97</v>
      </c>
      <c r="BI1309" t="s">
        <v>119</v>
      </c>
      <c r="BJ1309" t="s">
        <v>79</v>
      </c>
      <c r="BM1309">
        <v>0</v>
      </c>
      <c r="BN1309">
        <v>2</v>
      </c>
      <c r="BO1309">
        <v>2</v>
      </c>
      <c r="BP1309" t="s">
        <v>80</v>
      </c>
      <c r="BR1309">
        <v>0</v>
      </c>
      <c r="BS1309">
        <v>6</v>
      </c>
      <c r="BU1309">
        <v>984100</v>
      </c>
    </row>
    <row r="1310" spans="1:73" x14ac:dyDescent="0.3">
      <c r="A1310" t="s">
        <v>1196</v>
      </c>
      <c r="B1310">
        <v>1</v>
      </c>
      <c r="C1310">
        <v>496236</v>
      </c>
      <c r="D1310">
        <v>1</v>
      </c>
      <c r="E1310">
        <v>432000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3</v>
      </c>
      <c r="BC1310" s="1">
        <v>1360236</v>
      </c>
      <c r="BD1310" t="s">
        <v>94</v>
      </c>
      <c r="BE1310" t="s">
        <v>1197</v>
      </c>
      <c r="BF1310" t="s">
        <v>1198</v>
      </c>
      <c r="BH1310" t="s">
        <v>97</v>
      </c>
      <c r="BI1310" t="s">
        <v>119</v>
      </c>
      <c r="BJ1310" t="s">
        <v>79</v>
      </c>
      <c r="BM1310">
        <v>0</v>
      </c>
      <c r="BN1310">
        <v>2</v>
      </c>
      <c r="BO1310">
        <v>2</v>
      </c>
      <c r="BP1310" t="s">
        <v>80</v>
      </c>
      <c r="BR1310">
        <v>0</v>
      </c>
      <c r="BS1310">
        <v>6</v>
      </c>
      <c r="BU1310">
        <v>928236</v>
      </c>
    </row>
    <row r="1311" spans="1:73" x14ac:dyDescent="0.3">
      <c r="A1311" t="s">
        <v>1205</v>
      </c>
      <c r="B1311">
        <v>0</v>
      </c>
      <c r="C1311">
        <v>0</v>
      </c>
      <c r="D1311">
        <v>1</v>
      </c>
      <c r="E1311">
        <v>720000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2</v>
      </c>
      <c r="BC1311" s="1">
        <v>1440000</v>
      </c>
      <c r="BD1311" t="s">
        <v>94</v>
      </c>
      <c r="BE1311" t="s">
        <v>1206</v>
      </c>
      <c r="BF1311" t="s">
        <v>1207</v>
      </c>
      <c r="BH1311" t="s">
        <v>97</v>
      </c>
      <c r="BI1311" t="s">
        <v>119</v>
      </c>
      <c r="BJ1311" t="s">
        <v>79</v>
      </c>
      <c r="BM1311">
        <v>0</v>
      </c>
      <c r="BN1311">
        <v>1</v>
      </c>
      <c r="BO1311">
        <v>1</v>
      </c>
      <c r="BP1311" t="s">
        <v>80</v>
      </c>
      <c r="BR1311">
        <v>0</v>
      </c>
      <c r="BS1311">
        <v>6</v>
      </c>
      <c r="BU1311">
        <v>720000</v>
      </c>
    </row>
    <row r="1312" spans="1:73" x14ac:dyDescent="0.3">
      <c r="A1312" t="s">
        <v>1214</v>
      </c>
      <c r="B1312">
        <v>3</v>
      </c>
      <c r="C1312">
        <v>1813636</v>
      </c>
      <c r="D1312">
        <v>23</v>
      </c>
      <c r="E1312">
        <v>19153360</v>
      </c>
      <c r="F1312">
        <v>0</v>
      </c>
      <c r="G1312">
        <v>0</v>
      </c>
      <c r="H1312">
        <v>34</v>
      </c>
      <c r="I1312">
        <v>853084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53</v>
      </c>
      <c r="BC1312" s="1">
        <v>40210356</v>
      </c>
      <c r="BD1312" t="s">
        <v>94</v>
      </c>
      <c r="BE1312" t="s">
        <v>1215</v>
      </c>
      <c r="BF1312" t="s">
        <v>1216</v>
      </c>
      <c r="BH1312" t="s">
        <v>123</v>
      </c>
      <c r="BI1312" t="s">
        <v>288</v>
      </c>
      <c r="BJ1312" t="s">
        <v>125</v>
      </c>
      <c r="BM1312">
        <v>0</v>
      </c>
      <c r="BN1312">
        <v>3</v>
      </c>
      <c r="BO1312">
        <v>3</v>
      </c>
      <c r="BP1312" t="s">
        <v>80</v>
      </c>
      <c r="BR1312">
        <v>0</v>
      </c>
      <c r="BS1312">
        <v>4</v>
      </c>
      <c r="BU1312">
        <v>21820080</v>
      </c>
    </row>
    <row r="1313" spans="1:73" x14ac:dyDescent="0.3">
      <c r="A1313" t="s">
        <v>1217</v>
      </c>
      <c r="B1313">
        <v>10</v>
      </c>
      <c r="C1313">
        <v>3497690</v>
      </c>
      <c r="D1313">
        <v>5</v>
      </c>
      <c r="E1313">
        <v>3292000</v>
      </c>
      <c r="F1313">
        <v>0</v>
      </c>
      <c r="G1313">
        <v>0</v>
      </c>
      <c r="H1313">
        <v>38</v>
      </c>
      <c r="I1313">
        <v>6435460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</v>
      </c>
      <c r="Q1313">
        <v>270000</v>
      </c>
      <c r="R1313">
        <v>0</v>
      </c>
      <c r="S1313">
        <v>646668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74</v>
      </c>
      <c r="BC1313" s="1">
        <v>18408403</v>
      </c>
      <c r="BD1313" t="s">
        <v>94</v>
      </c>
      <c r="BE1313" t="s">
        <v>1218</v>
      </c>
      <c r="BF1313" t="s">
        <v>676</v>
      </c>
      <c r="BH1313" t="s">
        <v>123</v>
      </c>
      <c r="BI1313" t="s">
        <v>288</v>
      </c>
      <c r="BJ1313" t="s">
        <v>125</v>
      </c>
      <c r="BM1313">
        <v>1</v>
      </c>
      <c r="BN1313">
        <v>4</v>
      </c>
      <c r="BO1313">
        <v>5</v>
      </c>
      <c r="BP1313" t="s">
        <v>80</v>
      </c>
      <c r="BR1313">
        <v>0</v>
      </c>
      <c r="BS1313">
        <v>4</v>
      </c>
      <c r="BU1313">
        <v>14141818</v>
      </c>
    </row>
    <row r="1314" spans="1:73" x14ac:dyDescent="0.3">
      <c r="A1314" t="s">
        <v>1222</v>
      </c>
      <c r="B1314">
        <v>4</v>
      </c>
      <c r="C1314">
        <v>1137334</v>
      </c>
      <c r="D1314">
        <v>17</v>
      </c>
      <c r="E1314">
        <v>802362</v>
      </c>
      <c r="F1314">
        <v>0</v>
      </c>
      <c r="G1314">
        <v>0</v>
      </c>
      <c r="H1314">
        <v>34</v>
      </c>
      <c r="I1314">
        <v>1604724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333334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576974</v>
      </c>
      <c r="AY1314">
        <v>0</v>
      </c>
      <c r="AZ1314">
        <v>0</v>
      </c>
      <c r="BA1314">
        <v>0</v>
      </c>
      <c r="BB1314">
        <v>42</v>
      </c>
      <c r="BC1314" s="1">
        <v>4562674</v>
      </c>
      <c r="BD1314" t="s">
        <v>94</v>
      </c>
      <c r="BE1314" t="s">
        <v>1223</v>
      </c>
      <c r="BF1314" t="s">
        <v>1224</v>
      </c>
      <c r="BH1314" t="s">
        <v>97</v>
      </c>
      <c r="BI1314" t="s">
        <v>119</v>
      </c>
      <c r="BJ1314" t="s">
        <v>79</v>
      </c>
      <c r="BM1314">
        <v>1</v>
      </c>
      <c r="BN1314">
        <v>3</v>
      </c>
      <c r="BO1314">
        <v>4</v>
      </c>
      <c r="BP1314" t="s">
        <v>80</v>
      </c>
      <c r="BR1314">
        <v>0</v>
      </c>
      <c r="BS1314">
        <v>6</v>
      </c>
      <c r="BU1314">
        <v>4454728</v>
      </c>
    </row>
    <row r="1315" spans="1:73" x14ac:dyDescent="0.3">
      <c r="A1315" t="s">
        <v>1225</v>
      </c>
      <c r="B1315">
        <v>0</v>
      </c>
      <c r="C1315">
        <v>0</v>
      </c>
      <c r="D1315">
        <v>8</v>
      </c>
      <c r="E1315">
        <v>351653</v>
      </c>
      <c r="F1315">
        <v>0</v>
      </c>
      <c r="G1315">
        <v>0</v>
      </c>
      <c r="H1315">
        <v>14</v>
      </c>
      <c r="I1315">
        <v>321488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16</v>
      </c>
      <c r="BC1315" s="1">
        <v>703306</v>
      </c>
      <c r="BD1315" t="s">
        <v>94</v>
      </c>
      <c r="BE1315" t="s">
        <v>1226</v>
      </c>
      <c r="BF1315" t="s">
        <v>1227</v>
      </c>
      <c r="BH1315" t="s">
        <v>97</v>
      </c>
      <c r="BI1315" t="s">
        <v>119</v>
      </c>
      <c r="BJ1315" t="s">
        <v>79</v>
      </c>
      <c r="BM1315">
        <v>0</v>
      </c>
      <c r="BN1315">
        <v>2</v>
      </c>
      <c r="BO1315">
        <v>2</v>
      </c>
      <c r="BP1315" t="s">
        <v>80</v>
      </c>
      <c r="BR1315">
        <v>0</v>
      </c>
      <c r="BS1315">
        <v>6</v>
      </c>
      <c r="BU1315">
        <v>673141</v>
      </c>
    </row>
    <row r="1316" spans="1:73" x14ac:dyDescent="0.3">
      <c r="A1316" t="s">
        <v>1228</v>
      </c>
      <c r="B1316">
        <v>102</v>
      </c>
      <c r="C1316">
        <v>19753987</v>
      </c>
      <c r="D1316">
        <v>23</v>
      </c>
      <c r="E1316">
        <v>5893690</v>
      </c>
      <c r="F1316">
        <v>1</v>
      </c>
      <c r="G1316">
        <v>7590000</v>
      </c>
      <c r="H1316">
        <v>38</v>
      </c>
      <c r="I1316">
        <v>5584762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</v>
      </c>
      <c r="Z1316">
        <v>147070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153</v>
      </c>
      <c r="BC1316" s="1">
        <v>45958642</v>
      </c>
      <c r="BD1316" t="s">
        <v>94</v>
      </c>
      <c r="BE1316" t="s">
        <v>1229</v>
      </c>
      <c r="BF1316" t="s">
        <v>1230</v>
      </c>
      <c r="BH1316" t="s">
        <v>123</v>
      </c>
      <c r="BI1316" t="s">
        <v>124</v>
      </c>
      <c r="BJ1316" t="s">
        <v>125</v>
      </c>
      <c r="BM1316">
        <v>1</v>
      </c>
      <c r="BN1316">
        <v>4</v>
      </c>
      <c r="BO1316">
        <v>5</v>
      </c>
      <c r="BP1316" t="s">
        <v>80</v>
      </c>
      <c r="BR1316">
        <v>0</v>
      </c>
      <c r="BS1316">
        <v>3</v>
      </c>
      <c r="BU1316">
        <v>38969509</v>
      </c>
    </row>
    <row r="1317" spans="1:73" x14ac:dyDescent="0.3">
      <c r="A1317" t="s">
        <v>1243</v>
      </c>
      <c r="B1317">
        <v>3</v>
      </c>
      <c r="C1317">
        <v>1012498</v>
      </c>
      <c r="D1317">
        <v>3</v>
      </c>
      <c r="E1317">
        <v>260909</v>
      </c>
      <c r="F1317">
        <v>0</v>
      </c>
      <c r="G1317">
        <v>0</v>
      </c>
      <c r="H1317">
        <v>17</v>
      </c>
      <c r="I1317">
        <v>551739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23</v>
      </c>
      <c r="BC1317" s="1">
        <v>1825146</v>
      </c>
      <c r="BD1317" t="s">
        <v>94</v>
      </c>
      <c r="BE1317" t="s">
        <v>1244</v>
      </c>
      <c r="BF1317" t="s">
        <v>1245</v>
      </c>
      <c r="BH1317" t="s">
        <v>97</v>
      </c>
      <c r="BI1317" t="s">
        <v>119</v>
      </c>
      <c r="BJ1317" t="s">
        <v>79</v>
      </c>
      <c r="BM1317">
        <v>0</v>
      </c>
      <c r="BN1317">
        <v>3</v>
      </c>
      <c r="BO1317">
        <v>3</v>
      </c>
      <c r="BP1317" t="s">
        <v>80</v>
      </c>
      <c r="BR1317">
        <v>0</v>
      </c>
      <c r="BS1317">
        <v>6</v>
      </c>
      <c r="BU1317">
        <v>1825146</v>
      </c>
    </row>
    <row r="1318" spans="1:73" x14ac:dyDescent="0.3">
      <c r="A1318" t="s">
        <v>1246</v>
      </c>
      <c r="B1318">
        <v>0</v>
      </c>
      <c r="C1318">
        <v>0</v>
      </c>
      <c r="D1318">
        <v>1</v>
      </c>
      <c r="E1318">
        <v>134400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</v>
      </c>
      <c r="BC1318" s="1">
        <v>134400</v>
      </c>
      <c r="BD1318" t="s">
        <v>94</v>
      </c>
      <c r="BE1318" t="s">
        <v>1247</v>
      </c>
      <c r="BF1318" t="s">
        <v>1248</v>
      </c>
      <c r="BH1318" t="s">
        <v>97</v>
      </c>
      <c r="BI1318" t="s">
        <v>242</v>
      </c>
      <c r="BJ1318" t="s">
        <v>79</v>
      </c>
      <c r="BM1318">
        <v>0</v>
      </c>
      <c r="BN1318">
        <v>1</v>
      </c>
      <c r="BO1318">
        <v>1</v>
      </c>
      <c r="BP1318" t="s">
        <v>80</v>
      </c>
      <c r="BR1318">
        <v>0</v>
      </c>
      <c r="BS1318">
        <v>6</v>
      </c>
      <c r="BU1318">
        <v>134400</v>
      </c>
    </row>
    <row r="1319" spans="1:73" x14ac:dyDescent="0.3">
      <c r="A1319" t="s">
        <v>1249</v>
      </c>
      <c r="B1319">
        <v>0</v>
      </c>
      <c r="C1319">
        <v>0</v>
      </c>
      <c r="D1319">
        <v>1</v>
      </c>
      <c r="E1319">
        <v>230400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 s="1">
        <v>230400</v>
      </c>
      <c r="BD1319" t="s">
        <v>94</v>
      </c>
      <c r="BE1319" t="s">
        <v>1250</v>
      </c>
      <c r="BF1319" t="s">
        <v>1251</v>
      </c>
      <c r="BH1319" t="s">
        <v>97</v>
      </c>
      <c r="BI1319" t="s">
        <v>119</v>
      </c>
      <c r="BJ1319" t="s">
        <v>79</v>
      </c>
      <c r="BM1319">
        <v>0</v>
      </c>
      <c r="BN1319">
        <v>1</v>
      </c>
      <c r="BO1319">
        <v>1</v>
      </c>
      <c r="BP1319" t="s">
        <v>80</v>
      </c>
      <c r="BR1319">
        <v>0</v>
      </c>
      <c r="BS1319">
        <v>6</v>
      </c>
      <c r="BU1319">
        <v>230400</v>
      </c>
    </row>
    <row r="1320" spans="1:73" x14ac:dyDescent="0.3">
      <c r="A1320" t="s">
        <v>1252</v>
      </c>
      <c r="B1320">
        <v>0</v>
      </c>
      <c r="C1320">
        <v>0</v>
      </c>
      <c r="D1320">
        <v>1</v>
      </c>
      <c r="E1320">
        <v>429091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3</v>
      </c>
      <c r="BC1320" s="1">
        <v>1183896</v>
      </c>
      <c r="BD1320" t="s">
        <v>94</v>
      </c>
      <c r="BE1320" t="s">
        <v>1253</v>
      </c>
      <c r="BF1320" t="s">
        <v>1254</v>
      </c>
      <c r="BH1320" t="s">
        <v>97</v>
      </c>
      <c r="BI1320" t="s">
        <v>98</v>
      </c>
      <c r="BJ1320" t="s">
        <v>79</v>
      </c>
      <c r="BM1320">
        <v>0</v>
      </c>
      <c r="BN1320">
        <v>1</v>
      </c>
      <c r="BO1320">
        <v>1</v>
      </c>
      <c r="BP1320" t="s">
        <v>80</v>
      </c>
      <c r="BR1320">
        <v>0</v>
      </c>
      <c r="BS1320">
        <v>6</v>
      </c>
      <c r="BU1320">
        <v>429091</v>
      </c>
    </row>
    <row r="1321" spans="1:73" x14ac:dyDescent="0.3">
      <c r="A1321" t="s">
        <v>1261</v>
      </c>
      <c r="B1321">
        <v>0</v>
      </c>
      <c r="C1321">
        <v>0</v>
      </c>
      <c r="D1321">
        <v>1</v>
      </c>
      <c r="E1321">
        <v>261818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 s="1">
        <v>261818</v>
      </c>
      <c r="BD1321" t="s">
        <v>94</v>
      </c>
      <c r="BE1321" t="s">
        <v>1262</v>
      </c>
      <c r="BF1321" t="s">
        <v>1263</v>
      </c>
      <c r="BH1321" t="s">
        <v>97</v>
      </c>
      <c r="BI1321" t="s">
        <v>98</v>
      </c>
      <c r="BJ1321" t="s">
        <v>79</v>
      </c>
      <c r="BM1321">
        <v>0</v>
      </c>
      <c r="BN1321">
        <v>1</v>
      </c>
      <c r="BO1321">
        <v>1</v>
      </c>
      <c r="BP1321" t="s">
        <v>80</v>
      </c>
      <c r="BR1321">
        <v>0</v>
      </c>
      <c r="BS1321">
        <v>6</v>
      </c>
      <c r="BU1321">
        <v>261818</v>
      </c>
    </row>
    <row r="1322" spans="1:73" x14ac:dyDescent="0.3">
      <c r="A1322" t="s">
        <v>1267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78585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 s="1">
        <v>78585</v>
      </c>
      <c r="BD1322" t="s">
        <v>94</v>
      </c>
      <c r="BE1322" t="s">
        <v>1268</v>
      </c>
      <c r="BF1322" t="s">
        <v>1269</v>
      </c>
      <c r="BM1322">
        <v>1</v>
      </c>
      <c r="BN1322">
        <v>0</v>
      </c>
      <c r="BO1322">
        <v>1</v>
      </c>
      <c r="BP1322" t="s">
        <v>80</v>
      </c>
      <c r="BR1322">
        <v>0</v>
      </c>
      <c r="BS1322">
        <v>0</v>
      </c>
      <c r="BU1322">
        <v>78585</v>
      </c>
    </row>
    <row r="1323" spans="1:73" x14ac:dyDescent="0.3">
      <c r="A1323" t="s">
        <v>1270</v>
      </c>
      <c r="B1323">
        <v>1</v>
      </c>
      <c r="C1323">
        <v>44545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 s="1">
        <v>44545</v>
      </c>
      <c r="BD1323" t="s">
        <v>94</v>
      </c>
      <c r="BE1323" t="s">
        <v>95</v>
      </c>
      <c r="BF1323" t="s">
        <v>96</v>
      </c>
      <c r="BM1323">
        <v>0</v>
      </c>
      <c r="BN1323">
        <v>1</v>
      </c>
      <c r="BO1323">
        <v>1</v>
      </c>
      <c r="BP1323" t="s">
        <v>80</v>
      </c>
      <c r="BR1323">
        <v>0</v>
      </c>
      <c r="BS1323">
        <v>0</v>
      </c>
      <c r="BU1323">
        <v>44545</v>
      </c>
    </row>
    <row r="1324" spans="1:73" x14ac:dyDescent="0.3">
      <c r="A1324" t="s">
        <v>1282</v>
      </c>
      <c r="B1324">
        <v>3</v>
      </c>
      <c r="C1324">
        <v>946344</v>
      </c>
      <c r="D1324">
        <v>8</v>
      </c>
      <c r="E1324">
        <v>1114716</v>
      </c>
      <c r="F1324">
        <v>0</v>
      </c>
      <c r="G1324">
        <v>0</v>
      </c>
      <c r="H1324">
        <v>8</v>
      </c>
      <c r="I1324">
        <v>179105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15</v>
      </c>
      <c r="BC1324" s="1">
        <v>2512949</v>
      </c>
      <c r="BD1324" t="s">
        <v>94</v>
      </c>
      <c r="BE1324" t="s">
        <v>1283</v>
      </c>
      <c r="BF1324" t="s">
        <v>1284</v>
      </c>
      <c r="BH1324" t="s">
        <v>123</v>
      </c>
      <c r="BI1324" t="s">
        <v>325</v>
      </c>
      <c r="BJ1324" t="s">
        <v>125</v>
      </c>
      <c r="BM1324">
        <v>0</v>
      </c>
      <c r="BN1324">
        <v>3</v>
      </c>
      <c r="BO1324">
        <v>3</v>
      </c>
      <c r="BP1324" t="s">
        <v>80</v>
      </c>
      <c r="BR1324">
        <v>0</v>
      </c>
      <c r="BS1324">
        <v>6</v>
      </c>
      <c r="BU1324">
        <v>2240165</v>
      </c>
    </row>
    <row r="1325" spans="1:73" x14ac:dyDescent="0.3">
      <c r="A1325" t="s">
        <v>1308</v>
      </c>
      <c r="B1325">
        <v>1</v>
      </c>
      <c r="C1325">
        <v>176363</v>
      </c>
      <c r="D1325">
        <v>4</v>
      </c>
      <c r="E1325">
        <v>554000</v>
      </c>
      <c r="F1325">
        <v>0</v>
      </c>
      <c r="G1325">
        <v>0</v>
      </c>
      <c r="H1325">
        <v>9</v>
      </c>
      <c r="I1325">
        <v>190000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14</v>
      </c>
      <c r="BC1325" s="1">
        <v>920363</v>
      </c>
      <c r="BD1325" t="s">
        <v>94</v>
      </c>
      <c r="BE1325" t="s">
        <v>1309</v>
      </c>
      <c r="BF1325" t="s">
        <v>1310</v>
      </c>
      <c r="BH1325" t="s">
        <v>97</v>
      </c>
      <c r="BI1325" t="s">
        <v>208</v>
      </c>
      <c r="BJ1325" t="s">
        <v>79</v>
      </c>
      <c r="BM1325">
        <v>0</v>
      </c>
      <c r="BN1325">
        <v>3</v>
      </c>
      <c r="BO1325">
        <v>3</v>
      </c>
      <c r="BP1325" t="s">
        <v>514</v>
      </c>
      <c r="BR1325">
        <v>0</v>
      </c>
      <c r="BS1325">
        <v>6</v>
      </c>
      <c r="BU1325">
        <v>920363</v>
      </c>
    </row>
    <row r="1326" spans="1:73" x14ac:dyDescent="0.3">
      <c r="A1326" t="s">
        <v>1314</v>
      </c>
      <c r="B1326">
        <v>2</v>
      </c>
      <c r="C1326">
        <v>1703274</v>
      </c>
      <c r="D1326">
        <v>8</v>
      </c>
      <c r="E1326">
        <v>341000</v>
      </c>
      <c r="F1326">
        <v>0</v>
      </c>
      <c r="G1326">
        <v>0</v>
      </c>
      <c r="H1326">
        <v>14</v>
      </c>
      <c r="I1326">
        <v>340182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18</v>
      </c>
      <c r="BC1326" s="1">
        <v>2385274</v>
      </c>
      <c r="BD1326" t="s">
        <v>94</v>
      </c>
      <c r="BE1326" t="s">
        <v>1315</v>
      </c>
      <c r="BF1326" t="s">
        <v>1316</v>
      </c>
      <c r="BH1326" t="s">
        <v>123</v>
      </c>
      <c r="BI1326" t="s">
        <v>325</v>
      </c>
      <c r="BJ1326" t="s">
        <v>125</v>
      </c>
      <c r="BM1326">
        <v>0</v>
      </c>
      <c r="BN1326">
        <v>3</v>
      </c>
      <c r="BO1326">
        <v>3</v>
      </c>
      <c r="BP1326" t="s">
        <v>80</v>
      </c>
      <c r="BR1326">
        <v>0</v>
      </c>
      <c r="BS1326">
        <v>6</v>
      </c>
      <c r="BU1326">
        <v>2384456</v>
      </c>
    </row>
    <row r="1327" spans="1:73" x14ac:dyDescent="0.3">
      <c r="A1327" t="s">
        <v>1317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20000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 s="1">
        <v>20000</v>
      </c>
      <c r="BD1327" t="s">
        <v>94</v>
      </c>
      <c r="BE1327" t="s">
        <v>1318</v>
      </c>
      <c r="BF1327" t="s">
        <v>1319</v>
      </c>
      <c r="BH1327" t="s">
        <v>97</v>
      </c>
      <c r="BI1327" t="s">
        <v>559</v>
      </c>
      <c r="BJ1327" t="s">
        <v>79</v>
      </c>
      <c r="BM1327">
        <v>0</v>
      </c>
      <c r="BN1327">
        <v>1</v>
      </c>
      <c r="BO1327">
        <v>1</v>
      </c>
      <c r="BP1327" t="s">
        <v>80</v>
      </c>
      <c r="BR1327">
        <v>0</v>
      </c>
      <c r="BS1327">
        <v>6</v>
      </c>
      <c r="BU1327">
        <v>20000</v>
      </c>
    </row>
    <row r="1328" spans="1:73" x14ac:dyDescent="0.3">
      <c r="A1328" t="s">
        <v>1323</v>
      </c>
      <c r="B1328">
        <v>2</v>
      </c>
      <c r="C1328">
        <v>1458406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2</v>
      </c>
      <c r="BC1328" s="1">
        <v>1458406</v>
      </c>
      <c r="BD1328" t="s">
        <v>94</v>
      </c>
      <c r="BE1328" t="s">
        <v>1324</v>
      </c>
      <c r="BF1328" t="s">
        <v>1325</v>
      </c>
      <c r="BH1328" t="s">
        <v>97</v>
      </c>
      <c r="BI1328" t="s">
        <v>98</v>
      </c>
      <c r="BJ1328" t="s">
        <v>79</v>
      </c>
      <c r="BM1328">
        <v>0</v>
      </c>
      <c r="BN1328">
        <v>1</v>
      </c>
      <c r="BO1328">
        <v>1</v>
      </c>
      <c r="BP1328" t="s">
        <v>80</v>
      </c>
      <c r="BR1328">
        <v>0</v>
      </c>
      <c r="BS1328">
        <v>6</v>
      </c>
      <c r="BU1328">
        <v>1458406</v>
      </c>
    </row>
    <row r="1329" spans="1:73" x14ac:dyDescent="0.3">
      <c r="A1329" t="s">
        <v>1326</v>
      </c>
      <c r="B1329">
        <v>0</v>
      </c>
      <c r="C1329">
        <v>0</v>
      </c>
      <c r="D1329">
        <v>1</v>
      </c>
      <c r="E1329">
        <v>167091</v>
      </c>
      <c r="F1329">
        <v>0</v>
      </c>
      <c r="G1329">
        <v>0</v>
      </c>
      <c r="H1329">
        <v>6</v>
      </c>
      <c r="I1329">
        <v>120000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42000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8</v>
      </c>
      <c r="BC1329" s="1">
        <v>329091</v>
      </c>
      <c r="BD1329" t="s">
        <v>94</v>
      </c>
      <c r="BE1329" t="s">
        <v>1327</v>
      </c>
      <c r="BF1329" t="s">
        <v>1328</v>
      </c>
      <c r="BH1329" t="s">
        <v>97</v>
      </c>
      <c r="BI1329" t="s">
        <v>559</v>
      </c>
      <c r="BJ1329" t="s">
        <v>79</v>
      </c>
      <c r="BM1329">
        <v>0</v>
      </c>
      <c r="BN1329">
        <v>3</v>
      </c>
      <c r="BO1329">
        <v>3</v>
      </c>
      <c r="BP1329" t="s">
        <v>514</v>
      </c>
      <c r="BR1329">
        <v>0</v>
      </c>
      <c r="BS1329">
        <v>6</v>
      </c>
      <c r="BU1329">
        <v>329091</v>
      </c>
    </row>
    <row r="1330" spans="1:73" x14ac:dyDescent="0.3">
      <c r="A1330" t="s">
        <v>1343</v>
      </c>
      <c r="B1330">
        <v>0</v>
      </c>
      <c r="C1330">
        <v>0</v>
      </c>
      <c r="D1330">
        <v>1</v>
      </c>
      <c r="E1330">
        <v>163636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 s="1">
        <v>163636</v>
      </c>
      <c r="BD1330" t="s">
        <v>94</v>
      </c>
      <c r="BE1330" t="s">
        <v>1344</v>
      </c>
      <c r="BF1330" t="s">
        <v>1345</v>
      </c>
      <c r="BH1330" t="s">
        <v>97</v>
      </c>
      <c r="BI1330" t="s">
        <v>208</v>
      </c>
      <c r="BJ1330" t="s">
        <v>79</v>
      </c>
      <c r="BM1330">
        <v>0</v>
      </c>
      <c r="BN1330">
        <v>1</v>
      </c>
      <c r="BO1330">
        <v>1</v>
      </c>
      <c r="BP1330" t="s">
        <v>80</v>
      </c>
      <c r="BR1330">
        <v>0</v>
      </c>
      <c r="BS1330">
        <v>6</v>
      </c>
      <c r="BU1330">
        <v>163636</v>
      </c>
    </row>
    <row r="1331" spans="1:73" x14ac:dyDescent="0.3">
      <c r="A1331" t="s">
        <v>1347</v>
      </c>
      <c r="B1331">
        <v>0</v>
      </c>
      <c r="C1331">
        <v>0</v>
      </c>
      <c r="D1331">
        <v>1</v>
      </c>
      <c r="E1331">
        <v>172727</v>
      </c>
      <c r="F1331">
        <v>0</v>
      </c>
      <c r="G1331">
        <v>0</v>
      </c>
      <c r="H1331">
        <v>3</v>
      </c>
      <c r="I1331">
        <v>60000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4</v>
      </c>
      <c r="BC1331" s="1">
        <v>232727</v>
      </c>
      <c r="BD1331" t="s">
        <v>94</v>
      </c>
      <c r="BE1331" t="s">
        <v>1348</v>
      </c>
      <c r="BF1331" t="s">
        <v>1349</v>
      </c>
      <c r="BH1331" t="s">
        <v>1350</v>
      </c>
      <c r="BI1331" t="s">
        <v>1351</v>
      </c>
      <c r="BJ1331" t="s">
        <v>79</v>
      </c>
      <c r="BM1331">
        <v>0</v>
      </c>
      <c r="BN1331">
        <v>2</v>
      </c>
      <c r="BO1331">
        <v>2</v>
      </c>
      <c r="BP1331" t="s">
        <v>514</v>
      </c>
      <c r="BR1331">
        <v>0</v>
      </c>
      <c r="BS1331">
        <v>6</v>
      </c>
      <c r="BU1331">
        <v>232727</v>
      </c>
    </row>
    <row r="1332" spans="1:73" x14ac:dyDescent="0.3">
      <c r="A1332" t="s">
        <v>1355</v>
      </c>
      <c r="B1332">
        <v>0</v>
      </c>
      <c r="C1332">
        <v>0</v>
      </c>
      <c r="D1332">
        <v>2</v>
      </c>
      <c r="E1332">
        <v>254000</v>
      </c>
      <c r="F1332">
        <v>0</v>
      </c>
      <c r="G1332">
        <v>0</v>
      </c>
      <c r="H1332">
        <v>14</v>
      </c>
      <c r="I1332">
        <v>312818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16</v>
      </c>
      <c r="BC1332" s="1">
        <v>566818</v>
      </c>
      <c r="BD1332" t="s">
        <v>94</v>
      </c>
      <c r="BE1332" t="s">
        <v>1356</v>
      </c>
      <c r="BF1332" t="s">
        <v>1357</v>
      </c>
      <c r="BH1332" t="s">
        <v>97</v>
      </c>
      <c r="BI1332" t="s">
        <v>208</v>
      </c>
      <c r="BJ1332" t="s">
        <v>79</v>
      </c>
      <c r="BM1332">
        <v>0</v>
      </c>
      <c r="BN1332">
        <v>2</v>
      </c>
      <c r="BO1332">
        <v>2</v>
      </c>
      <c r="BP1332" t="s">
        <v>514</v>
      </c>
      <c r="BR1332">
        <v>0</v>
      </c>
      <c r="BS1332">
        <v>6</v>
      </c>
      <c r="BU1332">
        <v>566818</v>
      </c>
    </row>
    <row r="1333" spans="1:73" x14ac:dyDescent="0.3">
      <c r="A1333" t="s">
        <v>1358</v>
      </c>
      <c r="B1333">
        <v>0</v>
      </c>
      <c r="C1333">
        <v>0</v>
      </c>
      <c r="D1333">
        <v>2</v>
      </c>
      <c r="E1333">
        <v>267091</v>
      </c>
      <c r="F1333">
        <v>0</v>
      </c>
      <c r="G1333">
        <v>0</v>
      </c>
      <c r="H1333">
        <v>2</v>
      </c>
      <c r="I1333">
        <v>40000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80000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6</v>
      </c>
      <c r="BC1333" s="1">
        <v>387091</v>
      </c>
      <c r="BD1333" t="s">
        <v>94</v>
      </c>
      <c r="BE1333" t="s">
        <v>1359</v>
      </c>
      <c r="BF1333" t="s">
        <v>1360</v>
      </c>
      <c r="BH1333" t="s">
        <v>97</v>
      </c>
      <c r="BI1333" t="s">
        <v>160</v>
      </c>
      <c r="BJ1333" t="s">
        <v>79</v>
      </c>
      <c r="BM1333">
        <v>0</v>
      </c>
      <c r="BN1333">
        <v>3</v>
      </c>
      <c r="BO1333">
        <v>3</v>
      </c>
      <c r="BP1333" t="s">
        <v>514</v>
      </c>
      <c r="BR1333">
        <v>0</v>
      </c>
      <c r="BS1333">
        <v>6</v>
      </c>
      <c r="BU1333">
        <v>387091</v>
      </c>
    </row>
    <row r="1334" spans="1:73" x14ac:dyDescent="0.3">
      <c r="A1334" t="s">
        <v>1361</v>
      </c>
      <c r="B1334">
        <v>1</v>
      </c>
      <c r="C1334">
        <v>234914</v>
      </c>
      <c r="D1334">
        <v>1</v>
      </c>
      <c r="E1334">
        <v>540000</v>
      </c>
      <c r="F1334">
        <v>0</v>
      </c>
      <c r="G1334">
        <v>0</v>
      </c>
      <c r="H1334">
        <v>8</v>
      </c>
      <c r="I1334">
        <v>195806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11</v>
      </c>
      <c r="BC1334" s="1">
        <v>1198220</v>
      </c>
      <c r="BD1334" t="s">
        <v>94</v>
      </c>
      <c r="BE1334" t="s">
        <v>1362</v>
      </c>
      <c r="BF1334" t="s">
        <v>1363</v>
      </c>
      <c r="BH1334" t="s">
        <v>97</v>
      </c>
      <c r="BI1334" t="s">
        <v>242</v>
      </c>
      <c r="BJ1334" t="s">
        <v>79</v>
      </c>
      <c r="BM1334">
        <v>0</v>
      </c>
      <c r="BN1334">
        <v>3</v>
      </c>
      <c r="BO1334">
        <v>3</v>
      </c>
      <c r="BP1334" t="s">
        <v>514</v>
      </c>
      <c r="BR1334">
        <v>0</v>
      </c>
      <c r="BS1334">
        <v>6</v>
      </c>
      <c r="BU1334">
        <v>970720</v>
      </c>
    </row>
    <row r="1335" spans="1:73" x14ac:dyDescent="0.3">
      <c r="A1335" t="s">
        <v>1364</v>
      </c>
      <c r="B1335">
        <v>0</v>
      </c>
      <c r="C1335">
        <v>0</v>
      </c>
      <c r="D1335">
        <v>10</v>
      </c>
      <c r="E1335">
        <v>1971273</v>
      </c>
      <c r="F1335">
        <v>0</v>
      </c>
      <c r="G1335">
        <v>0</v>
      </c>
      <c r="H1335">
        <v>6</v>
      </c>
      <c r="I1335">
        <v>125000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23</v>
      </c>
      <c r="BC1335" s="1">
        <v>3693727</v>
      </c>
      <c r="BD1335" t="s">
        <v>94</v>
      </c>
      <c r="BE1335" t="s">
        <v>1365</v>
      </c>
      <c r="BF1335" t="s">
        <v>1366</v>
      </c>
      <c r="BH1335" t="s">
        <v>97</v>
      </c>
      <c r="BI1335" t="s">
        <v>894</v>
      </c>
      <c r="BJ1335" t="s">
        <v>79</v>
      </c>
      <c r="BM1335">
        <v>0</v>
      </c>
      <c r="BN1335">
        <v>2</v>
      </c>
      <c r="BO1335">
        <v>2</v>
      </c>
      <c r="BP1335" t="s">
        <v>514</v>
      </c>
      <c r="BR1335">
        <v>0</v>
      </c>
      <c r="BS1335">
        <v>6</v>
      </c>
      <c r="BU1335">
        <v>2096273</v>
      </c>
    </row>
    <row r="1336" spans="1:73" x14ac:dyDescent="0.3">
      <c r="A1336" t="s">
        <v>1370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78585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 s="1">
        <v>78585</v>
      </c>
      <c r="BD1336" t="s">
        <v>94</v>
      </c>
      <c r="BE1336" t="s">
        <v>1371</v>
      </c>
      <c r="BF1336" t="s">
        <v>1372</v>
      </c>
      <c r="BH1336" t="s">
        <v>97</v>
      </c>
      <c r="BI1336" t="s">
        <v>242</v>
      </c>
      <c r="BJ1336" t="s">
        <v>79</v>
      </c>
      <c r="BM1336">
        <v>1</v>
      </c>
      <c r="BN1336">
        <v>0</v>
      </c>
      <c r="BO1336">
        <v>1</v>
      </c>
      <c r="BP1336" t="s">
        <v>80</v>
      </c>
      <c r="BR1336">
        <v>0</v>
      </c>
      <c r="BS1336">
        <v>0</v>
      </c>
      <c r="BU1336">
        <v>78585</v>
      </c>
    </row>
    <row r="1337" spans="1:73" x14ac:dyDescent="0.3">
      <c r="A1337" t="s">
        <v>1381</v>
      </c>
      <c r="B1337">
        <v>0</v>
      </c>
      <c r="C1337">
        <v>0</v>
      </c>
      <c r="D1337">
        <v>1</v>
      </c>
      <c r="E1337">
        <v>168000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 s="1">
        <v>168000</v>
      </c>
      <c r="BD1337" t="s">
        <v>94</v>
      </c>
      <c r="BE1337" t="s">
        <v>1382</v>
      </c>
      <c r="BF1337" t="s">
        <v>1383</v>
      </c>
      <c r="BH1337" t="s">
        <v>97</v>
      </c>
      <c r="BI1337" t="s">
        <v>119</v>
      </c>
      <c r="BJ1337" t="s">
        <v>79</v>
      </c>
      <c r="BM1337">
        <v>0</v>
      </c>
      <c r="BN1337">
        <v>1</v>
      </c>
      <c r="BO1337">
        <v>1</v>
      </c>
      <c r="BP1337" t="s">
        <v>80</v>
      </c>
      <c r="BR1337">
        <v>0</v>
      </c>
      <c r="BS1337">
        <v>6</v>
      </c>
      <c r="BU1337">
        <v>168000</v>
      </c>
    </row>
    <row r="1338" spans="1:73" x14ac:dyDescent="0.3">
      <c r="A1338" t="s">
        <v>1387</v>
      </c>
      <c r="B1338">
        <v>0</v>
      </c>
      <c r="C1338">
        <v>0</v>
      </c>
      <c r="D1338">
        <v>3</v>
      </c>
      <c r="E1338">
        <v>903530</v>
      </c>
      <c r="F1338">
        <v>0</v>
      </c>
      <c r="G1338">
        <v>0</v>
      </c>
      <c r="H1338">
        <v>4</v>
      </c>
      <c r="I1338">
        <v>127060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19792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7</v>
      </c>
      <c r="BC1338" s="1">
        <v>1826852</v>
      </c>
      <c r="BD1338" t="s">
        <v>94</v>
      </c>
      <c r="BE1338" t="s">
        <v>1388</v>
      </c>
      <c r="BF1338" t="s">
        <v>1389</v>
      </c>
      <c r="BH1338" t="s">
        <v>97</v>
      </c>
      <c r="BI1338" t="s">
        <v>119</v>
      </c>
      <c r="BJ1338" t="s">
        <v>79</v>
      </c>
      <c r="BM1338">
        <v>1</v>
      </c>
      <c r="BN1338">
        <v>2</v>
      </c>
      <c r="BO1338">
        <v>3</v>
      </c>
      <c r="BP1338" t="s">
        <v>80</v>
      </c>
      <c r="BR1338">
        <v>0</v>
      </c>
      <c r="BS1338">
        <v>6</v>
      </c>
      <c r="BU1338">
        <v>1050382</v>
      </c>
    </row>
    <row r="1339" spans="1:73" x14ac:dyDescent="0.3">
      <c r="A1339" t="s">
        <v>1390</v>
      </c>
      <c r="B1339">
        <v>0</v>
      </c>
      <c r="C1339">
        <v>0</v>
      </c>
      <c r="D1339">
        <v>3</v>
      </c>
      <c r="E1339">
        <v>502971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5</v>
      </c>
      <c r="BC1339" s="1">
        <v>877371</v>
      </c>
      <c r="BD1339" t="s">
        <v>94</v>
      </c>
      <c r="BE1339" t="s">
        <v>1391</v>
      </c>
      <c r="BF1339" t="s">
        <v>342</v>
      </c>
      <c r="BH1339" t="s">
        <v>476</v>
      </c>
      <c r="BI1339" t="s">
        <v>1392</v>
      </c>
      <c r="BJ1339" t="s">
        <v>125</v>
      </c>
      <c r="BM1339">
        <v>0</v>
      </c>
      <c r="BN1339">
        <v>1</v>
      </c>
      <c r="BO1339">
        <v>1</v>
      </c>
      <c r="BP1339" t="s">
        <v>80</v>
      </c>
      <c r="BR1339">
        <v>0</v>
      </c>
      <c r="BS1339">
        <v>6</v>
      </c>
      <c r="BU1339">
        <v>502971</v>
      </c>
    </row>
    <row r="1340" spans="1:73" x14ac:dyDescent="0.3">
      <c r="A1340" t="s">
        <v>1393</v>
      </c>
      <c r="B1340">
        <v>3</v>
      </c>
      <c r="C1340">
        <v>1945717</v>
      </c>
      <c r="D1340">
        <v>15</v>
      </c>
      <c r="E1340">
        <v>2634194</v>
      </c>
      <c r="F1340">
        <v>0</v>
      </c>
      <c r="G1340">
        <v>0</v>
      </c>
      <c r="H1340">
        <v>25</v>
      </c>
      <c r="I1340">
        <v>1061748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50000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38</v>
      </c>
      <c r="BC1340" s="1">
        <v>7156547</v>
      </c>
      <c r="BD1340" t="s">
        <v>94</v>
      </c>
      <c r="BE1340" t="s">
        <v>1394</v>
      </c>
      <c r="BF1340" t="s">
        <v>1395</v>
      </c>
      <c r="BH1340" t="s">
        <v>97</v>
      </c>
      <c r="BI1340" t="s">
        <v>208</v>
      </c>
      <c r="BJ1340" t="s">
        <v>79</v>
      </c>
      <c r="BM1340">
        <v>1</v>
      </c>
      <c r="BN1340">
        <v>3</v>
      </c>
      <c r="BO1340">
        <v>4</v>
      </c>
      <c r="BP1340" t="s">
        <v>80</v>
      </c>
      <c r="BR1340">
        <v>0</v>
      </c>
      <c r="BS1340">
        <v>6</v>
      </c>
      <c r="BU1340">
        <v>5691659</v>
      </c>
    </row>
    <row r="1341" spans="1:73" x14ac:dyDescent="0.3">
      <c r="A1341" t="s">
        <v>1398</v>
      </c>
      <c r="B1341">
        <v>0</v>
      </c>
      <c r="C1341">
        <v>0</v>
      </c>
      <c r="D1341">
        <v>8</v>
      </c>
      <c r="E1341">
        <v>2954514</v>
      </c>
      <c r="F1341">
        <v>0</v>
      </c>
      <c r="G1341">
        <v>0</v>
      </c>
      <c r="H1341">
        <v>10</v>
      </c>
      <c r="I1341">
        <v>268118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16</v>
      </c>
      <c r="BC1341" s="1">
        <v>5909028</v>
      </c>
      <c r="BD1341" t="s">
        <v>94</v>
      </c>
      <c r="BE1341" t="s">
        <v>1399</v>
      </c>
      <c r="BF1341" t="s">
        <v>451</v>
      </c>
      <c r="BH1341" t="s">
        <v>97</v>
      </c>
      <c r="BI1341" t="s">
        <v>119</v>
      </c>
      <c r="BJ1341" t="s">
        <v>79</v>
      </c>
      <c r="BM1341">
        <v>0</v>
      </c>
      <c r="BN1341">
        <v>2</v>
      </c>
      <c r="BO1341">
        <v>2</v>
      </c>
      <c r="BP1341" t="s">
        <v>80</v>
      </c>
      <c r="BR1341">
        <v>0</v>
      </c>
      <c r="BS1341">
        <v>6</v>
      </c>
      <c r="BU1341">
        <v>3222632</v>
      </c>
    </row>
    <row r="1342" spans="1:73" x14ac:dyDescent="0.3">
      <c r="A1342" t="s">
        <v>1403</v>
      </c>
      <c r="B1342">
        <v>0</v>
      </c>
      <c r="C1342">
        <v>0</v>
      </c>
      <c r="D1342">
        <v>2</v>
      </c>
      <c r="E1342">
        <v>315429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6</v>
      </c>
      <c r="BC1342" s="1">
        <v>881377</v>
      </c>
      <c r="BD1342" t="s">
        <v>94</v>
      </c>
      <c r="BE1342" t="s">
        <v>1404</v>
      </c>
      <c r="BF1342" t="s">
        <v>1405</v>
      </c>
      <c r="BH1342" t="s">
        <v>77</v>
      </c>
      <c r="BI1342" t="s">
        <v>92</v>
      </c>
      <c r="BJ1342" t="s">
        <v>79</v>
      </c>
      <c r="BM1342">
        <v>0</v>
      </c>
      <c r="BN1342">
        <v>1</v>
      </c>
      <c r="BO1342">
        <v>1</v>
      </c>
      <c r="BP1342" t="s">
        <v>80</v>
      </c>
      <c r="BR1342">
        <v>0</v>
      </c>
      <c r="BS1342">
        <v>6</v>
      </c>
      <c r="BU1342">
        <v>315429</v>
      </c>
    </row>
    <row r="1343" spans="1:73" x14ac:dyDescent="0.3">
      <c r="A1343" t="s">
        <v>1409</v>
      </c>
      <c r="B1343">
        <v>0</v>
      </c>
      <c r="C1343">
        <v>0</v>
      </c>
      <c r="D1343">
        <v>8</v>
      </c>
      <c r="E1343">
        <v>3804770</v>
      </c>
      <c r="F1343">
        <v>0</v>
      </c>
      <c r="G1343">
        <v>0</v>
      </c>
      <c r="H1343">
        <v>10</v>
      </c>
      <c r="I1343">
        <v>413178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16</v>
      </c>
      <c r="BC1343" s="1">
        <v>7609540</v>
      </c>
      <c r="BD1343" t="s">
        <v>94</v>
      </c>
      <c r="BE1343" t="s">
        <v>1410</v>
      </c>
      <c r="BF1343" t="s">
        <v>1411</v>
      </c>
      <c r="BH1343" t="s">
        <v>97</v>
      </c>
      <c r="BI1343" t="s">
        <v>208</v>
      </c>
      <c r="BJ1343" t="s">
        <v>79</v>
      </c>
      <c r="BM1343">
        <v>0</v>
      </c>
      <c r="BN1343">
        <v>2</v>
      </c>
      <c r="BO1343">
        <v>2</v>
      </c>
      <c r="BP1343" t="s">
        <v>80</v>
      </c>
      <c r="BR1343">
        <v>0</v>
      </c>
      <c r="BS1343">
        <v>6</v>
      </c>
      <c r="BU1343">
        <v>4217948</v>
      </c>
    </row>
    <row r="1344" spans="1:73" x14ac:dyDescent="0.3">
      <c r="A1344" t="s">
        <v>1415</v>
      </c>
      <c r="B1344">
        <v>4</v>
      </c>
      <c r="C1344">
        <v>490298</v>
      </c>
      <c r="D1344">
        <v>6</v>
      </c>
      <c r="E1344">
        <v>1714135</v>
      </c>
      <c r="F1344">
        <v>0</v>
      </c>
      <c r="G1344">
        <v>0</v>
      </c>
      <c r="H1344">
        <v>8</v>
      </c>
      <c r="I1344">
        <v>212270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73535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18</v>
      </c>
      <c r="BC1344" s="1">
        <v>4065638</v>
      </c>
      <c r="BD1344" t="s">
        <v>94</v>
      </c>
      <c r="BE1344" t="s">
        <v>1416</v>
      </c>
      <c r="BF1344" t="s">
        <v>1417</v>
      </c>
      <c r="BH1344" t="s">
        <v>123</v>
      </c>
      <c r="BI1344" t="s">
        <v>325</v>
      </c>
      <c r="BJ1344" t="s">
        <v>125</v>
      </c>
      <c r="BM1344">
        <v>1</v>
      </c>
      <c r="BN1344">
        <v>3</v>
      </c>
      <c r="BO1344">
        <v>4</v>
      </c>
      <c r="BP1344" t="s">
        <v>80</v>
      </c>
      <c r="BR1344">
        <v>0</v>
      </c>
      <c r="BS1344">
        <v>6</v>
      </c>
      <c r="BU1344">
        <v>2490238</v>
      </c>
    </row>
    <row r="1345" spans="1:73" x14ac:dyDescent="0.3">
      <c r="A1345" t="s">
        <v>1418</v>
      </c>
      <c r="B1345">
        <v>6</v>
      </c>
      <c r="C1345">
        <v>1666047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6</v>
      </c>
      <c r="BC1345" s="1">
        <v>1666047</v>
      </c>
      <c r="BD1345" t="s">
        <v>94</v>
      </c>
      <c r="BE1345" t="s">
        <v>1419</v>
      </c>
      <c r="BF1345" t="s">
        <v>1420</v>
      </c>
      <c r="BH1345" t="s">
        <v>97</v>
      </c>
      <c r="BI1345" t="s">
        <v>680</v>
      </c>
      <c r="BJ1345" t="s">
        <v>79</v>
      </c>
      <c r="BM1345">
        <v>0</v>
      </c>
      <c r="BN1345">
        <v>1</v>
      </c>
      <c r="BO1345">
        <v>1</v>
      </c>
      <c r="BP1345" t="s">
        <v>80</v>
      </c>
      <c r="BR1345">
        <v>0</v>
      </c>
      <c r="BS1345">
        <v>6</v>
      </c>
      <c r="BU1345">
        <v>1666047</v>
      </c>
    </row>
    <row r="1346" spans="1:73" x14ac:dyDescent="0.3">
      <c r="A1346" t="s">
        <v>1424</v>
      </c>
      <c r="B1346">
        <v>38</v>
      </c>
      <c r="C1346">
        <v>9833344</v>
      </c>
      <c r="D1346">
        <v>43</v>
      </c>
      <c r="E1346">
        <v>29158945</v>
      </c>
      <c r="F1346">
        <v>0</v>
      </c>
      <c r="G1346">
        <v>0</v>
      </c>
      <c r="H1346">
        <v>71</v>
      </c>
      <c r="I1346">
        <v>2905140</v>
      </c>
      <c r="J1346">
        <v>0</v>
      </c>
      <c r="K1346">
        <v>0</v>
      </c>
      <c r="L1346">
        <v>0</v>
      </c>
      <c r="M1346">
        <v>0</v>
      </c>
      <c r="N1346">
        <v>2</v>
      </c>
      <c r="O1346">
        <v>2500000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148</v>
      </c>
      <c r="BC1346" s="1">
        <v>72112578</v>
      </c>
      <c r="BD1346" t="s">
        <v>94</v>
      </c>
      <c r="BE1346" t="s">
        <v>1425</v>
      </c>
      <c r="BF1346" t="s">
        <v>1426</v>
      </c>
      <c r="BH1346" t="s">
        <v>97</v>
      </c>
      <c r="BI1346" t="s">
        <v>119</v>
      </c>
      <c r="BJ1346" t="s">
        <v>79</v>
      </c>
      <c r="BM1346">
        <v>0</v>
      </c>
      <c r="BN1346">
        <v>4</v>
      </c>
      <c r="BO1346">
        <v>4</v>
      </c>
      <c r="BP1346" t="s">
        <v>80</v>
      </c>
      <c r="BR1346">
        <v>0</v>
      </c>
      <c r="BS1346">
        <v>3</v>
      </c>
      <c r="BU1346">
        <v>44397429</v>
      </c>
    </row>
    <row r="1347" spans="1:73" x14ac:dyDescent="0.3">
      <c r="A1347" t="s">
        <v>1427</v>
      </c>
      <c r="B1347">
        <v>3</v>
      </c>
      <c r="C1347">
        <v>852680</v>
      </c>
      <c r="D1347">
        <v>6</v>
      </c>
      <c r="E1347">
        <v>1585989</v>
      </c>
      <c r="F1347">
        <v>0</v>
      </c>
      <c r="G1347">
        <v>0</v>
      </c>
      <c r="H1347">
        <v>10</v>
      </c>
      <c r="I1347">
        <v>291978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19</v>
      </c>
      <c r="BC1347" s="1">
        <v>5304658</v>
      </c>
      <c r="BD1347" t="s">
        <v>94</v>
      </c>
      <c r="BE1347" t="s">
        <v>1428</v>
      </c>
      <c r="BF1347" t="s">
        <v>1429</v>
      </c>
      <c r="BH1347" t="s">
        <v>123</v>
      </c>
      <c r="BI1347" t="s">
        <v>325</v>
      </c>
      <c r="BJ1347" t="s">
        <v>125</v>
      </c>
      <c r="BM1347">
        <v>0</v>
      </c>
      <c r="BN1347">
        <v>3</v>
      </c>
      <c r="BO1347">
        <v>3</v>
      </c>
      <c r="BP1347" t="s">
        <v>80</v>
      </c>
      <c r="BR1347">
        <v>0</v>
      </c>
      <c r="BS1347">
        <v>6</v>
      </c>
      <c r="BU1347">
        <v>2730647</v>
      </c>
    </row>
    <row r="1348" spans="1:73" x14ac:dyDescent="0.3">
      <c r="A1348" t="s">
        <v>1433</v>
      </c>
      <c r="B1348">
        <v>3</v>
      </c>
      <c r="C1348">
        <v>345393</v>
      </c>
      <c r="D1348">
        <v>0</v>
      </c>
      <c r="E1348">
        <v>0</v>
      </c>
      <c r="F1348">
        <v>0</v>
      </c>
      <c r="G1348">
        <v>0</v>
      </c>
      <c r="H1348">
        <v>8</v>
      </c>
      <c r="I1348">
        <v>190000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11</v>
      </c>
      <c r="BC1348" s="1">
        <v>535393</v>
      </c>
      <c r="BD1348" t="s">
        <v>94</v>
      </c>
      <c r="BE1348" t="s">
        <v>1434</v>
      </c>
      <c r="BF1348" t="s">
        <v>1435</v>
      </c>
      <c r="BH1348" t="s">
        <v>123</v>
      </c>
      <c r="BI1348" t="s">
        <v>325</v>
      </c>
      <c r="BJ1348" t="s">
        <v>125</v>
      </c>
      <c r="BM1348">
        <v>0</v>
      </c>
      <c r="BN1348">
        <v>2</v>
      </c>
      <c r="BO1348">
        <v>2</v>
      </c>
      <c r="BP1348" t="s">
        <v>80</v>
      </c>
      <c r="BR1348">
        <v>0</v>
      </c>
      <c r="BS1348">
        <v>6</v>
      </c>
      <c r="BU1348">
        <v>535393</v>
      </c>
    </row>
    <row r="1349" spans="1:73" x14ac:dyDescent="0.3">
      <c r="A1349" t="s">
        <v>1436</v>
      </c>
      <c r="B1349">
        <v>2</v>
      </c>
      <c r="C1349">
        <v>225772</v>
      </c>
      <c r="D1349">
        <v>4</v>
      </c>
      <c r="E1349">
        <v>403579</v>
      </c>
      <c r="F1349">
        <v>0</v>
      </c>
      <c r="G1349">
        <v>0</v>
      </c>
      <c r="H1349">
        <v>6</v>
      </c>
      <c r="I1349">
        <v>127158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19792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11</v>
      </c>
      <c r="BC1349" s="1">
        <v>1052722</v>
      </c>
      <c r="BD1349" t="s">
        <v>94</v>
      </c>
      <c r="BE1349" t="s">
        <v>1437</v>
      </c>
      <c r="BF1349" t="s">
        <v>1227</v>
      </c>
      <c r="BH1349" t="s">
        <v>123</v>
      </c>
      <c r="BI1349" t="s">
        <v>288</v>
      </c>
      <c r="BJ1349" t="s">
        <v>125</v>
      </c>
      <c r="BM1349">
        <v>1</v>
      </c>
      <c r="BN1349">
        <v>3</v>
      </c>
      <c r="BO1349">
        <v>4</v>
      </c>
      <c r="BP1349" t="s">
        <v>80</v>
      </c>
      <c r="BR1349">
        <v>0</v>
      </c>
      <c r="BS1349">
        <v>6</v>
      </c>
      <c r="BU1349">
        <v>776301</v>
      </c>
    </row>
    <row r="1350" spans="1:73" x14ac:dyDescent="0.3">
      <c r="A1350" t="s">
        <v>1440</v>
      </c>
      <c r="B1350">
        <v>0</v>
      </c>
      <c r="C1350">
        <v>0</v>
      </c>
      <c r="D1350">
        <v>5</v>
      </c>
      <c r="E1350">
        <v>2891435</v>
      </c>
      <c r="F1350">
        <v>0</v>
      </c>
      <c r="G1350">
        <v>0</v>
      </c>
      <c r="H1350">
        <v>8</v>
      </c>
      <c r="I1350">
        <v>382870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9159700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12</v>
      </c>
      <c r="BC1350" s="1">
        <v>24102270</v>
      </c>
      <c r="BD1350" t="s">
        <v>94</v>
      </c>
      <c r="BE1350" t="s">
        <v>1441</v>
      </c>
      <c r="BF1350" t="s">
        <v>488</v>
      </c>
      <c r="BH1350" t="s">
        <v>97</v>
      </c>
      <c r="BI1350" t="s">
        <v>208</v>
      </c>
      <c r="BJ1350" t="s">
        <v>79</v>
      </c>
      <c r="BM1350">
        <v>0</v>
      </c>
      <c r="BN1350">
        <v>3</v>
      </c>
      <c r="BO1350">
        <v>3</v>
      </c>
      <c r="BP1350" t="s">
        <v>80</v>
      </c>
      <c r="BR1350">
        <v>0</v>
      </c>
      <c r="BS1350">
        <v>4</v>
      </c>
      <c r="BU1350">
        <v>12434005</v>
      </c>
    </row>
    <row r="1351" spans="1:73" x14ac:dyDescent="0.3">
      <c r="A1351" t="s">
        <v>1444</v>
      </c>
      <c r="B1351">
        <v>0</v>
      </c>
      <c r="C1351">
        <v>0</v>
      </c>
      <c r="D1351">
        <v>7</v>
      </c>
      <c r="E1351">
        <v>1346309</v>
      </c>
      <c r="F1351">
        <v>0</v>
      </c>
      <c r="G1351">
        <v>0</v>
      </c>
      <c r="H1351">
        <v>12</v>
      </c>
      <c r="I1351">
        <v>301418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48693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19640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19</v>
      </c>
      <c r="BC1351" s="1">
        <v>2735351</v>
      </c>
      <c r="BD1351" t="s">
        <v>94</v>
      </c>
      <c r="BE1351" t="s">
        <v>1445</v>
      </c>
      <c r="BF1351" t="s">
        <v>1446</v>
      </c>
      <c r="BH1351" t="s">
        <v>97</v>
      </c>
      <c r="BI1351" t="s">
        <v>208</v>
      </c>
      <c r="BJ1351" t="s">
        <v>79</v>
      </c>
      <c r="BM1351">
        <v>2</v>
      </c>
      <c r="BN1351">
        <v>2</v>
      </c>
      <c r="BO1351">
        <v>4</v>
      </c>
      <c r="BP1351" t="s">
        <v>80</v>
      </c>
      <c r="BR1351">
        <v>0</v>
      </c>
      <c r="BS1351">
        <v>6</v>
      </c>
      <c r="BU1351">
        <v>1716060</v>
      </c>
    </row>
    <row r="1352" spans="1:73" x14ac:dyDescent="0.3">
      <c r="A1352" t="s">
        <v>1447</v>
      </c>
      <c r="B1352">
        <v>1</v>
      </c>
      <c r="C1352">
        <v>202742</v>
      </c>
      <c r="D1352">
        <v>45</v>
      </c>
      <c r="E1352">
        <v>8026800</v>
      </c>
      <c r="F1352">
        <v>1</v>
      </c>
      <c r="G1352">
        <v>51000000</v>
      </c>
      <c r="H1352">
        <v>41</v>
      </c>
      <c r="I1352">
        <v>826800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4</v>
      </c>
      <c r="Z1352">
        <v>304240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66</v>
      </c>
      <c r="BC1352" s="1">
        <v>123264272</v>
      </c>
      <c r="BD1352" t="s">
        <v>94</v>
      </c>
      <c r="BE1352" t="s">
        <v>1448</v>
      </c>
      <c r="BF1352" t="s">
        <v>457</v>
      </c>
      <c r="BH1352" t="s">
        <v>123</v>
      </c>
      <c r="BI1352" t="s">
        <v>325</v>
      </c>
      <c r="BJ1352" t="s">
        <v>125</v>
      </c>
      <c r="BM1352">
        <v>1</v>
      </c>
      <c r="BN1352">
        <v>4</v>
      </c>
      <c r="BO1352">
        <v>5</v>
      </c>
      <c r="BP1352" t="s">
        <v>80</v>
      </c>
      <c r="BR1352">
        <v>0</v>
      </c>
      <c r="BS1352">
        <v>3</v>
      </c>
      <c r="BU1352">
        <v>60360582</v>
      </c>
    </row>
    <row r="1353" spans="1:73" x14ac:dyDescent="0.3">
      <c r="A1353" t="s">
        <v>1449</v>
      </c>
      <c r="B1353">
        <v>16</v>
      </c>
      <c r="C1353">
        <v>3146354</v>
      </c>
      <c r="D1353">
        <v>13</v>
      </c>
      <c r="E1353">
        <v>1720584</v>
      </c>
      <c r="F1353">
        <v>0</v>
      </c>
      <c r="G1353">
        <v>0</v>
      </c>
      <c r="H1353">
        <v>22</v>
      </c>
      <c r="I1353">
        <v>491168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42</v>
      </c>
      <c r="BC1353" s="1">
        <v>6587522</v>
      </c>
      <c r="BD1353" t="s">
        <v>94</v>
      </c>
      <c r="BE1353" t="s">
        <v>1450</v>
      </c>
      <c r="BF1353" t="s">
        <v>1451</v>
      </c>
      <c r="BH1353" t="s">
        <v>123</v>
      </c>
      <c r="BI1353" t="s">
        <v>288</v>
      </c>
      <c r="BJ1353" t="s">
        <v>125</v>
      </c>
      <c r="BM1353">
        <v>0</v>
      </c>
      <c r="BN1353">
        <v>3</v>
      </c>
      <c r="BO1353">
        <v>3</v>
      </c>
      <c r="BP1353" t="s">
        <v>80</v>
      </c>
      <c r="BR1353">
        <v>0</v>
      </c>
      <c r="BS1353">
        <v>6</v>
      </c>
      <c r="BU1353">
        <v>5358106</v>
      </c>
    </row>
    <row r="1354" spans="1:73" x14ac:dyDescent="0.3">
      <c r="A1354" t="s">
        <v>1458</v>
      </c>
      <c r="B1354">
        <v>0</v>
      </c>
      <c r="C1354">
        <v>0</v>
      </c>
      <c r="D1354">
        <v>10</v>
      </c>
      <c r="E1354">
        <v>2209712</v>
      </c>
      <c r="F1354">
        <v>0</v>
      </c>
      <c r="G1354">
        <v>0</v>
      </c>
      <c r="H1354">
        <v>14</v>
      </c>
      <c r="I1354">
        <v>509424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20</v>
      </c>
      <c r="BC1354" s="1">
        <v>4419424</v>
      </c>
      <c r="BD1354" t="s">
        <v>94</v>
      </c>
      <c r="BE1354" t="s">
        <v>1459</v>
      </c>
      <c r="BF1354" t="s">
        <v>1460</v>
      </c>
      <c r="BH1354" t="s">
        <v>97</v>
      </c>
      <c r="BI1354" t="s">
        <v>119</v>
      </c>
      <c r="BJ1354" t="s">
        <v>79</v>
      </c>
      <c r="BM1354">
        <v>0</v>
      </c>
      <c r="BN1354">
        <v>2</v>
      </c>
      <c r="BO1354">
        <v>2</v>
      </c>
      <c r="BP1354" t="s">
        <v>80</v>
      </c>
      <c r="BR1354">
        <v>0</v>
      </c>
      <c r="BS1354">
        <v>6</v>
      </c>
      <c r="BU1354">
        <v>2719136</v>
      </c>
    </row>
    <row r="1355" spans="1:73" x14ac:dyDescent="0.3">
      <c r="A1355" t="s">
        <v>1469</v>
      </c>
      <c r="B1355">
        <v>0</v>
      </c>
      <c r="C1355">
        <v>0</v>
      </c>
      <c r="D1355">
        <v>13</v>
      </c>
      <c r="E1355">
        <v>2383362</v>
      </c>
      <c r="F1355">
        <v>0</v>
      </c>
      <c r="G1355">
        <v>0</v>
      </c>
      <c r="H1355">
        <v>22</v>
      </c>
      <c r="I1355">
        <v>556724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26</v>
      </c>
      <c r="BC1355" s="1">
        <v>4766724</v>
      </c>
      <c r="BD1355" t="s">
        <v>94</v>
      </c>
      <c r="BE1355" t="s">
        <v>1470</v>
      </c>
      <c r="BF1355" t="s">
        <v>1471</v>
      </c>
      <c r="BH1355" t="s">
        <v>476</v>
      </c>
      <c r="BI1355" t="s">
        <v>1472</v>
      </c>
      <c r="BJ1355" t="s">
        <v>125</v>
      </c>
      <c r="BM1355">
        <v>0</v>
      </c>
      <c r="BN1355">
        <v>2</v>
      </c>
      <c r="BO1355">
        <v>2</v>
      </c>
      <c r="BP1355" t="s">
        <v>80</v>
      </c>
      <c r="BR1355">
        <v>0</v>
      </c>
      <c r="BS1355">
        <v>6</v>
      </c>
      <c r="BU1355">
        <v>2940086</v>
      </c>
    </row>
    <row r="1356" spans="1:73" x14ac:dyDescent="0.3">
      <c r="A1356" t="s">
        <v>1473</v>
      </c>
      <c r="B1356">
        <v>1</v>
      </c>
      <c r="C1356">
        <v>291021</v>
      </c>
      <c r="D1356">
        <v>2</v>
      </c>
      <c r="E1356">
        <v>209272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42000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7</v>
      </c>
      <c r="BC1356" s="1">
        <v>793565</v>
      </c>
      <c r="BD1356" t="s">
        <v>94</v>
      </c>
      <c r="BE1356" t="s">
        <v>1474</v>
      </c>
      <c r="BF1356" t="s">
        <v>1475</v>
      </c>
      <c r="BH1356" t="s">
        <v>97</v>
      </c>
      <c r="BI1356" t="s">
        <v>1006</v>
      </c>
      <c r="BJ1356" t="s">
        <v>79</v>
      </c>
      <c r="BM1356">
        <v>0</v>
      </c>
      <c r="BN1356">
        <v>3</v>
      </c>
      <c r="BO1356">
        <v>3</v>
      </c>
      <c r="BP1356" t="s">
        <v>80</v>
      </c>
      <c r="BR1356">
        <v>0</v>
      </c>
      <c r="BS1356">
        <v>6</v>
      </c>
      <c r="BU1356">
        <v>542293</v>
      </c>
    </row>
    <row r="1357" spans="1:73" x14ac:dyDescent="0.3">
      <c r="A1357" t="s">
        <v>1476</v>
      </c>
      <c r="B1357">
        <v>0</v>
      </c>
      <c r="C1357">
        <v>0</v>
      </c>
      <c r="D1357">
        <v>14</v>
      </c>
      <c r="E1357">
        <v>487922</v>
      </c>
      <c r="F1357">
        <v>0</v>
      </c>
      <c r="G1357">
        <v>0</v>
      </c>
      <c r="H1357">
        <v>26</v>
      </c>
      <c r="I1357">
        <v>615844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29</v>
      </c>
      <c r="BC1357" s="1">
        <v>1058837</v>
      </c>
      <c r="BD1357" t="s">
        <v>94</v>
      </c>
      <c r="BE1357" t="s">
        <v>1477</v>
      </c>
      <c r="BF1357" t="s">
        <v>1245</v>
      </c>
      <c r="BH1357" t="s">
        <v>97</v>
      </c>
      <c r="BI1357" t="s">
        <v>98</v>
      </c>
      <c r="BJ1357" t="s">
        <v>79</v>
      </c>
      <c r="BM1357">
        <v>0</v>
      </c>
      <c r="BN1357">
        <v>2</v>
      </c>
      <c r="BO1357">
        <v>2</v>
      </c>
      <c r="BP1357" t="s">
        <v>80</v>
      </c>
      <c r="BR1357">
        <v>0</v>
      </c>
      <c r="BS1357">
        <v>6</v>
      </c>
      <c r="BU1357">
        <v>1103766</v>
      </c>
    </row>
    <row r="1358" spans="1:73" x14ac:dyDescent="0.3">
      <c r="A1358" t="s">
        <v>1478</v>
      </c>
      <c r="B1358">
        <v>1</v>
      </c>
      <c r="C1358">
        <v>344701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 s="1">
        <v>344701</v>
      </c>
      <c r="BD1358" t="s">
        <v>94</v>
      </c>
      <c r="BE1358" t="s">
        <v>1479</v>
      </c>
      <c r="BF1358" t="s">
        <v>1480</v>
      </c>
      <c r="BM1358">
        <v>0</v>
      </c>
      <c r="BN1358">
        <v>1</v>
      </c>
      <c r="BO1358">
        <v>1</v>
      </c>
      <c r="BP1358" t="s">
        <v>80</v>
      </c>
      <c r="BR1358">
        <v>0</v>
      </c>
      <c r="BS1358">
        <v>6</v>
      </c>
      <c r="BU1358">
        <v>344701</v>
      </c>
    </row>
    <row r="1359" spans="1:73" x14ac:dyDescent="0.3">
      <c r="A1359" t="s">
        <v>1484</v>
      </c>
      <c r="B1359">
        <v>0</v>
      </c>
      <c r="C1359">
        <v>0</v>
      </c>
      <c r="D1359">
        <v>1</v>
      </c>
      <c r="E1359">
        <v>168000</v>
      </c>
      <c r="F1359">
        <v>0</v>
      </c>
      <c r="G1359">
        <v>0</v>
      </c>
      <c r="H1359">
        <v>2</v>
      </c>
      <c r="I1359">
        <v>40000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4</v>
      </c>
      <c r="BC1359" s="1">
        <v>376000</v>
      </c>
      <c r="BD1359" t="s">
        <v>94</v>
      </c>
      <c r="BE1359" t="s">
        <v>1485</v>
      </c>
      <c r="BF1359" t="s">
        <v>1486</v>
      </c>
      <c r="BH1359" t="s">
        <v>97</v>
      </c>
      <c r="BI1359" t="s">
        <v>208</v>
      </c>
      <c r="BJ1359" t="s">
        <v>79</v>
      </c>
      <c r="BM1359">
        <v>0</v>
      </c>
      <c r="BN1359">
        <v>2</v>
      </c>
      <c r="BO1359">
        <v>2</v>
      </c>
      <c r="BP1359" t="s">
        <v>80</v>
      </c>
      <c r="BR1359">
        <v>0</v>
      </c>
      <c r="BS1359">
        <v>6</v>
      </c>
      <c r="BU1359">
        <v>208000</v>
      </c>
    </row>
    <row r="1360" spans="1:73" x14ac:dyDescent="0.3">
      <c r="A1360" t="s">
        <v>1487</v>
      </c>
      <c r="B1360">
        <v>1</v>
      </c>
      <c r="C1360">
        <v>486983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 s="1">
        <v>486983</v>
      </c>
      <c r="BD1360" t="s">
        <v>94</v>
      </c>
      <c r="BE1360" t="s">
        <v>1488</v>
      </c>
      <c r="BF1360" t="s">
        <v>1489</v>
      </c>
      <c r="BH1360" t="s">
        <v>97</v>
      </c>
      <c r="BI1360" t="s">
        <v>208</v>
      </c>
      <c r="BJ1360" t="s">
        <v>79</v>
      </c>
      <c r="BM1360">
        <v>0</v>
      </c>
      <c r="BN1360">
        <v>1</v>
      </c>
      <c r="BO1360">
        <v>1</v>
      </c>
      <c r="BP1360" t="s">
        <v>80</v>
      </c>
      <c r="BR1360">
        <v>0</v>
      </c>
      <c r="BS1360">
        <v>6</v>
      </c>
      <c r="BU1360">
        <v>486983</v>
      </c>
    </row>
    <row r="1361" spans="1:73" x14ac:dyDescent="0.3">
      <c r="A1361" t="s">
        <v>1490</v>
      </c>
      <c r="B1361">
        <v>0</v>
      </c>
      <c r="C1361">
        <v>0</v>
      </c>
      <c r="D1361">
        <v>1</v>
      </c>
      <c r="E1361">
        <v>280000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 s="1">
        <v>280000</v>
      </c>
      <c r="BD1361" t="s">
        <v>94</v>
      </c>
      <c r="BE1361" t="s">
        <v>1491</v>
      </c>
      <c r="BF1361" t="s">
        <v>1492</v>
      </c>
      <c r="BH1361" t="s">
        <v>97</v>
      </c>
      <c r="BI1361" t="s">
        <v>559</v>
      </c>
      <c r="BJ1361" t="s">
        <v>79</v>
      </c>
      <c r="BM1361">
        <v>0</v>
      </c>
      <c r="BN1361">
        <v>1</v>
      </c>
      <c r="BO1361">
        <v>1</v>
      </c>
      <c r="BP1361" t="s">
        <v>80</v>
      </c>
      <c r="BR1361">
        <v>0</v>
      </c>
      <c r="BS1361">
        <v>6</v>
      </c>
      <c r="BU1361">
        <v>280000</v>
      </c>
    </row>
    <row r="1362" spans="1:73" x14ac:dyDescent="0.3">
      <c r="A1362" t="s">
        <v>1496</v>
      </c>
      <c r="B1362">
        <v>0</v>
      </c>
      <c r="C1362">
        <v>0</v>
      </c>
      <c r="D1362">
        <v>3</v>
      </c>
      <c r="E1362">
        <v>540000</v>
      </c>
      <c r="F1362">
        <v>0</v>
      </c>
      <c r="G1362">
        <v>0</v>
      </c>
      <c r="H1362">
        <v>4</v>
      </c>
      <c r="I1362">
        <v>80000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6</v>
      </c>
      <c r="BC1362" s="1">
        <v>1080000</v>
      </c>
      <c r="BD1362" t="s">
        <v>94</v>
      </c>
      <c r="BE1362" t="s">
        <v>1497</v>
      </c>
      <c r="BF1362" t="s">
        <v>664</v>
      </c>
      <c r="BH1362" t="s">
        <v>97</v>
      </c>
      <c r="BI1362" t="s">
        <v>119</v>
      </c>
      <c r="BJ1362" t="s">
        <v>79</v>
      </c>
      <c r="BM1362">
        <v>0</v>
      </c>
      <c r="BN1362">
        <v>2</v>
      </c>
      <c r="BO1362">
        <v>2</v>
      </c>
      <c r="BP1362" t="s">
        <v>80</v>
      </c>
      <c r="BR1362">
        <v>0</v>
      </c>
      <c r="BS1362">
        <v>6</v>
      </c>
      <c r="BU1362">
        <v>620000</v>
      </c>
    </row>
    <row r="1363" spans="1:73" x14ac:dyDescent="0.3">
      <c r="A1363" t="s">
        <v>1498</v>
      </c>
      <c r="B1363">
        <v>0</v>
      </c>
      <c r="C1363">
        <v>0</v>
      </c>
      <c r="D1363">
        <v>4</v>
      </c>
      <c r="E1363">
        <v>189591</v>
      </c>
      <c r="F1363">
        <v>0</v>
      </c>
      <c r="G1363">
        <v>0</v>
      </c>
      <c r="H1363">
        <v>8</v>
      </c>
      <c r="I1363">
        <v>379182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8</v>
      </c>
      <c r="BC1363" s="1">
        <v>379182</v>
      </c>
      <c r="BD1363" t="s">
        <v>94</v>
      </c>
      <c r="BE1363" t="s">
        <v>1499</v>
      </c>
      <c r="BF1363" t="s">
        <v>1500</v>
      </c>
      <c r="BH1363" t="s">
        <v>123</v>
      </c>
      <c r="BI1363" t="s">
        <v>124</v>
      </c>
      <c r="BJ1363" t="s">
        <v>125</v>
      </c>
      <c r="BM1363">
        <v>0</v>
      </c>
      <c r="BN1363">
        <v>2</v>
      </c>
      <c r="BO1363">
        <v>2</v>
      </c>
      <c r="BP1363" t="s">
        <v>80</v>
      </c>
      <c r="BR1363">
        <v>0</v>
      </c>
      <c r="BS1363">
        <v>6</v>
      </c>
      <c r="BU1363">
        <v>568773</v>
      </c>
    </row>
    <row r="1364" spans="1:73" x14ac:dyDescent="0.3">
      <c r="A1364" t="s">
        <v>1501</v>
      </c>
      <c r="B1364">
        <v>0</v>
      </c>
      <c r="C1364">
        <v>0</v>
      </c>
      <c r="D1364">
        <v>4</v>
      </c>
      <c r="E1364">
        <v>333610</v>
      </c>
      <c r="F1364">
        <v>0</v>
      </c>
      <c r="G1364">
        <v>0</v>
      </c>
      <c r="H1364">
        <v>6</v>
      </c>
      <c r="I1364">
        <v>331220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8</v>
      </c>
      <c r="BC1364" s="1">
        <v>667220</v>
      </c>
      <c r="BD1364" t="s">
        <v>94</v>
      </c>
      <c r="BE1364" t="s">
        <v>1502</v>
      </c>
      <c r="BF1364" t="s">
        <v>1503</v>
      </c>
      <c r="BH1364" t="s">
        <v>97</v>
      </c>
      <c r="BI1364" t="s">
        <v>208</v>
      </c>
      <c r="BJ1364" t="s">
        <v>79</v>
      </c>
      <c r="BM1364">
        <v>0</v>
      </c>
      <c r="BN1364">
        <v>2</v>
      </c>
      <c r="BO1364">
        <v>2</v>
      </c>
      <c r="BP1364" t="s">
        <v>80</v>
      </c>
      <c r="BR1364">
        <v>0</v>
      </c>
      <c r="BS1364">
        <v>6</v>
      </c>
      <c r="BU1364">
        <v>664830</v>
      </c>
    </row>
    <row r="1365" spans="1:73" x14ac:dyDescent="0.3">
      <c r="A1365" t="s">
        <v>1504</v>
      </c>
      <c r="B1365">
        <v>3</v>
      </c>
      <c r="C1365">
        <v>134273</v>
      </c>
      <c r="D1365">
        <v>7</v>
      </c>
      <c r="E1365">
        <v>1736694</v>
      </c>
      <c r="F1365">
        <v>0</v>
      </c>
      <c r="G1365">
        <v>0</v>
      </c>
      <c r="H1365">
        <v>10</v>
      </c>
      <c r="I1365">
        <v>225388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73535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19</v>
      </c>
      <c r="BC1365" s="1">
        <v>3754731</v>
      </c>
      <c r="BD1365" t="s">
        <v>94</v>
      </c>
      <c r="BE1365" t="s">
        <v>1505</v>
      </c>
      <c r="BF1365" t="s">
        <v>1506</v>
      </c>
      <c r="BH1365" t="s">
        <v>123</v>
      </c>
      <c r="BI1365" t="s">
        <v>325</v>
      </c>
      <c r="BJ1365" t="s">
        <v>125</v>
      </c>
      <c r="BM1365">
        <v>1</v>
      </c>
      <c r="BN1365">
        <v>3</v>
      </c>
      <c r="BO1365">
        <v>4</v>
      </c>
      <c r="BP1365" t="s">
        <v>80</v>
      </c>
      <c r="BR1365">
        <v>0</v>
      </c>
      <c r="BS1365">
        <v>6</v>
      </c>
      <c r="BU1365">
        <v>2169890</v>
      </c>
    </row>
    <row r="1366" spans="1:73" x14ac:dyDescent="0.3">
      <c r="A1366" t="s">
        <v>1516</v>
      </c>
      <c r="B1366">
        <v>4</v>
      </c>
      <c r="C1366">
        <v>840861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73535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19792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8</v>
      </c>
      <c r="BC1366" s="1">
        <v>1027515</v>
      </c>
      <c r="BD1366" t="s">
        <v>94</v>
      </c>
      <c r="BE1366" t="s">
        <v>1517</v>
      </c>
      <c r="BF1366" t="s">
        <v>1518</v>
      </c>
      <c r="BH1366" t="s">
        <v>97</v>
      </c>
      <c r="BI1366" t="s">
        <v>119</v>
      </c>
      <c r="BJ1366" t="s">
        <v>79</v>
      </c>
      <c r="BM1366">
        <v>2</v>
      </c>
      <c r="BN1366">
        <v>1</v>
      </c>
      <c r="BO1366">
        <v>3</v>
      </c>
      <c r="BP1366" t="s">
        <v>80</v>
      </c>
      <c r="BR1366">
        <v>0</v>
      </c>
      <c r="BS1366">
        <v>6</v>
      </c>
      <c r="BU1366">
        <v>934188</v>
      </c>
    </row>
    <row r="1367" spans="1:73" x14ac:dyDescent="0.3">
      <c r="A1367" t="s">
        <v>1525</v>
      </c>
      <c r="B1367">
        <v>16</v>
      </c>
      <c r="C1367">
        <v>3506317</v>
      </c>
      <c r="D1367">
        <v>7</v>
      </c>
      <c r="E1367">
        <v>1099259</v>
      </c>
      <c r="F1367">
        <v>0</v>
      </c>
      <c r="G1367">
        <v>0</v>
      </c>
      <c r="H1367">
        <v>10</v>
      </c>
      <c r="I1367">
        <v>256700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30</v>
      </c>
      <c r="BC1367" s="1">
        <v>5704835</v>
      </c>
      <c r="BD1367" t="s">
        <v>94</v>
      </c>
      <c r="BE1367" t="s">
        <v>1526</v>
      </c>
      <c r="BF1367" t="s">
        <v>664</v>
      </c>
      <c r="BH1367" t="s">
        <v>97</v>
      </c>
      <c r="BI1367" t="s">
        <v>119</v>
      </c>
      <c r="BJ1367" t="s">
        <v>79</v>
      </c>
      <c r="BM1367">
        <v>0</v>
      </c>
      <c r="BN1367">
        <v>3</v>
      </c>
      <c r="BO1367">
        <v>3</v>
      </c>
      <c r="BP1367" t="s">
        <v>80</v>
      </c>
      <c r="BR1367">
        <v>0</v>
      </c>
      <c r="BS1367">
        <v>6</v>
      </c>
      <c r="BU1367">
        <v>4862276</v>
      </c>
    </row>
    <row r="1368" spans="1:73" x14ac:dyDescent="0.3">
      <c r="A1368" t="s">
        <v>1527</v>
      </c>
      <c r="B1368">
        <v>0</v>
      </c>
      <c r="C1368">
        <v>0</v>
      </c>
      <c r="D1368">
        <v>4</v>
      </c>
      <c r="E1368">
        <v>1868913</v>
      </c>
      <c r="F1368">
        <v>0</v>
      </c>
      <c r="G1368">
        <v>0</v>
      </c>
      <c r="H1368">
        <v>6</v>
      </c>
      <c r="I1368">
        <v>137826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73535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9</v>
      </c>
      <c r="BC1368" s="1">
        <v>3811361</v>
      </c>
      <c r="BD1368" t="s">
        <v>94</v>
      </c>
      <c r="BE1368" t="s">
        <v>1528</v>
      </c>
      <c r="BF1368" t="s">
        <v>652</v>
      </c>
      <c r="BH1368" t="s">
        <v>97</v>
      </c>
      <c r="BI1368" t="s">
        <v>208</v>
      </c>
      <c r="BJ1368" t="s">
        <v>79</v>
      </c>
      <c r="BM1368">
        <v>1</v>
      </c>
      <c r="BN1368">
        <v>2</v>
      </c>
      <c r="BO1368">
        <v>3</v>
      </c>
      <c r="BP1368" t="s">
        <v>80</v>
      </c>
      <c r="BR1368">
        <v>0</v>
      </c>
      <c r="BS1368">
        <v>6</v>
      </c>
      <c r="BU1368">
        <v>2080274</v>
      </c>
    </row>
    <row r="1369" spans="1:73" x14ac:dyDescent="0.3">
      <c r="A1369" t="s">
        <v>1529</v>
      </c>
      <c r="B1369">
        <v>1</v>
      </c>
      <c r="C1369">
        <v>1586600</v>
      </c>
      <c r="D1369">
        <v>6</v>
      </c>
      <c r="E1369">
        <v>1956485</v>
      </c>
      <c r="F1369">
        <v>0</v>
      </c>
      <c r="G1369">
        <v>0</v>
      </c>
      <c r="H1369">
        <v>8</v>
      </c>
      <c r="I1369">
        <v>248970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13</v>
      </c>
      <c r="BC1369" s="1">
        <v>5499570</v>
      </c>
      <c r="BD1369" t="s">
        <v>94</v>
      </c>
      <c r="BE1369" t="s">
        <v>1530</v>
      </c>
      <c r="BF1369" t="s">
        <v>1531</v>
      </c>
      <c r="BH1369" t="s">
        <v>123</v>
      </c>
      <c r="BI1369" t="s">
        <v>1532</v>
      </c>
      <c r="BJ1369" t="s">
        <v>125</v>
      </c>
      <c r="BM1369">
        <v>0</v>
      </c>
      <c r="BN1369">
        <v>3</v>
      </c>
      <c r="BO1369">
        <v>3</v>
      </c>
      <c r="BP1369" t="s">
        <v>80</v>
      </c>
      <c r="BR1369">
        <v>0</v>
      </c>
      <c r="BS1369">
        <v>6</v>
      </c>
      <c r="BU1369">
        <v>3792055</v>
      </c>
    </row>
    <row r="1370" spans="1:73" x14ac:dyDescent="0.3">
      <c r="A1370" t="s">
        <v>1533</v>
      </c>
      <c r="B1370">
        <v>0</v>
      </c>
      <c r="C1370">
        <v>0</v>
      </c>
      <c r="D1370">
        <v>9</v>
      </c>
      <c r="E1370">
        <v>2206111</v>
      </c>
      <c r="F1370">
        <v>0</v>
      </c>
      <c r="G1370">
        <v>0</v>
      </c>
      <c r="H1370">
        <v>14</v>
      </c>
      <c r="I1370">
        <v>352222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73535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21</v>
      </c>
      <c r="BC1370" s="1">
        <v>4632827</v>
      </c>
      <c r="BD1370" t="s">
        <v>94</v>
      </c>
      <c r="BE1370" t="s">
        <v>1534</v>
      </c>
      <c r="BF1370" t="s">
        <v>1245</v>
      </c>
      <c r="BH1370" t="s">
        <v>97</v>
      </c>
      <c r="BI1370" t="s">
        <v>119</v>
      </c>
      <c r="BJ1370" t="s">
        <v>79</v>
      </c>
      <c r="BM1370">
        <v>1</v>
      </c>
      <c r="BN1370">
        <v>2</v>
      </c>
      <c r="BO1370">
        <v>3</v>
      </c>
      <c r="BP1370" t="s">
        <v>80</v>
      </c>
      <c r="BR1370">
        <v>0</v>
      </c>
      <c r="BS1370">
        <v>6</v>
      </c>
      <c r="BU1370">
        <v>2631868</v>
      </c>
    </row>
    <row r="1371" spans="1:73" x14ac:dyDescent="0.3">
      <c r="A1371" t="s">
        <v>1535</v>
      </c>
      <c r="B1371">
        <v>13</v>
      </c>
      <c r="C1371">
        <v>4591819</v>
      </c>
      <c r="D1371">
        <v>8</v>
      </c>
      <c r="E1371">
        <v>2495297</v>
      </c>
      <c r="F1371">
        <v>0</v>
      </c>
      <c r="G1371">
        <v>0</v>
      </c>
      <c r="H1371">
        <v>10</v>
      </c>
      <c r="I1371">
        <v>470594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29</v>
      </c>
      <c r="BC1371" s="1">
        <v>9582413</v>
      </c>
      <c r="BD1371" t="s">
        <v>94</v>
      </c>
      <c r="BE1371" t="s">
        <v>1536</v>
      </c>
      <c r="BF1371" t="s">
        <v>457</v>
      </c>
      <c r="BH1371" t="s">
        <v>123</v>
      </c>
      <c r="BI1371" t="s">
        <v>325</v>
      </c>
      <c r="BJ1371" t="s">
        <v>125</v>
      </c>
      <c r="BM1371">
        <v>0</v>
      </c>
      <c r="BN1371">
        <v>3</v>
      </c>
      <c r="BO1371">
        <v>3</v>
      </c>
      <c r="BP1371" t="s">
        <v>80</v>
      </c>
      <c r="BR1371">
        <v>0</v>
      </c>
      <c r="BS1371">
        <v>5</v>
      </c>
      <c r="BU1371">
        <v>7557710</v>
      </c>
    </row>
    <row r="1372" spans="1:73" x14ac:dyDescent="0.3">
      <c r="A1372" t="s">
        <v>1537</v>
      </c>
      <c r="B1372">
        <v>1</v>
      </c>
      <c r="C1372">
        <v>115454</v>
      </c>
      <c r="D1372">
        <v>6</v>
      </c>
      <c r="E1372">
        <v>606359</v>
      </c>
      <c r="F1372">
        <v>0</v>
      </c>
      <c r="G1372">
        <v>0</v>
      </c>
      <c r="H1372">
        <v>8</v>
      </c>
      <c r="I1372">
        <v>230900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13</v>
      </c>
      <c r="BC1372" s="1">
        <v>1328172</v>
      </c>
      <c r="BD1372" t="s">
        <v>94</v>
      </c>
      <c r="BE1372" t="s">
        <v>1538</v>
      </c>
      <c r="BF1372" t="s">
        <v>1539</v>
      </c>
      <c r="BH1372" t="s">
        <v>97</v>
      </c>
      <c r="BI1372" t="s">
        <v>119</v>
      </c>
      <c r="BJ1372" t="s">
        <v>79</v>
      </c>
      <c r="BM1372">
        <v>0</v>
      </c>
      <c r="BN1372">
        <v>3</v>
      </c>
      <c r="BO1372">
        <v>3</v>
      </c>
      <c r="BP1372" t="s">
        <v>80</v>
      </c>
      <c r="BR1372">
        <v>0</v>
      </c>
      <c r="BS1372">
        <v>6</v>
      </c>
      <c r="BU1372">
        <v>952713</v>
      </c>
    </row>
    <row r="1373" spans="1:73" x14ac:dyDescent="0.3">
      <c r="A1373" t="s">
        <v>1543</v>
      </c>
      <c r="B1373">
        <v>0</v>
      </c>
      <c r="C1373">
        <v>0</v>
      </c>
      <c r="D1373">
        <v>7</v>
      </c>
      <c r="E1373">
        <v>1448750</v>
      </c>
      <c r="F1373">
        <v>0</v>
      </c>
      <c r="G1373">
        <v>0</v>
      </c>
      <c r="H1373">
        <v>16</v>
      </c>
      <c r="I1373">
        <v>577500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2</v>
      </c>
      <c r="Z1373">
        <v>137840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27713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25</v>
      </c>
      <c r="BC1373" s="1">
        <v>3391561</v>
      </c>
      <c r="BD1373" t="s">
        <v>94</v>
      </c>
      <c r="BE1373" t="s">
        <v>1544</v>
      </c>
      <c r="BF1373" t="s">
        <v>448</v>
      </c>
      <c r="BH1373" t="s">
        <v>97</v>
      </c>
      <c r="BI1373" t="s">
        <v>119</v>
      </c>
      <c r="BJ1373" t="s">
        <v>79</v>
      </c>
      <c r="BM1373">
        <v>2</v>
      </c>
      <c r="BN1373">
        <v>2</v>
      </c>
      <c r="BO1373">
        <v>4</v>
      </c>
      <c r="BP1373" t="s">
        <v>80</v>
      </c>
      <c r="BR1373">
        <v>0</v>
      </c>
      <c r="BS1373">
        <v>6</v>
      </c>
      <c r="BU1373">
        <v>2191803</v>
      </c>
    </row>
    <row r="1374" spans="1:73" x14ac:dyDescent="0.3">
      <c r="A1374" t="s">
        <v>1548</v>
      </c>
      <c r="B1374">
        <v>0</v>
      </c>
      <c r="C1374">
        <v>0</v>
      </c>
      <c r="D1374">
        <v>5</v>
      </c>
      <c r="E1374">
        <v>780000</v>
      </c>
      <c r="F1374">
        <v>0</v>
      </c>
      <c r="G1374">
        <v>0</v>
      </c>
      <c r="H1374">
        <v>8</v>
      </c>
      <c r="I1374">
        <v>160000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10</v>
      </c>
      <c r="BC1374" s="1">
        <v>1560000</v>
      </c>
      <c r="BD1374" t="s">
        <v>94</v>
      </c>
      <c r="BE1374" t="s">
        <v>1549</v>
      </c>
      <c r="BF1374" t="s">
        <v>1550</v>
      </c>
      <c r="BH1374" t="s">
        <v>97</v>
      </c>
      <c r="BI1374" t="s">
        <v>208</v>
      </c>
      <c r="BJ1374" t="s">
        <v>79</v>
      </c>
      <c r="BM1374">
        <v>0</v>
      </c>
      <c r="BN1374">
        <v>2</v>
      </c>
      <c r="BO1374">
        <v>2</v>
      </c>
      <c r="BP1374" t="s">
        <v>80</v>
      </c>
      <c r="BR1374">
        <v>0</v>
      </c>
      <c r="BS1374">
        <v>6</v>
      </c>
      <c r="BU1374">
        <v>940000</v>
      </c>
    </row>
    <row r="1375" spans="1:73" x14ac:dyDescent="0.3">
      <c r="A1375" t="s">
        <v>1551</v>
      </c>
      <c r="B1375">
        <v>5</v>
      </c>
      <c r="C1375">
        <v>1296918</v>
      </c>
      <c r="D1375">
        <v>2</v>
      </c>
      <c r="E1375">
        <v>1618181</v>
      </c>
      <c r="F1375">
        <v>0</v>
      </c>
      <c r="G1375">
        <v>0</v>
      </c>
      <c r="H1375">
        <v>4</v>
      </c>
      <c r="I1375">
        <v>80534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24243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17</v>
      </c>
      <c r="BC1375" s="1">
        <v>4823878</v>
      </c>
      <c r="BD1375" t="s">
        <v>94</v>
      </c>
      <c r="BE1375" t="s">
        <v>1552</v>
      </c>
      <c r="BF1375" t="s">
        <v>664</v>
      </c>
      <c r="BH1375" t="s">
        <v>123</v>
      </c>
      <c r="BI1375" t="s">
        <v>124</v>
      </c>
      <c r="BJ1375" t="s">
        <v>125</v>
      </c>
      <c r="BM1375">
        <v>1</v>
      </c>
      <c r="BN1375">
        <v>3</v>
      </c>
      <c r="BO1375">
        <v>4</v>
      </c>
      <c r="BP1375" t="s">
        <v>80</v>
      </c>
      <c r="BR1375">
        <v>0</v>
      </c>
      <c r="BS1375">
        <v>6</v>
      </c>
      <c r="BU1375">
        <v>3019876</v>
      </c>
    </row>
    <row r="1376" spans="1:73" x14ac:dyDescent="0.3">
      <c r="A1376" t="s">
        <v>1553</v>
      </c>
      <c r="B1376">
        <v>0</v>
      </c>
      <c r="C1376">
        <v>0</v>
      </c>
      <c r="D1376">
        <v>1</v>
      </c>
      <c r="E1376">
        <v>20000</v>
      </c>
      <c r="F1376">
        <v>0</v>
      </c>
      <c r="G1376">
        <v>0</v>
      </c>
      <c r="H1376">
        <v>2</v>
      </c>
      <c r="I1376">
        <v>40000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2</v>
      </c>
      <c r="BC1376" s="1">
        <v>40000</v>
      </c>
      <c r="BD1376" t="s">
        <v>94</v>
      </c>
      <c r="BE1376" t="s">
        <v>1554</v>
      </c>
      <c r="BF1376" t="s">
        <v>1555</v>
      </c>
      <c r="BH1376" t="s">
        <v>97</v>
      </c>
      <c r="BI1376" t="s">
        <v>103</v>
      </c>
      <c r="BJ1376" t="s">
        <v>79</v>
      </c>
      <c r="BM1376">
        <v>0</v>
      </c>
      <c r="BN1376">
        <v>2</v>
      </c>
      <c r="BO1376">
        <v>2</v>
      </c>
      <c r="BP1376" t="s">
        <v>80</v>
      </c>
      <c r="BR1376">
        <v>0</v>
      </c>
      <c r="BS1376">
        <v>6</v>
      </c>
      <c r="BU1376">
        <v>60000</v>
      </c>
    </row>
    <row r="1377" spans="1:73" x14ac:dyDescent="0.3">
      <c r="A1377" t="s">
        <v>1556</v>
      </c>
      <c r="B1377">
        <v>0</v>
      </c>
      <c r="C1377">
        <v>0</v>
      </c>
      <c r="D1377">
        <v>4</v>
      </c>
      <c r="E1377">
        <v>387273</v>
      </c>
      <c r="F1377">
        <v>0</v>
      </c>
      <c r="G1377">
        <v>0</v>
      </c>
      <c r="H1377">
        <v>6</v>
      </c>
      <c r="I1377">
        <v>120000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20000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10</v>
      </c>
      <c r="BC1377" s="1">
        <v>814546</v>
      </c>
      <c r="BD1377" t="s">
        <v>94</v>
      </c>
      <c r="BE1377" t="s">
        <v>1557</v>
      </c>
      <c r="BF1377" t="s">
        <v>1558</v>
      </c>
      <c r="BH1377" t="s">
        <v>97</v>
      </c>
      <c r="BI1377" t="s">
        <v>119</v>
      </c>
      <c r="BJ1377" t="s">
        <v>79</v>
      </c>
      <c r="BM1377">
        <v>1</v>
      </c>
      <c r="BN1377">
        <v>2</v>
      </c>
      <c r="BO1377">
        <v>3</v>
      </c>
      <c r="BP1377" t="s">
        <v>80</v>
      </c>
      <c r="BR1377">
        <v>0</v>
      </c>
      <c r="BS1377">
        <v>6</v>
      </c>
      <c r="BU1377">
        <v>527273</v>
      </c>
    </row>
    <row r="1378" spans="1:73" x14ac:dyDescent="0.3">
      <c r="A1378" t="s">
        <v>1562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2</v>
      </c>
      <c r="I1378">
        <v>50000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2</v>
      </c>
      <c r="BC1378" s="1">
        <v>50000</v>
      </c>
      <c r="BD1378" t="s">
        <v>94</v>
      </c>
      <c r="BE1378" t="s">
        <v>1563</v>
      </c>
      <c r="BF1378" t="s">
        <v>1564</v>
      </c>
      <c r="BH1378" t="s">
        <v>97</v>
      </c>
      <c r="BI1378" t="s">
        <v>98</v>
      </c>
      <c r="BJ1378" t="s">
        <v>79</v>
      </c>
      <c r="BM1378">
        <v>0</v>
      </c>
      <c r="BN1378">
        <v>1</v>
      </c>
      <c r="BO1378">
        <v>1</v>
      </c>
      <c r="BP1378" t="s">
        <v>80</v>
      </c>
      <c r="BR1378">
        <v>0</v>
      </c>
      <c r="BS1378">
        <v>6</v>
      </c>
      <c r="BU1378">
        <v>50000</v>
      </c>
    </row>
    <row r="1379" spans="1:73" x14ac:dyDescent="0.3">
      <c r="A1379" t="s">
        <v>1568</v>
      </c>
      <c r="B1379">
        <v>8</v>
      </c>
      <c r="C1379">
        <v>1520301</v>
      </c>
      <c r="D1379">
        <v>9</v>
      </c>
      <c r="E1379">
        <v>4264381</v>
      </c>
      <c r="F1379">
        <v>0</v>
      </c>
      <c r="G1379">
        <v>0</v>
      </c>
      <c r="H1379">
        <v>8</v>
      </c>
      <c r="I1379">
        <v>194834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26</v>
      </c>
      <c r="BC1379" s="1">
        <v>10049063</v>
      </c>
      <c r="BD1379" t="s">
        <v>94</v>
      </c>
      <c r="BE1379" t="s">
        <v>1569</v>
      </c>
      <c r="BF1379" t="s">
        <v>664</v>
      </c>
      <c r="BH1379" t="s">
        <v>123</v>
      </c>
      <c r="BI1379" t="s">
        <v>124</v>
      </c>
      <c r="BJ1379" t="s">
        <v>125</v>
      </c>
      <c r="BM1379">
        <v>0</v>
      </c>
      <c r="BN1379">
        <v>3</v>
      </c>
      <c r="BO1379">
        <v>3</v>
      </c>
      <c r="BP1379" t="s">
        <v>80</v>
      </c>
      <c r="BR1379">
        <v>0</v>
      </c>
      <c r="BS1379">
        <v>5</v>
      </c>
      <c r="BU1379">
        <v>5979516</v>
      </c>
    </row>
    <row r="1380" spans="1:73" x14ac:dyDescent="0.3">
      <c r="A1380" t="s">
        <v>1575</v>
      </c>
      <c r="B1380">
        <v>0</v>
      </c>
      <c r="C1380">
        <v>0</v>
      </c>
      <c r="D1380">
        <v>6</v>
      </c>
      <c r="E1380">
        <v>2988206</v>
      </c>
      <c r="F1380">
        <v>0</v>
      </c>
      <c r="G1380">
        <v>0</v>
      </c>
      <c r="H1380">
        <v>9</v>
      </c>
      <c r="I1380">
        <v>316412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13</v>
      </c>
      <c r="BC1380" s="1">
        <v>5264983</v>
      </c>
      <c r="BD1380" t="s">
        <v>94</v>
      </c>
      <c r="BE1380" t="s">
        <v>1576</v>
      </c>
      <c r="BF1380" t="s">
        <v>1577</v>
      </c>
      <c r="BH1380" t="s">
        <v>97</v>
      </c>
      <c r="BI1380" t="s">
        <v>98</v>
      </c>
      <c r="BJ1380" t="s">
        <v>79</v>
      </c>
      <c r="BM1380">
        <v>0</v>
      </c>
      <c r="BN1380">
        <v>2</v>
      </c>
      <c r="BO1380">
        <v>2</v>
      </c>
      <c r="BP1380" t="s">
        <v>80</v>
      </c>
      <c r="BR1380">
        <v>0</v>
      </c>
      <c r="BS1380">
        <v>6</v>
      </c>
      <c r="BU1380">
        <v>3304618</v>
      </c>
    </row>
    <row r="1381" spans="1:73" x14ac:dyDescent="0.3">
      <c r="A1381" t="s">
        <v>1581</v>
      </c>
      <c r="B1381">
        <v>0</v>
      </c>
      <c r="C1381">
        <v>0</v>
      </c>
      <c r="D1381">
        <v>3</v>
      </c>
      <c r="E1381">
        <v>184000</v>
      </c>
      <c r="F1381">
        <v>0</v>
      </c>
      <c r="G1381">
        <v>0</v>
      </c>
      <c r="H1381">
        <v>4</v>
      </c>
      <c r="I1381">
        <v>80000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5</v>
      </c>
      <c r="BC1381" s="1">
        <v>224000</v>
      </c>
      <c r="BD1381" t="s">
        <v>94</v>
      </c>
      <c r="BE1381" t="s">
        <v>1582</v>
      </c>
      <c r="BF1381" t="s">
        <v>1583</v>
      </c>
      <c r="BH1381" t="s">
        <v>123</v>
      </c>
      <c r="BI1381" t="s">
        <v>124</v>
      </c>
      <c r="BJ1381" t="s">
        <v>125</v>
      </c>
      <c r="BM1381">
        <v>0</v>
      </c>
      <c r="BN1381">
        <v>2</v>
      </c>
      <c r="BO1381">
        <v>2</v>
      </c>
      <c r="BP1381" t="s">
        <v>80</v>
      </c>
      <c r="BR1381">
        <v>0</v>
      </c>
      <c r="BS1381">
        <v>6</v>
      </c>
      <c r="BU1381">
        <v>264000</v>
      </c>
    </row>
    <row r="1382" spans="1:73" x14ac:dyDescent="0.3">
      <c r="A1382" t="s">
        <v>1590</v>
      </c>
      <c r="B1382">
        <v>0</v>
      </c>
      <c r="C1382">
        <v>107273</v>
      </c>
      <c r="D1382">
        <v>1</v>
      </c>
      <c r="E1382">
        <v>163636</v>
      </c>
      <c r="F1382">
        <v>0</v>
      </c>
      <c r="G1382">
        <v>0</v>
      </c>
      <c r="H1382">
        <v>2</v>
      </c>
      <c r="I1382">
        <v>50000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3</v>
      </c>
      <c r="BC1382" s="1">
        <v>320909</v>
      </c>
      <c r="BD1382" t="s">
        <v>94</v>
      </c>
      <c r="BE1382" t="s">
        <v>1591</v>
      </c>
      <c r="BF1382" t="s">
        <v>1357</v>
      </c>
      <c r="BH1382" t="s">
        <v>97</v>
      </c>
      <c r="BI1382" t="s">
        <v>98</v>
      </c>
      <c r="BJ1382" t="s">
        <v>79</v>
      </c>
      <c r="BM1382">
        <v>0</v>
      </c>
      <c r="BN1382">
        <v>2</v>
      </c>
      <c r="BO1382">
        <v>2</v>
      </c>
      <c r="BP1382" t="s">
        <v>514</v>
      </c>
      <c r="BR1382">
        <v>0</v>
      </c>
      <c r="BS1382">
        <v>6</v>
      </c>
      <c r="BU1382">
        <v>320909</v>
      </c>
    </row>
    <row r="1383" spans="1:73" x14ac:dyDescent="0.3">
      <c r="A1383" t="s">
        <v>1592</v>
      </c>
      <c r="B1383">
        <v>0</v>
      </c>
      <c r="C1383">
        <v>705460</v>
      </c>
      <c r="D1383">
        <v>2</v>
      </c>
      <c r="E1383">
        <v>183634</v>
      </c>
      <c r="F1383">
        <v>0</v>
      </c>
      <c r="G1383">
        <v>0</v>
      </c>
      <c r="H1383">
        <v>2</v>
      </c>
      <c r="I1383">
        <v>40000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60000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7</v>
      </c>
      <c r="BC1383" s="1">
        <v>1196895</v>
      </c>
      <c r="BD1383" t="s">
        <v>94</v>
      </c>
      <c r="BE1383" t="s">
        <v>1593</v>
      </c>
      <c r="BF1383" t="s">
        <v>1594</v>
      </c>
      <c r="BH1383" t="s">
        <v>97</v>
      </c>
      <c r="BI1383" t="s">
        <v>119</v>
      </c>
      <c r="BJ1383" t="s">
        <v>79</v>
      </c>
      <c r="BM1383">
        <v>0</v>
      </c>
      <c r="BN1383">
        <v>3</v>
      </c>
      <c r="BO1383">
        <v>3</v>
      </c>
      <c r="BP1383" t="s">
        <v>514</v>
      </c>
      <c r="BR1383">
        <v>0</v>
      </c>
      <c r="BS1383">
        <v>6</v>
      </c>
      <c r="BU1383">
        <v>989094</v>
      </c>
    </row>
    <row r="1384" spans="1:73" x14ac:dyDescent="0.3">
      <c r="A1384" t="s">
        <v>1595</v>
      </c>
      <c r="B1384">
        <v>0</v>
      </c>
      <c r="C1384">
        <v>0</v>
      </c>
      <c r="D1384">
        <v>1</v>
      </c>
      <c r="E1384">
        <v>500000</v>
      </c>
      <c r="F1384">
        <v>0</v>
      </c>
      <c r="G1384">
        <v>0</v>
      </c>
      <c r="H1384">
        <v>3</v>
      </c>
      <c r="I1384">
        <v>65000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5</v>
      </c>
      <c r="BC1384" s="1">
        <v>1065000</v>
      </c>
      <c r="BD1384" t="s">
        <v>94</v>
      </c>
      <c r="BE1384" t="s">
        <v>1596</v>
      </c>
      <c r="BF1384" t="s">
        <v>1597</v>
      </c>
      <c r="BH1384" t="s">
        <v>97</v>
      </c>
      <c r="BI1384" t="s">
        <v>98</v>
      </c>
      <c r="BJ1384" t="s">
        <v>79</v>
      </c>
      <c r="BM1384">
        <v>0</v>
      </c>
      <c r="BN1384">
        <v>2</v>
      </c>
      <c r="BO1384">
        <v>2</v>
      </c>
      <c r="BP1384" t="s">
        <v>514</v>
      </c>
      <c r="BR1384">
        <v>0</v>
      </c>
      <c r="BS1384">
        <v>6</v>
      </c>
      <c r="BU1384">
        <v>565000</v>
      </c>
    </row>
    <row r="1385" spans="1:73" x14ac:dyDescent="0.3">
      <c r="A1385" t="s">
        <v>1598</v>
      </c>
      <c r="B1385">
        <v>0</v>
      </c>
      <c r="C1385">
        <v>0</v>
      </c>
      <c r="D1385">
        <v>2</v>
      </c>
      <c r="E1385">
        <v>380000</v>
      </c>
      <c r="F1385">
        <v>0</v>
      </c>
      <c r="G1385">
        <v>0</v>
      </c>
      <c r="H1385">
        <v>5</v>
      </c>
      <c r="I1385">
        <v>100813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7</v>
      </c>
      <c r="BC1385" s="1">
        <v>480813</v>
      </c>
      <c r="BD1385" t="s">
        <v>94</v>
      </c>
      <c r="BE1385" t="s">
        <v>1599</v>
      </c>
      <c r="BF1385" t="s">
        <v>1600</v>
      </c>
      <c r="BH1385" t="s">
        <v>97</v>
      </c>
      <c r="BI1385" t="s">
        <v>208</v>
      </c>
      <c r="BJ1385" t="s">
        <v>79</v>
      </c>
      <c r="BM1385">
        <v>0</v>
      </c>
      <c r="BN1385">
        <v>2</v>
      </c>
      <c r="BO1385">
        <v>2</v>
      </c>
      <c r="BP1385" t="s">
        <v>514</v>
      </c>
      <c r="BR1385">
        <v>0</v>
      </c>
      <c r="BS1385">
        <v>6</v>
      </c>
      <c r="BU1385">
        <v>480813</v>
      </c>
    </row>
    <row r="1386" spans="1:73" x14ac:dyDescent="0.3">
      <c r="A1386" t="s">
        <v>1601</v>
      </c>
      <c r="B1386">
        <v>0</v>
      </c>
      <c r="C1386">
        <v>0</v>
      </c>
      <c r="D1386">
        <v>1</v>
      </c>
      <c r="E1386">
        <v>150000</v>
      </c>
      <c r="F1386">
        <v>0</v>
      </c>
      <c r="G1386">
        <v>0</v>
      </c>
      <c r="H1386">
        <v>1</v>
      </c>
      <c r="I1386">
        <v>20668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2</v>
      </c>
      <c r="BC1386" s="1">
        <v>170668</v>
      </c>
      <c r="BD1386" t="s">
        <v>94</v>
      </c>
      <c r="BE1386" t="s">
        <v>1602</v>
      </c>
      <c r="BF1386" t="s">
        <v>1603</v>
      </c>
      <c r="BH1386" t="s">
        <v>97</v>
      </c>
      <c r="BI1386" t="s">
        <v>208</v>
      </c>
      <c r="BJ1386" t="s">
        <v>79</v>
      </c>
      <c r="BM1386">
        <v>0</v>
      </c>
      <c r="BN1386">
        <v>2</v>
      </c>
      <c r="BO1386">
        <v>2</v>
      </c>
      <c r="BP1386" t="s">
        <v>514</v>
      </c>
      <c r="BR1386">
        <v>0</v>
      </c>
      <c r="BS1386">
        <v>6</v>
      </c>
      <c r="BU1386">
        <v>170668</v>
      </c>
    </row>
    <row r="1387" spans="1:73" x14ac:dyDescent="0.3">
      <c r="A1387" t="s">
        <v>1604</v>
      </c>
      <c r="B1387">
        <v>0</v>
      </c>
      <c r="C1387">
        <v>0</v>
      </c>
      <c r="D1387">
        <v>13</v>
      </c>
      <c r="E1387">
        <v>1020231</v>
      </c>
      <c r="F1387">
        <v>0</v>
      </c>
      <c r="G1387">
        <v>0</v>
      </c>
      <c r="H1387">
        <v>21</v>
      </c>
      <c r="I1387">
        <v>1016330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27</v>
      </c>
      <c r="BC1387" s="1">
        <v>1882330</v>
      </c>
      <c r="BD1387" t="s">
        <v>94</v>
      </c>
      <c r="BE1387" t="s">
        <v>1605</v>
      </c>
      <c r="BF1387" t="s">
        <v>1606</v>
      </c>
      <c r="BG1387" t="s">
        <v>1607</v>
      </c>
      <c r="BH1387" t="s">
        <v>97</v>
      </c>
      <c r="BI1387" t="s">
        <v>98</v>
      </c>
      <c r="BJ1387" t="s">
        <v>79</v>
      </c>
      <c r="BM1387">
        <v>0</v>
      </c>
      <c r="BN1387">
        <v>2</v>
      </c>
      <c r="BO1387">
        <v>2</v>
      </c>
      <c r="BP1387" t="s">
        <v>514</v>
      </c>
      <c r="BR1387">
        <v>0</v>
      </c>
      <c r="BS1387">
        <v>6</v>
      </c>
      <c r="BU1387">
        <v>2036561</v>
      </c>
    </row>
    <row r="1388" spans="1:73" x14ac:dyDescent="0.3">
      <c r="A1388" t="s">
        <v>1611</v>
      </c>
      <c r="B1388">
        <v>0</v>
      </c>
      <c r="C1388">
        <v>0</v>
      </c>
      <c r="D1388">
        <v>11</v>
      </c>
      <c r="E1388">
        <v>5328012</v>
      </c>
      <c r="F1388">
        <v>0</v>
      </c>
      <c r="G1388">
        <v>0</v>
      </c>
      <c r="H1388">
        <v>14</v>
      </c>
      <c r="I1388">
        <v>296024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22</v>
      </c>
      <c r="BC1388" s="1">
        <v>10656024</v>
      </c>
      <c r="BD1388" t="s">
        <v>94</v>
      </c>
      <c r="BE1388" t="s">
        <v>1612</v>
      </c>
      <c r="BF1388" t="s">
        <v>1613</v>
      </c>
      <c r="BH1388" t="s">
        <v>97</v>
      </c>
      <c r="BI1388" t="s">
        <v>119</v>
      </c>
      <c r="BJ1388" t="s">
        <v>79</v>
      </c>
      <c r="BM1388">
        <v>0</v>
      </c>
      <c r="BN1388">
        <v>2</v>
      </c>
      <c r="BO1388">
        <v>2</v>
      </c>
      <c r="BP1388" t="s">
        <v>80</v>
      </c>
      <c r="BR1388">
        <v>0</v>
      </c>
      <c r="BS1388">
        <v>5</v>
      </c>
      <c r="BU1388">
        <v>5624036</v>
      </c>
    </row>
    <row r="1389" spans="1:73" x14ac:dyDescent="0.3">
      <c r="A1389" t="s">
        <v>1617</v>
      </c>
      <c r="B1389">
        <v>0</v>
      </c>
      <c r="C1389">
        <v>0</v>
      </c>
      <c r="D1389">
        <v>10</v>
      </c>
      <c r="E1389">
        <v>1629383</v>
      </c>
      <c r="F1389">
        <v>0</v>
      </c>
      <c r="G1389">
        <v>0</v>
      </c>
      <c r="H1389">
        <v>16</v>
      </c>
      <c r="I1389">
        <v>378766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20</v>
      </c>
      <c r="BC1389" s="1">
        <v>3258766</v>
      </c>
      <c r="BD1389" t="s">
        <v>94</v>
      </c>
      <c r="BE1389" t="s">
        <v>1618</v>
      </c>
      <c r="BF1389" t="s">
        <v>448</v>
      </c>
      <c r="BH1389" t="s">
        <v>97</v>
      </c>
      <c r="BI1389" t="s">
        <v>119</v>
      </c>
      <c r="BJ1389" t="s">
        <v>79</v>
      </c>
      <c r="BM1389">
        <v>0</v>
      </c>
      <c r="BN1389">
        <v>2</v>
      </c>
      <c r="BO1389">
        <v>2</v>
      </c>
      <c r="BP1389" t="s">
        <v>80</v>
      </c>
      <c r="BR1389">
        <v>0</v>
      </c>
      <c r="BS1389">
        <v>6</v>
      </c>
      <c r="BU1389">
        <v>2008149</v>
      </c>
    </row>
    <row r="1390" spans="1:73" x14ac:dyDescent="0.3">
      <c r="A1390" t="s">
        <v>1628</v>
      </c>
      <c r="B1390">
        <v>0</v>
      </c>
      <c r="C1390">
        <v>0</v>
      </c>
      <c r="D1390">
        <v>5</v>
      </c>
      <c r="E1390">
        <v>1719096</v>
      </c>
      <c r="F1390">
        <v>0</v>
      </c>
      <c r="G1390">
        <v>0</v>
      </c>
      <c r="H1390">
        <v>8</v>
      </c>
      <c r="I1390">
        <v>238192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10</v>
      </c>
      <c r="BC1390" s="1">
        <v>3438192</v>
      </c>
      <c r="BD1390" t="s">
        <v>94</v>
      </c>
      <c r="BE1390" t="s">
        <v>1629</v>
      </c>
      <c r="BF1390" t="s">
        <v>1630</v>
      </c>
      <c r="BH1390" t="s">
        <v>97</v>
      </c>
      <c r="BI1390" t="s">
        <v>119</v>
      </c>
      <c r="BJ1390" t="s">
        <v>79</v>
      </c>
      <c r="BM1390">
        <v>0</v>
      </c>
      <c r="BN1390">
        <v>2</v>
      </c>
      <c r="BO1390">
        <v>2</v>
      </c>
      <c r="BP1390" t="s">
        <v>80</v>
      </c>
      <c r="BR1390">
        <v>0</v>
      </c>
      <c r="BS1390">
        <v>6</v>
      </c>
      <c r="BU1390">
        <v>1957288</v>
      </c>
    </row>
    <row r="1391" spans="1:73" x14ac:dyDescent="0.3">
      <c r="A1391" t="s">
        <v>1631</v>
      </c>
      <c r="B1391">
        <v>0</v>
      </c>
      <c r="C1391">
        <v>0</v>
      </c>
      <c r="D1391">
        <v>5</v>
      </c>
      <c r="E1391">
        <v>1730000</v>
      </c>
      <c r="F1391">
        <v>0</v>
      </c>
      <c r="G1391">
        <v>0</v>
      </c>
      <c r="H1391">
        <v>8</v>
      </c>
      <c r="I1391">
        <v>160000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12</v>
      </c>
      <c r="BC1391" s="1">
        <v>3500000</v>
      </c>
      <c r="BD1391" t="s">
        <v>94</v>
      </c>
      <c r="BE1391" t="s">
        <v>1632</v>
      </c>
      <c r="BF1391" t="s">
        <v>813</v>
      </c>
      <c r="BH1391" t="s">
        <v>97</v>
      </c>
      <c r="BI1391" t="s">
        <v>103</v>
      </c>
      <c r="BJ1391" t="s">
        <v>79</v>
      </c>
      <c r="BM1391">
        <v>0</v>
      </c>
      <c r="BN1391">
        <v>2</v>
      </c>
      <c r="BO1391">
        <v>2</v>
      </c>
      <c r="BP1391" t="s">
        <v>80</v>
      </c>
      <c r="BR1391">
        <v>0</v>
      </c>
      <c r="BS1391">
        <v>6</v>
      </c>
      <c r="BU1391">
        <v>1890000</v>
      </c>
    </row>
    <row r="1392" spans="1:73" x14ac:dyDescent="0.3">
      <c r="A1392" t="s">
        <v>1633</v>
      </c>
      <c r="B1392">
        <v>2</v>
      </c>
      <c r="C1392">
        <v>351388</v>
      </c>
      <c r="D1392">
        <v>1</v>
      </c>
      <c r="E1392">
        <v>516364</v>
      </c>
      <c r="F1392">
        <v>0</v>
      </c>
      <c r="G1392">
        <v>0</v>
      </c>
      <c r="H1392">
        <v>1</v>
      </c>
      <c r="I1392">
        <v>23344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36111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5</v>
      </c>
      <c r="BC1392" s="1">
        <v>927207</v>
      </c>
      <c r="BD1392" t="s">
        <v>94</v>
      </c>
      <c r="BE1392" t="s">
        <v>1634</v>
      </c>
      <c r="BF1392" t="s">
        <v>1635</v>
      </c>
      <c r="BH1392" t="s">
        <v>97</v>
      </c>
      <c r="BI1392" t="s">
        <v>98</v>
      </c>
      <c r="BJ1392" t="s">
        <v>79</v>
      </c>
      <c r="BM1392">
        <v>1</v>
      </c>
      <c r="BN1392">
        <v>3</v>
      </c>
      <c r="BO1392">
        <v>4</v>
      </c>
      <c r="BP1392" t="s">
        <v>80</v>
      </c>
      <c r="BR1392">
        <v>0</v>
      </c>
      <c r="BS1392">
        <v>6</v>
      </c>
      <c r="BU1392">
        <v>927207</v>
      </c>
    </row>
    <row r="1393" spans="1:73" x14ac:dyDescent="0.3">
      <c r="A1393" t="s">
        <v>1636</v>
      </c>
      <c r="B1393">
        <v>1</v>
      </c>
      <c r="C1393">
        <v>203968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1</v>
      </c>
      <c r="BC1393" s="1">
        <v>203968</v>
      </c>
      <c r="BD1393" t="s">
        <v>94</v>
      </c>
      <c r="BE1393" t="s">
        <v>1637</v>
      </c>
      <c r="BF1393" t="s">
        <v>1638</v>
      </c>
      <c r="BH1393" t="s">
        <v>77</v>
      </c>
      <c r="BI1393" t="s">
        <v>593</v>
      </c>
      <c r="BJ1393" t="s">
        <v>79</v>
      </c>
      <c r="BM1393">
        <v>0</v>
      </c>
      <c r="BN1393">
        <v>1</v>
      </c>
      <c r="BO1393">
        <v>1</v>
      </c>
      <c r="BP1393" t="s">
        <v>80</v>
      </c>
      <c r="BR1393">
        <v>0</v>
      </c>
      <c r="BS1393">
        <v>6</v>
      </c>
      <c r="BU1393">
        <v>203968</v>
      </c>
    </row>
    <row r="1394" spans="1:73" x14ac:dyDescent="0.3">
      <c r="A1394" t="s">
        <v>1639</v>
      </c>
      <c r="B1394">
        <v>0</v>
      </c>
      <c r="C1394">
        <v>0</v>
      </c>
      <c r="D1394">
        <v>14</v>
      </c>
      <c r="E1394">
        <v>8944411</v>
      </c>
      <c r="F1394">
        <v>0</v>
      </c>
      <c r="G1394">
        <v>0</v>
      </c>
      <c r="H1394">
        <v>25</v>
      </c>
      <c r="I1394">
        <v>628822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30</v>
      </c>
      <c r="BC1394" s="1">
        <v>20651679</v>
      </c>
      <c r="BD1394" t="s">
        <v>94</v>
      </c>
      <c r="BE1394" t="s">
        <v>1640</v>
      </c>
      <c r="BF1394" t="s">
        <v>1641</v>
      </c>
      <c r="BH1394" t="s">
        <v>97</v>
      </c>
      <c r="BI1394" t="s">
        <v>119</v>
      </c>
      <c r="BJ1394" t="s">
        <v>79</v>
      </c>
      <c r="BM1394">
        <v>0</v>
      </c>
      <c r="BN1394">
        <v>2</v>
      </c>
      <c r="BO1394">
        <v>2</v>
      </c>
      <c r="BP1394" t="s">
        <v>80</v>
      </c>
      <c r="BR1394">
        <v>0</v>
      </c>
      <c r="BS1394">
        <v>4</v>
      </c>
      <c r="BU1394">
        <v>9573233</v>
      </c>
    </row>
    <row r="1395" spans="1:73" x14ac:dyDescent="0.3">
      <c r="A1395" t="s">
        <v>1642</v>
      </c>
      <c r="B1395">
        <v>0</v>
      </c>
      <c r="C1395">
        <v>0</v>
      </c>
      <c r="D1395">
        <v>16</v>
      </c>
      <c r="E1395">
        <v>7545434</v>
      </c>
      <c r="F1395">
        <v>0</v>
      </c>
      <c r="G1395">
        <v>0</v>
      </c>
      <c r="H1395">
        <v>28</v>
      </c>
      <c r="I1395">
        <v>1050868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32</v>
      </c>
      <c r="BC1395" s="1">
        <v>15090868</v>
      </c>
      <c r="BD1395" t="s">
        <v>94</v>
      </c>
      <c r="BE1395" t="s">
        <v>1643</v>
      </c>
      <c r="BF1395" t="s">
        <v>1644</v>
      </c>
      <c r="BH1395" t="s">
        <v>97</v>
      </c>
      <c r="BI1395" t="s">
        <v>265</v>
      </c>
      <c r="BJ1395" t="s">
        <v>79</v>
      </c>
      <c r="BM1395">
        <v>0</v>
      </c>
      <c r="BN1395">
        <v>2</v>
      </c>
      <c r="BO1395">
        <v>2</v>
      </c>
      <c r="BP1395" t="s">
        <v>80</v>
      </c>
      <c r="BR1395">
        <v>0</v>
      </c>
      <c r="BS1395">
        <v>5</v>
      </c>
      <c r="BU1395">
        <v>8596302</v>
      </c>
    </row>
    <row r="1396" spans="1:73" x14ac:dyDescent="0.3">
      <c r="A1396" t="s">
        <v>1648</v>
      </c>
      <c r="B1396">
        <v>0</v>
      </c>
      <c r="C1396">
        <v>0</v>
      </c>
      <c r="D1396">
        <v>4</v>
      </c>
      <c r="E1396">
        <v>80000</v>
      </c>
      <c r="F1396">
        <v>0</v>
      </c>
      <c r="G1396">
        <v>0</v>
      </c>
      <c r="H1396">
        <v>8</v>
      </c>
      <c r="I1396">
        <v>160000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10</v>
      </c>
      <c r="BC1396" s="1">
        <v>538858</v>
      </c>
      <c r="BD1396" t="s">
        <v>94</v>
      </c>
      <c r="BE1396" t="s">
        <v>1649</v>
      </c>
      <c r="BF1396" t="s">
        <v>1650</v>
      </c>
      <c r="BH1396" t="s">
        <v>97</v>
      </c>
      <c r="BI1396" t="s">
        <v>119</v>
      </c>
      <c r="BJ1396" t="s">
        <v>79</v>
      </c>
      <c r="BM1396">
        <v>0</v>
      </c>
      <c r="BN1396">
        <v>2</v>
      </c>
      <c r="BO1396">
        <v>2</v>
      </c>
      <c r="BP1396" t="s">
        <v>80</v>
      </c>
      <c r="BR1396">
        <v>0</v>
      </c>
      <c r="BS1396">
        <v>6</v>
      </c>
      <c r="BU1396">
        <v>240000</v>
      </c>
    </row>
    <row r="1397" spans="1:73" x14ac:dyDescent="0.3">
      <c r="A1397" t="s">
        <v>1651</v>
      </c>
      <c r="B1397">
        <v>0</v>
      </c>
      <c r="C1397">
        <v>0</v>
      </c>
      <c r="D1397">
        <v>7</v>
      </c>
      <c r="E1397">
        <v>1150000</v>
      </c>
      <c r="F1397">
        <v>0</v>
      </c>
      <c r="G1397">
        <v>0</v>
      </c>
      <c r="H1397">
        <v>12</v>
      </c>
      <c r="I1397">
        <v>240000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16</v>
      </c>
      <c r="BC1397" s="1">
        <v>2340000</v>
      </c>
      <c r="BD1397" t="s">
        <v>94</v>
      </c>
      <c r="BE1397" t="s">
        <v>1652</v>
      </c>
      <c r="BF1397" t="s">
        <v>451</v>
      </c>
      <c r="BH1397" t="s">
        <v>97</v>
      </c>
      <c r="BI1397" t="s">
        <v>208</v>
      </c>
      <c r="BJ1397" t="s">
        <v>79</v>
      </c>
      <c r="BM1397">
        <v>0</v>
      </c>
      <c r="BN1397">
        <v>2</v>
      </c>
      <c r="BO1397">
        <v>2</v>
      </c>
      <c r="BP1397" t="s">
        <v>80</v>
      </c>
      <c r="BR1397">
        <v>0</v>
      </c>
      <c r="BS1397">
        <v>6</v>
      </c>
      <c r="BU1397">
        <v>1390000</v>
      </c>
    </row>
    <row r="1398" spans="1:73" x14ac:dyDescent="0.3">
      <c r="A1398" t="s">
        <v>1664</v>
      </c>
      <c r="B1398">
        <v>0</v>
      </c>
      <c r="C1398">
        <v>0</v>
      </c>
      <c r="D1398">
        <v>7</v>
      </c>
      <c r="E1398">
        <v>1724000</v>
      </c>
      <c r="F1398">
        <v>0</v>
      </c>
      <c r="G1398">
        <v>0</v>
      </c>
      <c r="H1398">
        <v>10</v>
      </c>
      <c r="I1398">
        <v>200000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14</v>
      </c>
      <c r="BC1398" s="1">
        <v>3448000</v>
      </c>
      <c r="BD1398" t="s">
        <v>94</v>
      </c>
      <c r="BE1398" t="s">
        <v>1665</v>
      </c>
      <c r="BF1398" t="s">
        <v>726</v>
      </c>
      <c r="BH1398" t="s">
        <v>97</v>
      </c>
      <c r="BI1398" t="s">
        <v>98</v>
      </c>
      <c r="BJ1398" t="s">
        <v>79</v>
      </c>
      <c r="BM1398">
        <v>0</v>
      </c>
      <c r="BN1398">
        <v>2</v>
      </c>
      <c r="BO1398">
        <v>2</v>
      </c>
      <c r="BP1398" t="s">
        <v>80</v>
      </c>
      <c r="BR1398">
        <v>0</v>
      </c>
      <c r="BS1398">
        <v>6</v>
      </c>
      <c r="BU1398">
        <v>1924000</v>
      </c>
    </row>
    <row r="1399" spans="1:73" x14ac:dyDescent="0.3">
      <c r="A1399" t="s">
        <v>1666</v>
      </c>
      <c r="B1399">
        <v>0</v>
      </c>
      <c r="C1399">
        <v>0</v>
      </c>
      <c r="D1399">
        <v>9</v>
      </c>
      <c r="E1399">
        <v>425576</v>
      </c>
      <c r="F1399">
        <v>0</v>
      </c>
      <c r="G1399">
        <v>0</v>
      </c>
      <c r="H1399">
        <v>14</v>
      </c>
      <c r="I1399">
        <v>399334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8334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19</v>
      </c>
      <c r="BC1399" s="1">
        <v>859486</v>
      </c>
      <c r="BD1399" t="s">
        <v>94</v>
      </c>
      <c r="BE1399" t="s">
        <v>1667</v>
      </c>
      <c r="BF1399" t="s">
        <v>1668</v>
      </c>
      <c r="BH1399" t="s">
        <v>97</v>
      </c>
      <c r="BI1399" t="s">
        <v>98</v>
      </c>
      <c r="BJ1399" t="s">
        <v>79</v>
      </c>
      <c r="BM1399">
        <v>1</v>
      </c>
      <c r="BN1399">
        <v>2</v>
      </c>
      <c r="BO1399">
        <v>3</v>
      </c>
      <c r="BP1399" t="s">
        <v>80</v>
      </c>
      <c r="BR1399">
        <v>0</v>
      </c>
      <c r="BS1399">
        <v>6</v>
      </c>
      <c r="BU1399">
        <v>833244</v>
      </c>
    </row>
    <row r="1400" spans="1:73" x14ac:dyDescent="0.3">
      <c r="A1400" t="s">
        <v>1671</v>
      </c>
      <c r="B1400">
        <v>36</v>
      </c>
      <c r="C1400">
        <v>2945456</v>
      </c>
      <c r="D1400">
        <v>8</v>
      </c>
      <c r="E1400">
        <v>6788824</v>
      </c>
      <c r="F1400">
        <v>0</v>
      </c>
      <c r="G1400">
        <v>0</v>
      </c>
      <c r="H1400">
        <v>8</v>
      </c>
      <c r="I1400">
        <v>178292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78585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47916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54</v>
      </c>
      <c r="BC1400" s="1">
        <v>14728190</v>
      </c>
      <c r="BD1400" t="s">
        <v>94</v>
      </c>
      <c r="BE1400" t="s">
        <v>1672</v>
      </c>
      <c r="BF1400" t="s">
        <v>649</v>
      </c>
      <c r="BH1400" t="s">
        <v>123</v>
      </c>
      <c r="BI1400" t="s">
        <v>325</v>
      </c>
      <c r="BJ1400" t="s">
        <v>125</v>
      </c>
      <c r="BM1400">
        <v>2</v>
      </c>
      <c r="BN1400">
        <v>3</v>
      </c>
      <c r="BO1400">
        <v>5</v>
      </c>
      <c r="BP1400" t="s">
        <v>80</v>
      </c>
      <c r="BR1400">
        <v>0</v>
      </c>
      <c r="BS1400">
        <v>5</v>
      </c>
      <c r="BU1400">
        <v>10039073</v>
      </c>
    </row>
    <row r="1401" spans="1:73" x14ac:dyDescent="0.3">
      <c r="A1401" t="s">
        <v>1684</v>
      </c>
      <c r="B1401">
        <v>0</v>
      </c>
      <c r="C1401">
        <v>0</v>
      </c>
      <c r="D1401">
        <v>1</v>
      </c>
      <c r="E1401">
        <v>163636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2</v>
      </c>
      <c r="BC1401" s="1">
        <v>327272</v>
      </c>
      <c r="BD1401" t="s">
        <v>94</v>
      </c>
      <c r="BE1401" t="s">
        <v>1685</v>
      </c>
      <c r="BF1401" t="s">
        <v>1686</v>
      </c>
      <c r="BH1401" t="s">
        <v>97</v>
      </c>
      <c r="BI1401" t="s">
        <v>208</v>
      </c>
      <c r="BJ1401" t="s">
        <v>79</v>
      </c>
      <c r="BM1401">
        <v>0</v>
      </c>
      <c r="BN1401">
        <v>1</v>
      </c>
      <c r="BO1401">
        <v>1</v>
      </c>
      <c r="BP1401" t="s">
        <v>80</v>
      </c>
      <c r="BR1401">
        <v>0</v>
      </c>
      <c r="BS1401">
        <v>6</v>
      </c>
      <c r="BU1401">
        <v>163636</v>
      </c>
    </row>
    <row r="1402" spans="1:73" x14ac:dyDescent="0.3">
      <c r="A1402" t="s">
        <v>1690</v>
      </c>
      <c r="B1402">
        <v>0</v>
      </c>
      <c r="C1402">
        <v>0</v>
      </c>
      <c r="D1402">
        <v>21</v>
      </c>
      <c r="E1402">
        <v>3745431</v>
      </c>
      <c r="F1402">
        <v>0</v>
      </c>
      <c r="G1402">
        <v>0</v>
      </c>
      <c r="H1402">
        <v>40</v>
      </c>
      <c r="I1402">
        <v>1090862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73535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47</v>
      </c>
      <c r="BC1402" s="1">
        <v>9866503</v>
      </c>
      <c r="BD1402" t="s">
        <v>94</v>
      </c>
      <c r="BE1402" t="s">
        <v>1691</v>
      </c>
      <c r="BF1402" t="s">
        <v>1692</v>
      </c>
      <c r="BH1402" t="s">
        <v>97</v>
      </c>
      <c r="BI1402" t="s">
        <v>119</v>
      </c>
      <c r="BJ1402" t="s">
        <v>79</v>
      </c>
      <c r="BM1402">
        <v>1</v>
      </c>
      <c r="BN1402">
        <v>2</v>
      </c>
      <c r="BO1402">
        <v>3</v>
      </c>
      <c r="BP1402" t="s">
        <v>80</v>
      </c>
      <c r="BR1402">
        <v>0</v>
      </c>
      <c r="BS1402">
        <v>6</v>
      </c>
      <c r="BU1402">
        <v>4909828</v>
      </c>
    </row>
    <row r="1403" spans="1:73" x14ac:dyDescent="0.3">
      <c r="A1403" t="s">
        <v>1693</v>
      </c>
      <c r="B1403">
        <v>0</v>
      </c>
      <c r="C1403">
        <v>0</v>
      </c>
      <c r="D1403">
        <v>2</v>
      </c>
      <c r="E1403">
        <v>850000</v>
      </c>
      <c r="F1403">
        <v>0</v>
      </c>
      <c r="G1403">
        <v>0</v>
      </c>
      <c r="H1403">
        <v>1</v>
      </c>
      <c r="I1403">
        <v>20000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73535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5</v>
      </c>
      <c r="BC1403" s="1">
        <v>1017070</v>
      </c>
      <c r="BD1403" t="s">
        <v>94</v>
      </c>
      <c r="BE1403" t="s">
        <v>1694</v>
      </c>
      <c r="BF1403" t="s">
        <v>1695</v>
      </c>
      <c r="BH1403" t="s">
        <v>97</v>
      </c>
      <c r="BI1403" t="s">
        <v>98</v>
      </c>
      <c r="BJ1403" t="s">
        <v>79</v>
      </c>
      <c r="BM1403">
        <v>1</v>
      </c>
      <c r="BN1403">
        <v>2</v>
      </c>
      <c r="BO1403">
        <v>3</v>
      </c>
      <c r="BP1403" t="s">
        <v>80</v>
      </c>
      <c r="BR1403">
        <v>0</v>
      </c>
      <c r="BS1403">
        <v>6</v>
      </c>
      <c r="BU1403">
        <v>943535</v>
      </c>
    </row>
    <row r="1404" spans="1:73" x14ac:dyDescent="0.3">
      <c r="A1404" t="s">
        <v>1702</v>
      </c>
      <c r="B1404">
        <v>0</v>
      </c>
      <c r="C1404">
        <v>0</v>
      </c>
      <c r="D1404">
        <v>4</v>
      </c>
      <c r="E1404">
        <v>2363331</v>
      </c>
      <c r="F1404">
        <v>0</v>
      </c>
      <c r="G1404">
        <v>0</v>
      </c>
      <c r="H1404">
        <v>6</v>
      </c>
      <c r="I1404">
        <v>126662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73535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9</v>
      </c>
      <c r="BC1404" s="1">
        <v>4800197</v>
      </c>
      <c r="BD1404" t="s">
        <v>94</v>
      </c>
      <c r="BE1404" t="s">
        <v>1703</v>
      </c>
      <c r="BF1404" t="s">
        <v>781</v>
      </c>
      <c r="BH1404" t="s">
        <v>97</v>
      </c>
      <c r="BI1404" t="s">
        <v>208</v>
      </c>
      <c r="BJ1404" t="s">
        <v>79</v>
      </c>
      <c r="BM1404">
        <v>1</v>
      </c>
      <c r="BN1404">
        <v>2</v>
      </c>
      <c r="BO1404">
        <v>3</v>
      </c>
      <c r="BP1404" t="s">
        <v>80</v>
      </c>
      <c r="BR1404">
        <v>0</v>
      </c>
      <c r="BS1404">
        <v>6</v>
      </c>
      <c r="BU1404">
        <v>2563528</v>
      </c>
    </row>
    <row r="1405" spans="1:73" x14ac:dyDescent="0.3">
      <c r="A1405" t="s">
        <v>1704</v>
      </c>
      <c r="B1405">
        <v>0</v>
      </c>
      <c r="C1405">
        <v>0</v>
      </c>
      <c r="D1405">
        <v>1</v>
      </c>
      <c r="E1405">
        <v>536364</v>
      </c>
      <c r="F1405">
        <v>0</v>
      </c>
      <c r="G1405">
        <v>0</v>
      </c>
      <c r="H1405">
        <v>3</v>
      </c>
      <c r="I1405">
        <v>63796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73535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6</v>
      </c>
      <c r="BC1405" s="1">
        <v>747230</v>
      </c>
      <c r="BD1405" t="s">
        <v>94</v>
      </c>
      <c r="BE1405" t="s">
        <v>1705</v>
      </c>
      <c r="BF1405" t="s">
        <v>1706</v>
      </c>
      <c r="BH1405" t="s">
        <v>97</v>
      </c>
      <c r="BI1405" t="s">
        <v>265</v>
      </c>
      <c r="BJ1405" t="s">
        <v>79</v>
      </c>
      <c r="BM1405">
        <v>1</v>
      </c>
      <c r="BN1405">
        <v>2</v>
      </c>
      <c r="BO1405">
        <v>3</v>
      </c>
      <c r="BP1405" t="s">
        <v>80</v>
      </c>
      <c r="BR1405">
        <v>0</v>
      </c>
      <c r="BS1405">
        <v>6</v>
      </c>
      <c r="BU1405">
        <v>673695</v>
      </c>
    </row>
    <row r="1406" spans="1:73" x14ac:dyDescent="0.3">
      <c r="A1406" t="s">
        <v>1707</v>
      </c>
      <c r="B1406">
        <v>3</v>
      </c>
      <c r="C1406">
        <v>1926997</v>
      </c>
      <c r="D1406">
        <v>1</v>
      </c>
      <c r="E1406">
        <v>91500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36000</v>
      </c>
      <c r="R1406">
        <v>0</v>
      </c>
      <c r="S1406">
        <v>36364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9</v>
      </c>
      <c r="BC1406" s="1">
        <v>2277452</v>
      </c>
      <c r="BD1406" t="s">
        <v>94</v>
      </c>
      <c r="BE1406" t="s">
        <v>1708</v>
      </c>
      <c r="BF1406" t="s">
        <v>1709</v>
      </c>
      <c r="BH1406" t="s">
        <v>97</v>
      </c>
      <c r="BI1406" t="s">
        <v>242</v>
      </c>
      <c r="BJ1406" t="s">
        <v>79</v>
      </c>
      <c r="BM1406">
        <v>1</v>
      </c>
      <c r="BN1406">
        <v>3</v>
      </c>
      <c r="BO1406">
        <v>4</v>
      </c>
      <c r="BP1406" t="s">
        <v>80</v>
      </c>
      <c r="BR1406">
        <v>0</v>
      </c>
      <c r="BS1406">
        <v>6</v>
      </c>
      <c r="BU1406">
        <v>2090861</v>
      </c>
    </row>
    <row r="1407" spans="1:73" x14ac:dyDescent="0.3">
      <c r="A1407" t="s">
        <v>1710</v>
      </c>
      <c r="B1407">
        <v>0</v>
      </c>
      <c r="C1407">
        <v>1654546</v>
      </c>
      <c r="D1407">
        <v>4</v>
      </c>
      <c r="E1407">
        <v>230909</v>
      </c>
      <c r="F1407">
        <v>0</v>
      </c>
      <c r="G1407">
        <v>0</v>
      </c>
      <c r="H1407">
        <v>6</v>
      </c>
      <c r="I1407">
        <v>120000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8</v>
      </c>
      <c r="BC1407" s="1">
        <v>2116364</v>
      </c>
      <c r="BD1407" t="s">
        <v>94</v>
      </c>
      <c r="BE1407" t="s">
        <v>1711</v>
      </c>
      <c r="BF1407" t="s">
        <v>1712</v>
      </c>
      <c r="BH1407" t="s">
        <v>97</v>
      </c>
      <c r="BI1407" t="s">
        <v>119</v>
      </c>
      <c r="BJ1407" t="s">
        <v>79</v>
      </c>
      <c r="BM1407">
        <v>0</v>
      </c>
      <c r="BN1407">
        <v>2</v>
      </c>
      <c r="BO1407">
        <v>2</v>
      </c>
      <c r="BP1407" t="s">
        <v>80</v>
      </c>
      <c r="BR1407">
        <v>0</v>
      </c>
      <c r="BS1407">
        <v>6</v>
      </c>
      <c r="BU1407">
        <v>2005455</v>
      </c>
    </row>
    <row r="1408" spans="1:73" x14ac:dyDescent="0.3">
      <c r="A1408" t="s">
        <v>1713</v>
      </c>
      <c r="B1408">
        <v>0</v>
      </c>
      <c r="C1408">
        <v>0</v>
      </c>
      <c r="D1408">
        <v>6</v>
      </c>
      <c r="E1408">
        <v>1080000</v>
      </c>
      <c r="F1408">
        <v>0</v>
      </c>
      <c r="G1408">
        <v>0</v>
      </c>
      <c r="H1408">
        <v>6</v>
      </c>
      <c r="I1408">
        <v>120000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12</v>
      </c>
      <c r="BC1408" s="1">
        <v>2160000</v>
      </c>
      <c r="BD1408" t="s">
        <v>94</v>
      </c>
      <c r="BE1408" t="s">
        <v>1714</v>
      </c>
      <c r="BF1408" t="s">
        <v>1715</v>
      </c>
      <c r="BH1408" t="s">
        <v>97</v>
      </c>
      <c r="BI1408" t="s">
        <v>98</v>
      </c>
      <c r="BJ1408" t="s">
        <v>79</v>
      </c>
      <c r="BM1408">
        <v>0</v>
      </c>
      <c r="BN1408">
        <v>2</v>
      </c>
      <c r="BO1408">
        <v>2</v>
      </c>
      <c r="BP1408" t="s">
        <v>514</v>
      </c>
      <c r="BR1408">
        <v>0</v>
      </c>
      <c r="BS1408">
        <v>6</v>
      </c>
      <c r="BU1408">
        <v>1200000</v>
      </c>
    </row>
    <row r="1409" spans="1:73" x14ac:dyDescent="0.3">
      <c r="A1409" t="s">
        <v>1722</v>
      </c>
      <c r="B1409">
        <v>0</v>
      </c>
      <c r="C1409">
        <v>0</v>
      </c>
      <c r="D1409">
        <v>4</v>
      </c>
      <c r="E1409">
        <v>1680000</v>
      </c>
      <c r="F1409">
        <v>0</v>
      </c>
      <c r="G1409">
        <v>0</v>
      </c>
      <c r="H1409">
        <v>6</v>
      </c>
      <c r="I1409">
        <v>120000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8</v>
      </c>
      <c r="BC1409" s="1">
        <v>3360000</v>
      </c>
      <c r="BD1409" t="s">
        <v>94</v>
      </c>
      <c r="BE1409" t="s">
        <v>1723</v>
      </c>
      <c r="BF1409" t="s">
        <v>664</v>
      </c>
      <c r="BH1409" t="s">
        <v>97</v>
      </c>
      <c r="BI1409" t="s">
        <v>119</v>
      </c>
      <c r="BJ1409" t="s">
        <v>79</v>
      </c>
      <c r="BM1409">
        <v>0</v>
      </c>
      <c r="BN1409">
        <v>2</v>
      </c>
      <c r="BO1409">
        <v>2</v>
      </c>
      <c r="BP1409" t="s">
        <v>80</v>
      </c>
      <c r="BR1409">
        <v>0</v>
      </c>
      <c r="BS1409">
        <v>6</v>
      </c>
      <c r="BU1409">
        <v>1800000</v>
      </c>
    </row>
    <row r="1410" spans="1:73" x14ac:dyDescent="0.3">
      <c r="A1410" t="s">
        <v>1726</v>
      </c>
      <c r="B1410">
        <v>0</v>
      </c>
      <c r="C1410">
        <v>0</v>
      </c>
      <c r="D1410">
        <v>1</v>
      </c>
      <c r="E1410">
        <v>24000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2</v>
      </c>
      <c r="BC1410" s="1">
        <v>48000</v>
      </c>
      <c r="BD1410" t="s">
        <v>94</v>
      </c>
      <c r="BE1410" t="s">
        <v>1727</v>
      </c>
      <c r="BF1410" t="s">
        <v>1728</v>
      </c>
      <c r="BH1410" t="s">
        <v>97</v>
      </c>
      <c r="BI1410" t="s">
        <v>232</v>
      </c>
      <c r="BJ1410" t="s">
        <v>79</v>
      </c>
      <c r="BM1410">
        <v>0</v>
      </c>
      <c r="BN1410">
        <v>1</v>
      </c>
      <c r="BO1410">
        <v>1</v>
      </c>
      <c r="BP1410" t="s">
        <v>80</v>
      </c>
      <c r="BR1410">
        <v>0</v>
      </c>
      <c r="BS1410">
        <v>6</v>
      </c>
      <c r="BU1410">
        <v>24000</v>
      </c>
    </row>
    <row r="1411" spans="1:73" x14ac:dyDescent="0.3">
      <c r="A1411" t="s">
        <v>1733</v>
      </c>
      <c r="B1411">
        <v>0</v>
      </c>
      <c r="C1411">
        <v>0</v>
      </c>
      <c r="D1411">
        <v>4</v>
      </c>
      <c r="E1411">
        <v>1688301</v>
      </c>
      <c r="F1411">
        <v>0</v>
      </c>
      <c r="G1411">
        <v>0</v>
      </c>
      <c r="H1411">
        <v>6</v>
      </c>
      <c r="I1411">
        <v>176602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20000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11</v>
      </c>
      <c r="BC1411" s="1">
        <v>3490137</v>
      </c>
      <c r="BD1411" t="s">
        <v>94</v>
      </c>
      <c r="BE1411" t="s">
        <v>1734</v>
      </c>
      <c r="BF1411" t="s">
        <v>1735</v>
      </c>
      <c r="BH1411" t="s">
        <v>97</v>
      </c>
      <c r="BI1411" t="s">
        <v>119</v>
      </c>
      <c r="BJ1411" t="s">
        <v>79</v>
      </c>
      <c r="BM1411">
        <v>1</v>
      </c>
      <c r="BN1411">
        <v>2</v>
      </c>
      <c r="BO1411">
        <v>3</v>
      </c>
      <c r="BP1411" t="s">
        <v>80</v>
      </c>
      <c r="BR1411">
        <v>0</v>
      </c>
      <c r="BS1411">
        <v>6</v>
      </c>
      <c r="BU1411">
        <v>1884903</v>
      </c>
    </row>
    <row r="1412" spans="1:73" x14ac:dyDescent="0.3">
      <c r="A1412" t="s">
        <v>1739</v>
      </c>
      <c r="B1412">
        <v>7</v>
      </c>
      <c r="C1412">
        <v>2139932</v>
      </c>
      <c r="D1412">
        <v>6</v>
      </c>
      <c r="E1412">
        <v>7362143</v>
      </c>
      <c r="F1412">
        <v>0</v>
      </c>
      <c r="G1412">
        <v>0</v>
      </c>
      <c r="H1412">
        <v>24</v>
      </c>
      <c r="I1412">
        <v>1608048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44</v>
      </c>
      <c r="BC1412" s="1">
        <v>21672266</v>
      </c>
      <c r="BD1412" t="s">
        <v>94</v>
      </c>
      <c r="BE1412" t="s">
        <v>1740</v>
      </c>
      <c r="BF1412" t="s">
        <v>1741</v>
      </c>
      <c r="BH1412" t="s">
        <v>123</v>
      </c>
      <c r="BI1412" t="s">
        <v>124</v>
      </c>
      <c r="BJ1412" t="s">
        <v>125</v>
      </c>
      <c r="BM1412">
        <v>0</v>
      </c>
      <c r="BN1412">
        <v>3</v>
      </c>
      <c r="BO1412">
        <v>3</v>
      </c>
      <c r="BP1412" t="s">
        <v>80</v>
      </c>
      <c r="BR1412">
        <v>0</v>
      </c>
      <c r="BS1412">
        <v>4</v>
      </c>
      <c r="BU1412">
        <v>11110123</v>
      </c>
    </row>
    <row r="1413" spans="1:73" x14ac:dyDescent="0.3">
      <c r="A1413" t="s">
        <v>1745</v>
      </c>
      <c r="B1413">
        <v>2</v>
      </c>
      <c r="C1413">
        <v>270908</v>
      </c>
      <c r="D1413">
        <v>30</v>
      </c>
      <c r="E1413">
        <v>21577767</v>
      </c>
      <c r="F1413">
        <v>0</v>
      </c>
      <c r="G1413">
        <v>0</v>
      </c>
      <c r="H1413">
        <v>32</v>
      </c>
      <c r="I1413">
        <v>1849822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68</v>
      </c>
      <c r="BC1413" s="1">
        <v>47837870</v>
      </c>
      <c r="BD1413" t="s">
        <v>94</v>
      </c>
      <c r="BE1413" t="s">
        <v>1746</v>
      </c>
      <c r="BF1413" t="s">
        <v>1747</v>
      </c>
      <c r="BH1413" t="s">
        <v>123</v>
      </c>
      <c r="BI1413" t="s">
        <v>288</v>
      </c>
      <c r="BJ1413" t="s">
        <v>125</v>
      </c>
      <c r="BM1413">
        <v>0</v>
      </c>
      <c r="BN1413">
        <v>3</v>
      </c>
      <c r="BO1413">
        <v>3</v>
      </c>
      <c r="BP1413" t="s">
        <v>80</v>
      </c>
      <c r="BR1413">
        <v>0</v>
      </c>
      <c r="BS1413">
        <v>4</v>
      </c>
      <c r="BU1413">
        <v>23698497</v>
      </c>
    </row>
    <row r="1414" spans="1:73" x14ac:dyDescent="0.3">
      <c r="A1414" t="s">
        <v>1765</v>
      </c>
      <c r="B1414">
        <v>0</v>
      </c>
      <c r="C1414">
        <v>0</v>
      </c>
      <c r="D1414">
        <v>7</v>
      </c>
      <c r="E1414">
        <v>288223</v>
      </c>
      <c r="F1414">
        <v>0</v>
      </c>
      <c r="G1414">
        <v>0</v>
      </c>
      <c r="H1414">
        <v>12</v>
      </c>
      <c r="I1414">
        <v>240446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73535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16</v>
      </c>
      <c r="BC1414" s="1">
        <v>723516</v>
      </c>
      <c r="BD1414" t="s">
        <v>94</v>
      </c>
      <c r="BE1414" t="s">
        <v>1766</v>
      </c>
      <c r="BF1414" t="s">
        <v>1767</v>
      </c>
      <c r="BH1414" t="s">
        <v>123</v>
      </c>
      <c r="BI1414" t="s">
        <v>325</v>
      </c>
      <c r="BJ1414" t="s">
        <v>125</v>
      </c>
      <c r="BM1414">
        <v>1</v>
      </c>
      <c r="BN1414">
        <v>2</v>
      </c>
      <c r="BO1414">
        <v>3</v>
      </c>
      <c r="BP1414" t="s">
        <v>80</v>
      </c>
      <c r="BR1414">
        <v>0</v>
      </c>
      <c r="BS1414">
        <v>6</v>
      </c>
      <c r="BU1414">
        <v>602204</v>
      </c>
    </row>
    <row r="1415" spans="1:73" x14ac:dyDescent="0.3">
      <c r="A1415" t="s">
        <v>1768</v>
      </c>
      <c r="B1415">
        <v>0</v>
      </c>
      <c r="C1415">
        <v>0</v>
      </c>
      <c r="D1415">
        <v>4</v>
      </c>
      <c r="E1415">
        <v>3488572</v>
      </c>
      <c r="F1415">
        <v>0</v>
      </c>
      <c r="G1415">
        <v>0</v>
      </c>
      <c r="H1415">
        <v>16</v>
      </c>
      <c r="I1415">
        <v>643108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18</v>
      </c>
      <c r="BC1415" s="1">
        <v>7500252</v>
      </c>
      <c r="BD1415" t="s">
        <v>94</v>
      </c>
      <c r="BE1415" t="s">
        <v>1769</v>
      </c>
      <c r="BF1415" t="s">
        <v>1770</v>
      </c>
      <c r="BH1415" t="s">
        <v>97</v>
      </c>
      <c r="BI1415" t="s">
        <v>119</v>
      </c>
      <c r="BJ1415" t="s">
        <v>79</v>
      </c>
      <c r="BM1415">
        <v>0</v>
      </c>
      <c r="BN1415">
        <v>2</v>
      </c>
      <c r="BO1415">
        <v>2</v>
      </c>
      <c r="BP1415" t="s">
        <v>80</v>
      </c>
      <c r="BR1415">
        <v>0</v>
      </c>
      <c r="BS1415">
        <v>6</v>
      </c>
      <c r="BU1415">
        <v>4131680</v>
      </c>
    </row>
    <row r="1416" spans="1:73" x14ac:dyDescent="0.3">
      <c r="A1416" t="s">
        <v>1771</v>
      </c>
      <c r="B1416">
        <v>0</v>
      </c>
      <c r="C1416">
        <v>0</v>
      </c>
      <c r="D1416">
        <v>2</v>
      </c>
      <c r="E1416">
        <v>1101598</v>
      </c>
      <c r="F1416">
        <v>0</v>
      </c>
      <c r="G1416">
        <v>0</v>
      </c>
      <c r="H1416">
        <v>2</v>
      </c>
      <c r="I1416">
        <v>203196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4</v>
      </c>
      <c r="BC1416" s="1">
        <v>2203196</v>
      </c>
      <c r="BD1416" t="s">
        <v>94</v>
      </c>
      <c r="BE1416" t="s">
        <v>1772</v>
      </c>
      <c r="BF1416" t="s">
        <v>1773</v>
      </c>
      <c r="BH1416" t="s">
        <v>97</v>
      </c>
      <c r="BI1416" t="s">
        <v>119</v>
      </c>
      <c r="BJ1416" t="s">
        <v>79</v>
      </c>
      <c r="BM1416">
        <v>0</v>
      </c>
      <c r="BN1416">
        <v>2</v>
      </c>
      <c r="BO1416">
        <v>2</v>
      </c>
      <c r="BP1416" t="s">
        <v>80</v>
      </c>
      <c r="BR1416">
        <v>0</v>
      </c>
      <c r="BS1416">
        <v>6</v>
      </c>
      <c r="BU1416">
        <v>1304794</v>
      </c>
    </row>
    <row r="1417" spans="1:73" x14ac:dyDescent="0.3">
      <c r="A1417" t="s">
        <v>1784</v>
      </c>
      <c r="B1417">
        <v>0</v>
      </c>
      <c r="C1417">
        <v>0</v>
      </c>
      <c r="D1417">
        <v>8</v>
      </c>
      <c r="E1417">
        <v>3248934</v>
      </c>
      <c r="F1417">
        <v>0</v>
      </c>
      <c r="G1417">
        <v>0</v>
      </c>
      <c r="H1417">
        <v>2</v>
      </c>
      <c r="I1417">
        <v>53540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19</v>
      </c>
      <c r="BC1417" s="1">
        <v>6877123</v>
      </c>
      <c r="BD1417" t="s">
        <v>94</v>
      </c>
      <c r="BE1417" t="s">
        <v>1785</v>
      </c>
      <c r="BF1417" t="s">
        <v>1786</v>
      </c>
      <c r="BH1417" t="s">
        <v>97</v>
      </c>
      <c r="BI1417" t="s">
        <v>119</v>
      </c>
      <c r="BJ1417" t="s">
        <v>79</v>
      </c>
      <c r="BM1417">
        <v>0</v>
      </c>
      <c r="BN1417">
        <v>2</v>
      </c>
      <c r="BO1417">
        <v>2</v>
      </c>
      <c r="BP1417" t="s">
        <v>80</v>
      </c>
      <c r="BR1417">
        <v>0</v>
      </c>
      <c r="BS1417">
        <v>6</v>
      </c>
      <c r="BU1417">
        <v>3302474</v>
      </c>
    </row>
    <row r="1418" spans="1:73" x14ac:dyDescent="0.3">
      <c r="A1418" t="s">
        <v>1789</v>
      </c>
      <c r="B1418">
        <v>0</v>
      </c>
      <c r="C1418">
        <v>0</v>
      </c>
      <c r="D1418">
        <v>8</v>
      </c>
      <c r="E1418">
        <v>2266993</v>
      </c>
      <c r="F1418">
        <v>0</v>
      </c>
      <c r="G1418">
        <v>0</v>
      </c>
      <c r="H1418">
        <v>11</v>
      </c>
      <c r="I1418">
        <v>693782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15</v>
      </c>
      <c r="BC1418" s="1">
        <v>4385212</v>
      </c>
      <c r="BD1418" t="s">
        <v>94</v>
      </c>
      <c r="BE1418" t="s">
        <v>1790</v>
      </c>
      <c r="BF1418" t="s">
        <v>1650</v>
      </c>
      <c r="BH1418" t="s">
        <v>97</v>
      </c>
      <c r="BI1418" t="s">
        <v>119</v>
      </c>
      <c r="BJ1418" t="s">
        <v>79</v>
      </c>
      <c r="BM1418">
        <v>0</v>
      </c>
      <c r="BN1418">
        <v>2</v>
      </c>
      <c r="BO1418">
        <v>2</v>
      </c>
      <c r="BP1418" t="s">
        <v>80</v>
      </c>
      <c r="BR1418">
        <v>0</v>
      </c>
      <c r="BS1418">
        <v>6</v>
      </c>
      <c r="BU1418">
        <v>2960775</v>
      </c>
    </row>
    <row r="1419" spans="1:73" x14ac:dyDescent="0.3">
      <c r="A1419" t="s">
        <v>1793</v>
      </c>
      <c r="B1419">
        <v>0</v>
      </c>
      <c r="C1419">
        <v>0</v>
      </c>
      <c r="D1419">
        <v>9</v>
      </c>
      <c r="E1419">
        <v>1448400</v>
      </c>
      <c r="F1419">
        <v>1</v>
      </c>
      <c r="G1419">
        <v>9501100</v>
      </c>
      <c r="H1419">
        <v>16</v>
      </c>
      <c r="I1419">
        <v>336800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</v>
      </c>
      <c r="Z1419">
        <v>406869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23</v>
      </c>
      <c r="BC1419" s="1">
        <v>22384454</v>
      </c>
      <c r="BD1419" t="s">
        <v>94</v>
      </c>
      <c r="BE1419" t="s">
        <v>1794</v>
      </c>
      <c r="BF1419" t="s">
        <v>1795</v>
      </c>
      <c r="BH1419" t="s">
        <v>97</v>
      </c>
      <c r="BI1419" t="s">
        <v>119</v>
      </c>
      <c r="BJ1419" t="s">
        <v>79</v>
      </c>
      <c r="BM1419">
        <v>1</v>
      </c>
      <c r="BN1419">
        <v>3</v>
      </c>
      <c r="BO1419">
        <v>4</v>
      </c>
      <c r="BP1419" t="s">
        <v>80</v>
      </c>
      <c r="BR1419">
        <v>0</v>
      </c>
      <c r="BS1419">
        <v>4</v>
      </c>
      <c r="BU1419">
        <v>11693169</v>
      </c>
    </row>
    <row r="1420" spans="1:73" x14ac:dyDescent="0.3">
      <c r="A1420" t="s">
        <v>1807</v>
      </c>
      <c r="B1420">
        <v>1</v>
      </c>
      <c r="C1420">
        <v>322923</v>
      </c>
      <c r="D1420">
        <v>15</v>
      </c>
      <c r="E1420">
        <v>9060000</v>
      </c>
      <c r="F1420">
        <v>0</v>
      </c>
      <c r="G1420">
        <v>0</v>
      </c>
      <c r="H1420">
        <v>39</v>
      </c>
      <c r="I1420">
        <v>11087087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78585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48</v>
      </c>
      <c r="BC1420" s="1">
        <v>29207180</v>
      </c>
      <c r="BD1420" t="s">
        <v>94</v>
      </c>
      <c r="BE1420" t="s">
        <v>1808</v>
      </c>
      <c r="BF1420" t="s">
        <v>1809</v>
      </c>
      <c r="BH1420" t="s">
        <v>97</v>
      </c>
      <c r="BI1420" t="s">
        <v>119</v>
      </c>
      <c r="BJ1420" t="s">
        <v>79</v>
      </c>
      <c r="BM1420">
        <v>1</v>
      </c>
      <c r="BN1420">
        <v>3</v>
      </c>
      <c r="BO1420">
        <v>4</v>
      </c>
      <c r="BP1420" t="s">
        <v>80</v>
      </c>
      <c r="BR1420">
        <v>0</v>
      </c>
      <c r="BS1420">
        <v>4</v>
      </c>
      <c r="BU1420">
        <v>20548595</v>
      </c>
    </row>
    <row r="1421" spans="1:73" x14ac:dyDescent="0.3">
      <c r="A1421" t="s">
        <v>1810</v>
      </c>
      <c r="B1421">
        <v>0</v>
      </c>
      <c r="C1421">
        <v>0</v>
      </c>
      <c r="D1421">
        <v>6</v>
      </c>
      <c r="E1421">
        <v>1510152</v>
      </c>
      <c r="F1421">
        <v>0</v>
      </c>
      <c r="G1421">
        <v>0</v>
      </c>
      <c r="H1421">
        <v>6</v>
      </c>
      <c r="I1421">
        <v>124304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12</v>
      </c>
      <c r="BC1421" s="1">
        <v>3020304</v>
      </c>
      <c r="BD1421" t="s">
        <v>94</v>
      </c>
      <c r="BE1421" t="s">
        <v>1811</v>
      </c>
      <c r="BF1421" t="s">
        <v>457</v>
      </c>
      <c r="BH1421" t="s">
        <v>123</v>
      </c>
      <c r="BI1421" t="s">
        <v>325</v>
      </c>
      <c r="BJ1421" t="s">
        <v>125</v>
      </c>
      <c r="BM1421">
        <v>0</v>
      </c>
      <c r="BN1421">
        <v>2</v>
      </c>
      <c r="BO1421">
        <v>2</v>
      </c>
      <c r="BP1421" t="s">
        <v>80</v>
      </c>
      <c r="BR1421">
        <v>0</v>
      </c>
      <c r="BS1421">
        <v>6</v>
      </c>
      <c r="BU1421">
        <v>1634456</v>
      </c>
    </row>
    <row r="1422" spans="1:73" x14ac:dyDescent="0.3">
      <c r="A1422" t="s">
        <v>1838</v>
      </c>
      <c r="B1422">
        <v>2</v>
      </c>
      <c r="C1422">
        <v>1618585</v>
      </c>
      <c r="D1422">
        <v>5</v>
      </c>
      <c r="E1422">
        <v>119548</v>
      </c>
      <c r="F1422">
        <v>1</v>
      </c>
      <c r="G1422">
        <v>18612800</v>
      </c>
      <c r="H1422">
        <v>10</v>
      </c>
      <c r="I1422">
        <v>239096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14</v>
      </c>
      <c r="BC1422" s="1">
        <v>39083281</v>
      </c>
      <c r="BD1422" t="s">
        <v>94</v>
      </c>
      <c r="BE1422" t="s">
        <v>1839</v>
      </c>
      <c r="BF1422" t="s">
        <v>1840</v>
      </c>
      <c r="BH1422" t="s">
        <v>123</v>
      </c>
      <c r="BI1422" t="s">
        <v>288</v>
      </c>
      <c r="BJ1422" t="s">
        <v>125</v>
      </c>
      <c r="BM1422">
        <v>0</v>
      </c>
      <c r="BN1422">
        <v>4</v>
      </c>
      <c r="BO1422">
        <v>4</v>
      </c>
      <c r="BP1422" t="s">
        <v>80</v>
      </c>
      <c r="BR1422">
        <v>0</v>
      </c>
      <c r="BS1422">
        <v>4</v>
      </c>
      <c r="BU1422">
        <v>20590029</v>
      </c>
    </row>
    <row r="1423" spans="1:73" x14ac:dyDescent="0.3">
      <c r="A1423" t="s">
        <v>1844</v>
      </c>
      <c r="B1423">
        <v>1</v>
      </c>
      <c r="C1423">
        <v>72114</v>
      </c>
      <c r="D1423">
        <v>2</v>
      </c>
      <c r="E1423">
        <v>41878</v>
      </c>
      <c r="F1423">
        <v>0</v>
      </c>
      <c r="G1423">
        <v>0</v>
      </c>
      <c r="H1423">
        <v>2</v>
      </c>
      <c r="I1423">
        <v>41878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3</v>
      </c>
      <c r="BC1423" s="1">
        <v>113992</v>
      </c>
      <c r="BD1423" t="s">
        <v>94</v>
      </c>
      <c r="BE1423" t="s">
        <v>1845</v>
      </c>
      <c r="BF1423" t="s">
        <v>1846</v>
      </c>
      <c r="BH1423" t="s">
        <v>123</v>
      </c>
      <c r="BI1423" t="s">
        <v>1847</v>
      </c>
      <c r="BJ1423" t="s">
        <v>125</v>
      </c>
      <c r="BM1423">
        <v>0</v>
      </c>
      <c r="BN1423">
        <v>3</v>
      </c>
      <c r="BO1423">
        <v>3</v>
      </c>
      <c r="BP1423" t="s">
        <v>80</v>
      </c>
      <c r="BR1423">
        <v>0</v>
      </c>
      <c r="BS1423">
        <v>6</v>
      </c>
      <c r="BU1423">
        <v>155870</v>
      </c>
    </row>
    <row r="1424" spans="1:73" x14ac:dyDescent="0.3">
      <c r="A1424" t="s">
        <v>1860</v>
      </c>
      <c r="B1424">
        <v>0</v>
      </c>
      <c r="C1424">
        <v>0</v>
      </c>
      <c r="D1424">
        <v>8</v>
      </c>
      <c r="E1424">
        <v>363724</v>
      </c>
      <c r="F1424">
        <v>0</v>
      </c>
      <c r="G1424">
        <v>0</v>
      </c>
      <c r="H1424">
        <v>16</v>
      </c>
      <c r="I1424">
        <v>727448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16</v>
      </c>
      <c r="BC1424" s="1">
        <v>727448</v>
      </c>
      <c r="BD1424" t="s">
        <v>94</v>
      </c>
      <c r="BE1424" t="s">
        <v>1861</v>
      </c>
      <c r="BF1424" t="s">
        <v>1862</v>
      </c>
      <c r="BH1424" t="s">
        <v>97</v>
      </c>
      <c r="BI1424" t="s">
        <v>265</v>
      </c>
      <c r="BJ1424" t="s">
        <v>79</v>
      </c>
      <c r="BM1424">
        <v>0</v>
      </c>
      <c r="BN1424">
        <v>2</v>
      </c>
      <c r="BO1424">
        <v>2</v>
      </c>
      <c r="BP1424" t="s">
        <v>80</v>
      </c>
      <c r="BR1424">
        <v>0</v>
      </c>
      <c r="BS1424">
        <v>6</v>
      </c>
      <c r="BU1424">
        <v>1091172</v>
      </c>
    </row>
    <row r="1425" spans="1:73" x14ac:dyDescent="0.3">
      <c r="A1425" t="s">
        <v>1866</v>
      </c>
      <c r="B1425">
        <v>96</v>
      </c>
      <c r="C1425">
        <v>39974301</v>
      </c>
      <c r="D1425">
        <v>28</v>
      </c>
      <c r="E1425">
        <v>4874186</v>
      </c>
      <c r="F1425">
        <v>1</v>
      </c>
      <c r="G1425">
        <v>177169000</v>
      </c>
      <c r="H1425">
        <v>81</v>
      </c>
      <c r="I1425">
        <v>24562582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333334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231</v>
      </c>
      <c r="BC1425" s="1">
        <v>447784727</v>
      </c>
      <c r="BD1425" t="s">
        <v>94</v>
      </c>
      <c r="BE1425" t="s">
        <v>1867</v>
      </c>
      <c r="BF1425" t="s">
        <v>1868</v>
      </c>
      <c r="BH1425" t="s">
        <v>97</v>
      </c>
      <c r="BI1425" t="s">
        <v>119</v>
      </c>
      <c r="BJ1425" t="s">
        <v>79</v>
      </c>
      <c r="BM1425">
        <v>1</v>
      </c>
      <c r="BN1425">
        <v>4</v>
      </c>
      <c r="BO1425">
        <v>5</v>
      </c>
      <c r="BP1425" t="s">
        <v>80</v>
      </c>
      <c r="BR1425">
        <v>0</v>
      </c>
      <c r="BS1425">
        <v>2</v>
      </c>
      <c r="BU1425">
        <v>246913403</v>
      </c>
    </row>
    <row r="1426" spans="1:73" x14ac:dyDescent="0.3">
      <c r="A1426" t="s">
        <v>1872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82993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19792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3</v>
      </c>
      <c r="BC1426" s="1">
        <v>199224</v>
      </c>
      <c r="BD1426" t="s">
        <v>94</v>
      </c>
      <c r="BE1426" t="s">
        <v>1873</v>
      </c>
      <c r="BF1426" t="s">
        <v>1874</v>
      </c>
      <c r="BH1426" t="s">
        <v>97</v>
      </c>
      <c r="BI1426" t="s">
        <v>242</v>
      </c>
      <c r="BJ1426" t="s">
        <v>79</v>
      </c>
      <c r="BM1426">
        <v>2</v>
      </c>
      <c r="BN1426">
        <v>0</v>
      </c>
      <c r="BO1426">
        <v>2</v>
      </c>
      <c r="BP1426" t="s">
        <v>80</v>
      </c>
      <c r="BR1426">
        <v>0</v>
      </c>
      <c r="BS1426">
        <v>6</v>
      </c>
      <c r="BU1426">
        <v>102785</v>
      </c>
    </row>
    <row r="1427" spans="1:73" x14ac:dyDescent="0.3">
      <c r="A1427" t="s">
        <v>1875</v>
      </c>
      <c r="B1427">
        <v>2</v>
      </c>
      <c r="C1427">
        <v>778750</v>
      </c>
      <c r="D1427">
        <v>1</v>
      </c>
      <c r="E1427">
        <v>153000</v>
      </c>
      <c r="F1427">
        <v>0</v>
      </c>
      <c r="G1427">
        <v>0</v>
      </c>
      <c r="H1427">
        <v>1</v>
      </c>
      <c r="I1427">
        <v>20000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4</v>
      </c>
      <c r="BC1427" s="1">
        <v>951750</v>
      </c>
      <c r="BD1427" t="s">
        <v>94</v>
      </c>
      <c r="BE1427" t="s">
        <v>1876</v>
      </c>
      <c r="BF1427" t="s">
        <v>1603</v>
      </c>
      <c r="BH1427" t="s">
        <v>97</v>
      </c>
      <c r="BI1427" t="s">
        <v>208</v>
      </c>
      <c r="BJ1427" t="s">
        <v>79</v>
      </c>
      <c r="BM1427">
        <v>0</v>
      </c>
      <c r="BN1427">
        <v>3</v>
      </c>
      <c r="BO1427">
        <v>3</v>
      </c>
      <c r="BP1427" t="s">
        <v>514</v>
      </c>
      <c r="BR1427">
        <v>0</v>
      </c>
      <c r="BS1427">
        <v>6</v>
      </c>
      <c r="BU1427">
        <v>951750</v>
      </c>
    </row>
    <row r="1428" spans="1:73" x14ac:dyDescent="0.3">
      <c r="A1428" t="s">
        <v>1877</v>
      </c>
      <c r="B1428">
        <v>0</v>
      </c>
      <c r="C1428">
        <v>0</v>
      </c>
      <c r="D1428">
        <v>1</v>
      </c>
      <c r="E1428">
        <v>340000</v>
      </c>
      <c r="F1428">
        <v>0</v>
      </c>
      <c r="G1428">
        <v>0</v>
      </c>
      <c r="H1428">
        <v>6</v>
      </c>
      <c r="I1428">
        <v>125000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8</v>
      </c>
      <c r="BC1428" s="1">
        <v>805000</v>
      </c>
      <c r="BD1428" t="s">
        <v>94</v>
      </c>
      <c r="BE1428" t="s">
        <v>1878</v>
      </c>
      <c r="BF1428" t="s">
        <v>1879</v>
      </c>
      <c r="BH1428" t="s">
        <v>476</v>
      </c>
      <c r="BI1428" t="s">
        <v>608</v>
      </c>
      <c r="BJ1428" t="s">
        <v>125</v>
      </c>
      <c r="BM1428">
        <v>0</v>
      </c>
      <c r="BN1428">
        <v>2</v>
      </c>
      <c r="BO1428">
        <v>2</v>
      </c>
      <c r="BP1428" t="s">
        <v>514</v>
      </c>
      <c r="BR1428">
        <v>0</v>
      </c>
      <c r="BS1428">
        <v>6</v>
      </c>
      <c r="BU1428">
        <v>465000</v>
      </c>
    </row>
    <row r="1429" spans="1:73" x14ac:dyDescent="0.3">
      <c r="A1429" t="s">
        <v>1887</v>
      </c>
      <c r="B1429">
        <v>0</v>
      </c>
      <c r="C1429">
        <v>0</v>
      </c>
      <c r="D1429">
        <v>1</v>
      </c>
      <c r="E1429">
        <v>170000</v>
      </c>
      <c r="F1429">
        <v>0</v>
      </c>
      <c r="G1429">
        <v>0</v>
      </c>
      <c r="H1429">
        <v>2</v>
      </c>
      <c r="I1429">
        <v>10000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4</v>
      </c>
      <c r="BC1429" s="1">
        <v>350000</v>
      </c>
      <c r="BD1429" t="s">
        <v>94</v>
      </c>
      <c r="BE1429" t="s">
        <v>1888</v>
      </c>
      <c r="BF1429" t="s">
        <v>1328</v>
      </c>
      <c r="BH1429" t="s">
        <v>97</v>
      </c>
      <c r="BI1429" t="s">
        <v>559</v>
      </c>
      <c r="BJ1429" t="s">
        <v>79</v>
      </c>
      <c r="BM1429">
        <v>0</v>
      </c>
      <c r="BN1429">
        <v>2</v>
      </c>
      <c r="BO1429">
        <v>2</v>
      </c>
      <c r="BP1429" t="s">
        <v>514</v>
      </c>
      <c r="BR1429">
        <v>0</v>
      </c>
      <c r="BS1429">
        <v>6</v>
      </c>
      <c r="BU1429">
        <v>180000</v>
      </c>
    </row>
    <row r="1430" spans="1:73" x14ac:dyDescent="0.3">
      <c r="A1430" t="s">
        <v>1889</v>
      </c>
      <c r="B1430">
        <v>0</v>
      </c>
      <c r="C1430">
        <v>0</v>
      </c>
      <c r="D1430">
        <v>1</v>
      </c>
      <c r="E1430">
        <v>300000</v>
      </c>
      <c r="F1430">
        <v>0</v>
      </c>
      <c r="G1430">
        <v>0</v>
      </c>
      <c r="H1430">
        <v>3</v>
      </c>
      <c r="I1430">
        <v>62548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4</v>
      </c>
      <c r="BC1430" s="1">
        <v>362548</v>
      </c>
      <c r="BD1430" t="s">
        <v>94</v>
      </c>
      <c r="BE1430" t="s">
        <v>1890</v>
      </c>
      <c r="BF1430" t="s">
        <v>1603</v>
      </c>
      <c r="BH1430" t="s">
        <v>97</v>
      </c>
      <c r="BI1430" t="s">
        <v>98</v>
      </c>
      <c r="BJ1430" t="s">
        <v>79</v>
      </c>
      <c r="BM1430">
        <v>0</v>
      </c>
      <c r="BN1430">
        <v>2</v>
      </c>
      <c r="BO1430">
        <v>2</v>
      </c>
      <c r="BP1430" t="s">
        <v>514</v>
      </c>
      <c r="BR1430">
        <v>0</v>
      </c>
      <c r="BS1430">
        <v>6</v>
      </c>
      <c r="BU1430">
        <v>362548</v>
      </c>
    </row>
    <row r="1431" spans="1:73" x14ac:dyDescent="0.3">
      <c r="A1431" t="s">
        <v>1891</v>
      </c>
      <c r="B1431">
        <v>0</v>
      </c>
      <c r="C1431">
        <v>0</v>
      </c>
      <c r="D1431">
        <v>4</v>
      </c>
      <c r="E1431">
        <v>419091</v>
      </c>
      <c r="F1431">
        <v>0</v>
      </c>
      <c r="G1431">
        <v>0</v>
      </c>
      <c r="H1431">
        <v>4</v>
      </c>
      <c r="I1431">
        <v>80000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8</v>
      </c>
      <c r="BC1431" s="1">
        <v>838182</v>
      </c>
      <c r="BD1431" t="s">
        <v>94</v>
      </c>
      <c r="BE1431" t="s">
        <v>1892</v>
      </c>
      <c r="BF1431" t="s">
        <v>987</v>
      </c>
      <c r="BH1431" t="s">
        <v>97</v>
      </c>
      <c r="BI1431" t="s">
        <v>98</v>
      </c>
      <c r="BJ1431" t="s">
        <v>79</v>
      </c>
      <c r="BM1431">
        <v>0</v>
      </c>
      <c r="BN1431">
        <v>2</v>
      </c>
      <c r="BO1431">
        <v>2</v>
      </c>
      <c r="BP1431" t="s">
        <v>514</v>
      </c>
      <c r="BR1431">
        <v>0</v>
      </c>
      <c r="BS1431">
        <v>6</v>
      </c>
      <c r="BU1431">
        <v>499091</v>
      </c>
    </row>
    <row r="1432" spans="1:73" x14ac:dyDescent="0.3">
      <c r="A1432" t="s">
        <v>1895</v>
      </c>
      <c r="B1432">
        <v>0</v>
      </c>
      <c r="C1432">
        <v>0</v>
      </c>
      <c r="D1432">
        <v>3</v>
      </c>
      <c r="E1432">
        <v>1658946</v>
      </c>
      <c r="F1432">
        <v>0</v>
      </c>
      <c r="G1432">
        <v>0</v>
      </c>
      <c r="H1432">
        <v>4</v>
      </c>
      <c r="I1432">
        <v>117892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6</v>
      </c>
      <c r="BC1432" s="1">
        <v>3317892</v>
      </c>
      <c r="BD1432" t="s">
        <v>94</v>
      </c>
      <c r="BE1432" t="s">
        <v>1896</v>
      </c>
      <c r="BF1432" t="s">
        <v>1897</v>
      </c>
      <c r="BH1432" t="s">
        <v>97</v>
      </c>
      <c r="BI1432" t="s">
        <v>208</v>
      </c>
      <c r="BJ1432" t="s">
        <v>79</v>
      </c>
      <c r="BM1432">
        <v>0</v>
      </c>
      <c r="BN1432">
        <v>2</v>
      </c>
      <c r="BO1432">
        <v>2</v>
      </c>
      <c r="BP1432" t="s">
        <v>80</v>
      </c>
      <c r="BR1432">
        <v>0</v>
      </c>
      <c r="BS1432">
        <v>6</v>
      </c>
      <c r="BU1432">
        <v>1776838</v>
      </c>
    </row>
    <row r="1433" spans="1:73" x14ac:dyDescent="0.3">
      <c r="A1433" t="s">
        <v>1898</v>
      </c>
      <c r="B1433">
        <v>6</v>
      </c>
      <c r="C1433">
        <v>2417691</v>
      </c>
      <c r="D1433">
        <v>5</v>
      </c>
      <c r="E1433">
        <v>277467</v>
      </c>
      <c r="F1433">
        <v>0</v>
      </c>
      <c r="G1433">
        <v>0</v>
      </c>
      <c r="H1433">
        <v>10</v>
      </c>
      <c r="I1433">
        <v>213116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8334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21</v>
      </c>
      <c r="BC1433" s="1">
        <v>3179293</v>
      </c>
      <c r="BD1433" t="s">
        <v>94</v>
      </c>
      <c r="BE1433" t="s">
        <v>1899</v>
      </c>
      <c r="BF1433" t="s">
        <v>1900</v>
      </c>
      <c r="BH1433" t="s">
        <v>123</v>
      </c>
      <c r="BI1433" t="s">
        <v>288</v>
      </c>
      <c r="BJ1433" t="s">
        <v>125</v>
      </c>
      <c r="BM1433">
        <v>1</v>
      </c>
      <c r="BN1433">
        <v>3</v>
      </c>
      <c r="BO1433">
        <v>4</v>
      </c>
      <c r="BP1433" t="s">
        <v>80</v>
      </c>
      <c r="BR1433">
        <v>0</v>
      </c>
      <c r="BS1433">
        <v>6</v>
      </c>
      <c r="BU1433">
        <v>2916608</v>
      </c>
    </row>
    <row r="1434" spans="1:73" x14ac:dyDescent="0.3">
      <c r="A1434" t="s">
        <v>1901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73535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2</v>
      </c>
      <c r="BC1434" s="1">
        <v>147070</v>
      </c>
      <c r="BD1434" t="s">
        <v>94</v>
      </c>
      <c r="BE1434" t="s">
        <v>1902</v>
      </c>
      <c r="BF1434" t="s">
        <v>1903</v>
      </c>
      <c r="BH1434" t="s">
        <v>97</v>
      </c>
      <c r="BI1434" t="s">
        <v>98</v>
      </c>
      <c r="BJ1434" t="s">
        <v>79</v>
      </c>
      <c r="BM1434">
        <v>1</v>
      </c>
      <c r="BN1434">
        <v>0</v>
      </c>
      <c r="BO1434">
        <v>1</v>
      </c>
      <c r="BP1434" t="s">
        <v>80</v>
      </c>
      <c r="BR1434">
        <v>0</v>
      </c>
      <c r="BS1434">
        <v>6</v>
      </c>
      <c r="BU1434">
        <v>73535</v>
      </c>
    </row>
    <row r="1435" spans="1:73" x14ac:dyDescent="0.3">
      <c r="A1435" t="s">
        <v>1906</v>
      </c>
      <c r="B1435">
        <v>0</v>
      </c>
      <c r="C1435">
        <v>0</v>
      </c>
      <c r="D1435">
        <v>6</v>
      </c>
      <c r="E1435">
        <v>1705485</v>
      </c>
      <c r="F1435">
        <v>0</v>
      </c>
      <c r="G1435">
        <v>0</v>
      </c>
      <c r="H1435">
        <v>8</v>
      </c>
      <c r="I1435">
        <v>494608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12</v>
      </c>
      <c r="BC1435" s="1">
        <v>3410970</v>
      </c>
      <c r="BD1435" t="s">
        <v>94</v>
      </c>
      <c r="BE1435" t="s">
        <v>1907</v>
      </c>
      <c r="BF1435" t="s">
        <v>1908</v>
      </c>
      <c r="BH1435" t="s">
        <v>97</v>
      </c>
      <c r="BI1435" t="s">
        <v>119</v>
      </c>
      <c r="BJ1435" t="s">
        <v>79</v>
      </c>
      <c r="BM1435">
        <v>0</v>
      </c>
      <c r="BN1435">
        <v>2</v>
      </c>
      <c r="BO1435">
        <v>2</v>
      </c>
      <c r="BP1435" t="s">
        <v>80</v>
      </c>
      <c r="BR1435">
        <v>0</v>
      </c>
      <c r="BS1435">
        <v>6</v>
      </c>
      <c r="BU1435">
        <v>2200093</v>
      </c>
    </row>
    <row r="1436" spans="1:73" x14ac:dyDescent="0.3">
      <c r="A1436" t="s">
        <v>1909</v>
      </c>
      <c r="B1436">
        <v>0</v>
      </c>
      <c r="C1436">
        <v>0</v>
      </c>
      <c r="D1436">
        <v>2</v>
      </c>
      <c r="E1436">
        <v>370000</v>
      </c>
      <c r="F1436">
        <v>0</v>
      </c>
      <c r="G1436">
        <v>0</v>
      </c>
      <c r="H1436">
        <v>7</v>
      </c>
      <c r="I1436">
        <v>328221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9</v>
      </c>
      <c r="BC1436" s="1">
        <v>698221</v>
      </c>
      <c r="BD1436" t="s">
        <v>94</v>
      </c>
      <c r="BE1436" t="s">
        <v>1910</v>
      </c>
      <c r="BF1436" t="s">
        <v>1911</v>
      </c>
      <c r="BH1436" t="s">
        <v>97</v>
      </c>
      <c r="BI1436" t="s">
        <v>103</v>
      </c>
      <c r="BJ1436" t="s">
        <v>79</v>
      </c>
      <c r="BM1436">
        <v>0</v>
      </c>
      <c r="BN1436">
        <v>2</v>
      </c>
      <c r="BO1436">
        <v>2</v>
      </c>
      <c r="BP1436" t="s">
        <v>514</v>
      </c>
      <c r="BR1436">
        <v>0</v>
      </c>
      <c r="BS1436">
        <v>6</v>
      </c>
      <c r="BU1436">
        <v>698221</v>
      </c>
    </row>
    <row r="1437" spans="1:73" x14ac:dyDescent="0.3">
      <c r="A1437" t="s">
        <v>1915</v>
      </c>
      <c r="B1437">
        <v>0</v>
      </c>
      <c r="C1437">
        <v>0</v>
      </c>
      <c r="D1437">
        <v>6</v>
      </c>
      <c r="E1437">
        <v>2837793</v>
      </c>
      <c r="F1437">
        <v>0</v>
      </c>
      <c r="G1437">
        <v>0</v>
      </c>
      <c r="H1437">
        <v>10</v>
      </c>
      <c r="I1437">
        <v>275586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12</v>
      </c>
      <c r="BC1437" s="1">
        <v>5675586</v>
      </c>
      <c r="BD1437" t="s">
        <v>94</v>
      </c>
      <c r="BE1437" t="s">
        <v>1916</v>
      </c>
      <c r="BF1437" t="s">
        <v>1917</v>
      </c>
      <c r="BH1437" t="s">
        <v>97</v>
      </c>
      <c r="BI1437" t="s">
        <v>265</v>
      </c>
      <c r="BJ1437" t="s">
        <v>79</v>
      </c>
      <c r="BM1437">
        <v>0</v>
      </c>
      <c r="BN1437">
        <v>2</v>
      </c>
      <c r="BO1437">
        <v>2</v>
      </c>
      <c r="BP1437" t="s">
        <v>80</v>
      </c>
      <c r="BR1437">
        <v>0</v>
      </c>
      <c r="BS1437">
        <v>6</v>
      </c>
      <c r="BU1437">
        <v>3113379</v>
      </c>
    </row>
    <row r="1438" spans="1:73" x14ac:dyDescent="0.3">
      <c r="A1438" t="s">
        <v>1921</v>
      </c>
      <c r="B1438">
        <v>0</v>
      </c>
      <c r="C1438">
        <v>0</v>
      </c>
      <c r="D1438">
        <v>5</v>
      </c>
      <c r="E1438">
        <v>342899</v>
      </c>
      <c r="F1438">
        <v>0</v>
      </c>
      <c r="G1438">
        <v>0</v>
      </c>
      <c r="H1438">
        <v>8</v>
      </c>
      <c r="I1438">
        <v>303980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333334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4795000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13</v>
      </c>
      <c r="BC1438" s="1">
        <v>6147466</v>
      </c>
      <c r="BD1438" t="s">
        <v>94</v>
      </c>
      <c r="BE1438" t="s">
        <v>1922</v>
      </c>
      <c r="BF1438" t="s">
        <v>1923</v>
      </c>
      <c r="BH1438" t="s">
        <v>97</v>
      </c>
      <c r="BI1438" t="s">
        <v>119</v>
      </c>
      <c r="BJ1438" t="s">
        <v>79</v>
      </c>
      <c r="BM1438">
        <v>2</v>
      </c>
      <c r="BN1438">
        <v>2</v>
      </c>
      <c r="BO1438">
        <v>4</v>
      </c>
      <c r="BP1438" t="s">
        <v>80</v>
      </c>
      <c r="BR1438">
        <v>0</v>
      </c>
      <c r="BS1438">
        <v>6</v>
      </c>
      <c r="BU1438">
        <v>5775213</v>
      </c>
    </row>
    <row r="1439" spans="1:73" x14ac:dyDescent="0.3">
      <c r="A1439" t="s">
        <v>1924</v>
      </c>
      <c r="B1439">
        <v>0</v>
      </c>
      <c r="C1439">
        <v>0</v>
      </c>
      <c r="D1439">
        <v>4</v>
      </c>
      <c r="E1439">
        <v>147752</v>
      </c>
      <c r="F1439">
        <v>0</v>
      </c>
      <c r="G1439">
        <v>0</v>
      </c>
      <c r="H1439">
        <v>8</v>
      </c>
      <c r="I1439">
        <v>295504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19792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10</v>
      </c>
      <c r="BC1439" s="1">
        <v>335088</v>
      </c>
      <c r="BD1439" t="s">
        <v>94</v>
      </c>
      <c r="BE1439" t="s">
        <v>1925</v>
      </c>
      <c r="BF1439" t="s">
        <v>1926</v>
      </c>
      <c r="BH1439" t="s">
        <v>97</v>
      </c>
      <c r="BI1439" t="s">
        <v>119</v>
      </c>
      <c r="BJ1439" t="s">
        <v>79</v>
      </c>
      <c r="BM1439">
        <v>1</v>
      </c>
      <c r="BN1439">
        <v>2</v>
      </c>
      <c r="BO1439">
        <v>3</v>
      </c>
      <c r="BP1439" t="s">
        <v>80</v>
      </c>
      <c r="BR1439">
        <v>0</v>
      </c>
      <c r="BS1439">
        <v>6</v>
      </c>
      <c r="BU1439">
        <v>463048</v>
      </c>
    </row>
    <row r="1440" spans="1:73" x14ac:dyDescent="0.3">
      <c r="A1440" t="s">
        <v>1929</v>
      </c>
      <c r="B1440">
        <v>0</v>
      </c>
      <c r="C1440">
        <v>0</v>
      </c>
      <c r="D1440">
        <v>1</v>
      </c>
      <c r="E1440">
        <v>925715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45682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11526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6</v>
      </c>
      <c r="BC1440" s="1">
        <v>1965846</v>
      </c>
      <c r="BD1440" t="s">
        <v>94</v>
      </c>
      <c r="BE1440" t="s">
        <v>1930</v>
      </c>
      <c r="BF1440" t="s">
        <v>1931</v>
      </c>
      <c r="BH1440" t="s">
        <v>97</v>
      </c>
      <c r="BI1440" t="s">
        <v>103</v>
      </c>
      <c r="BJ1440" t="s">
        <v>79</v>
      </c>
      <c r="BM1440">
        <v>2</v>
      </c>
      <c r="BN1440">
        <v>1</v>
      </c>
      <c r="BO1440">
        <v>3</v>
      </c>
      <c r="BP1440" t="s">
        <v>80</v>
      </c>
      <c r="BR1440">
        <v>0</v>
      </c>
      <c r="BS1440">
        <v>6</v>
      </c>
      <c r="BU1440">
        <v>982923</v>
      </c>
    </row>
    <row r="1441" spans="1:73" x14ac:dyDescent="0.3">
      <c r="A1441" t="s">
        <v>1935</v>
      </c>
      <c r="B1441">
        <v>0</v>
      </c>
      <c r="C1441">
        <v>0</v>
      </c>
      <c r="D1441">
        <v>3</v>
      </c>
      <c r="E1441">
        <v>1825714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6</v>
      </c>
      <c r="BC1441" s="1">
        <v>3179999</v>
      </c>
      <c r="BD1441" t="s">
        <v>94</v>
      </c>
      <c r="BE1441" t="s">
        <v>1936</v>
      </c>
      <c r="BF1441" t="s">
        <v>1937</v>
      </c>
      <c r="BH1441" t="s">
        <v>97</v>
      </c>
      <c r="BI1441" t="s">
        <v>242</v>
      </c>
      <c r="BJ1441" t="s">
        <v>79</v>
      </c>
      <c r="BM1441">
        <v>0</v>
      </c>
      <c r="BN1441">
        <v>1</v>
      </c>
      <c r="BO1441">
        <v>1</v>
      </c>
      <c r="BP1441" t="s">
        <v>80</v>
      </c>
      <c r="BR1441">
        <v>0</v>
      </c>
      <c r="BS1441">
        <v>6</v>
      </c>
      <c r="BU1441">
        <v>1825714</v>
      </c>
    </row>
    <row r="1442" spans="1:73" x14ac:dyDescent="0.3">
      <c r="A1442" t="s">
        <v>1941</v>
      </c>
      <c r="B1442">
        <v>0</v>
      </c>
      <c r="C1442">
        <v>0</v>
      </c>
      <c r="D1442">
        <v>5</v>
      </c>
      <c r="E1442">
        <v>100000</v>
      </c>
      <c r="F1442">
        <v>0</v>
      </c>
      <c r="G1442">
        <v>0</v>
      </c>
      <c r="H1442">
        <v>10</v>
      </c>
      <c r="I1442">
        <v>200000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10</v>
      </c>
      <c r="BC1442" s="1">
        <v>200000</v>
      </c>
      <c r="BD1442" t="s">
        <v>94</v>
      </c>
      <c r="BE1442" t="s">
        <v>1942</v>
      </c>
      <c r="BF1442" t="s">
        <v>1943</v>
      </c>
      <c r="BH1442" t="s">
        <v>97</v>
      </c>
      <c r="BI1442" t="s">
        <v>119</v>
      </c>
      <c r="BJ1442" t="s">
        <v>79</v>
      </c>
      <c r="BM1442">
        <v>0</v>
      </c>
      <c r="BN1442">
        <v>2</v>
      </c>
      <c r="BO1442">
        <v>2</v>
      </c>
      <c r="BP1442" t="s">
        <v>80</v>
      </c>
      <c r="BR1442">
        <v>0</v>
      </c>
      <c r="BS1442">
        <v>6</v>
      </c>
      <c r="BU1442">
        <v>300000</v>
      </c>
    </row>
    <row r="1443" spans="1:73" x14ac:dyDescent="0.3">
      <c r="A1443" t="s">
        <v>1944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78585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2</v>
      </c>
      <c r="BC1443" s="1">
        <v>157170</v>
      </c>
      <c r="BD1443" t="s">
        <v>94</v>
      </c>
      <c r="BE1443" t="s">
        <v>1945</v>
      </c>
      <c r="BF1443" t="s">
        <v>1946</v>
      </c>
      <c r="BH1443" t="s">
        <v>97</v>
      </c>
      <c r="BI1443" t="s">
        <v>894</v>
      </c>
      <c r="BJ1443" t="s">
        <v>79</v>
      </c>
      <c r="BM1443">
        <v>1</v>
      </c>
      <c r="BN1443">
        <v>0</v>
      </c>
      <c r="BO1443">
        <v>1</v>
      </c>
      <c r="BP1443" t="s">
        <v>80</v>
      </c>
      <c r="BR1443">
        <v>0</v>
      </c>
      <c r="BS1443">
        <v>6</v>
      </c>
      <c r="BU1443">
        <v>78585</v>
      </c>
    </row>
    <row r="1444" spans="1:73" x14ac:dyDescent="0.3">
      <c r="A1444" t="s">
        <v>1947</v>
      </c>
      <c r="B1444">
        <v>23</v>
      </c>
      <c r="C1444">
        <v>1482465</v>
      </c>
      <c r="D1444">
        <v>40</v>
      </c>
      <c r="E1444">
        <v>7573159</v>
      </c>
      <c r="F1444">
        <v>0</v>
      </c>
      <c r="G1444">
        <v>0</v>
      </c>
      <c r="H1444">
        <v>82</v>
      </c>
      <c r="I1444">
        <v>1674983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80000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333334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120</v>
      </c>
      <c r="BC1444" s="1">
        <v>15394116</v>
      </c>
      <c r="BD1444" t="s">
        <v>94</v>
      </c>
      <c r="BE1444" t="s">
        <v>1948</v>
      </c>
      <c r="BF1444" t="s">
        <v>1949</v>
      </c>
      <c r="BH1444" t="s">
        <v>97</v>
      </c>
      <c r="BI1444" t="s">
        <v>98</v>
      </c>
      <c r="BJ1444" t="s">
        <v>79</v>
      </c>
      <c r="BM1444">
        <v>1</v>
      </c>
      <c r="BN1444">
        <v>4</v>
      </c>
      <c r="BO1444">
        <v>5</v>
      </c>
      <c r="BP1444" t="s">
        <v>514</v>
      </c>
      <c r="BR1444">
        <v>0</v>
      </c>
      <c r="BS1444">
        <v>5</v>
      </c>
      <c r="BU1444">
        <v>11143941</v>
      </c>
    </row>
    <row r="1445" spans="1:73" x14ac:dyDescent="0.3">
      <c r="A1445" t="s">
        <v>1954</v>
      </c>
      <c r="B1445">
        <v>0</v>
      </c>
      <c r="C1445">
        <v>0</v>
      </c>
      <c r="D1445">
        <v>11</v>
      </c>
      <c r="E1445">
        <v>2231499</v>
      </c>
      <c r="F1445">
        <v>0</v>
      </c>
      <c r="G1445">
        <v>0</v>
      </c>
      <c r="H1445">
        <v>28</v>
      </c>
      <c r="I1445">
        <v>562998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34</v>
      </c>
      <c r="BC1445" s="1">
        <v>4702998</v>
      </c>
      <c r="BD1445" t="s">
        <v>94</v>
      </c>
      <c r="BE1445" t="s">
        <v>1955</v>
      </c>
      <c r="BF1445" t="s">
        <v>649</v>
      </c>
      <c r="BH1445" t="s">
        <v>97</v>
      </c>
      <c r="BI1445" t="s">
        <v>208</v>
      </c>
      <c r="BJ1445" t="s">
        <v>79</v>
      </c>
      <c r="BM1445">
        <v>0</v>
      </c>
      <c r="BN1445">
        <v>2</v>
      </c>
      <c r="BO1445">
        <v>2</v>
      </c>
      <c r="BP1445" t="s">
        <v>80</v>
      </c>
      <c r="BR1445">
        <v>0</v>
      </c>
      <c r="BS1445">
        <v>6</v>
      </c>
      <c r="BU1445">
        <v>2794497</v>
      </c>
    </row>
    <row r="1446" spans="1:73" x14ac:dyDescent="0.3">
      <c r="A1446" t="s">
        <v>1956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19792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</v>
      </c>
      <c r="BC1446" s="1">
        <v>39584</v>
      </c>
      <c r="BD1446" t="s">
        <v>94</v>
      </c>
      <c r="BE1446" t="s">
        <v>1957</v>
      </c>
      <c r="BF1446" t="s">
        <v>1958</v>
      </c>
      <c r="BH1446" t="s">
        <v>97</v>
      </c>
      <c r="BI1446" t="s">
        <v>119</v>
      </c>
      <c r="BJ1446" t="s">
        <v>79</v>
      </c>
      <c r="BM1446">
        <v>1</v>
      </c>
      <c r="BN1446">
        <v>0</v>
      </c>
      <c r="BO1446">
        <v>1</v>
      </c>
      <c r="BP1446" t="s">
        <v>80</v>
      </c>
      <c r="BR1446">
        <v>0</v>
      </c>
      <c r="BS1446">
        <v>6</v>
      </c>
      <c r="BU1446">
        <v>19792</v>
      </c>
    </row>
    <row r="1447" spans="1:73" x14ac:dyDescent="0.3">
      <c r="A1447" t="s">
        <v>1967</v>
      </c>
      <c r="B1447">
        <v>4</v>
      </c>
      <c r="C1447">
        <v>676628</v>
      </c>
      <c r="D1447">
        <v>17</v>
      </c>
      <c r="E1447">
        <v>4371649</v>
      </c>
      <c r="F1447">
        <v>0</v>
      </c>
      <c r="G1447">
        <v>0</v>
      </c>
      <c r="H1447">
        <v>30</v>
      </c>
      <c r="I1447">
        <v>784726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40</v>
      </c>
      <c r="BC1447" s="1">
        <v>9459926</v>
      </c>
      <c r="BD1447" t="s">
        <v>94</v>
      </c>
      <c r="BE1447" t="s">
        <v>1968</v>
      </c>
      <c r="BF1447" t="s">
        <v>1969</v>
      </c>
      <c r="BH1447" t="s">
        <v>123</v>
      </c>
      <c r="BI1447" t="s">
        <v>288</v>
      </c>
      <c r="BJ1447" t="s">
        <v>125</v>
      </c>
      <c r="BM1447">
        <v>0</v>
      </c>
      <c r="BN1447">
        <v>3</v>
      </c>
      <c r="BO1447">
        <v>3</v>
      </c>
      <c r="BP1447" t="s">
        <v>80</v>
      </c>
      <c r="BR1447">
        <v>0</v>
      </c>
      <c r="BS1447">
        <v>5</v>
      </c>
      <c r="BU1447">
        <v>5833003</v>
      </c>
    </row>
    <row r="1448" spans="1:73" x14ac:dyDescent="0.3">
      <c r="A1448" t="s">
        <v>1973</v>
      </c>
      <c r="B1448">
        <v>1</v>
      </c>
      <c r="C1448">
        <v>51818</v>
      </c>
      <c r="D1448">
        <v>4</v>
      </c>
      <c r="E1448">
        <v>110000</v>
      </c>
      <c r="F1448">
        <v>0</v>
      </c>
      <c r="G1448">
        <v>0</v>
      </c>
      <c r="H1448">
        <v>6</v>
      </c>
      <c r="I1448">
        <v>120000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11</v>
      </c>
      <c r="BC1448" s="1">
        <v>311818</v>
      </c>
      <c r="BD1448" t="s">
        <v>94</v>
      </c>
      <c r="BE1448" t="s">
        <v>1974</v>
      </c>
      <c r="BF1448" t="s">
        <v>1975</v>
      </c>
      <c r="BH1448" t="s">
        <v>476</v>
      </c>
      <c r="BI1448" t="s">
        <v>608</v>
      </c>
      <c r="BJ1448" t="s">
        <v>125</v>
      </c>
      <c r="BM1448">
        <v>0</v>
      </c>
      <c r="BN1448">
        <v>3</v>
      </c>
      <c r="BO1448">
        <v>3</v>
      </c>
      <c r="BP1448" t="s">
        <v>80</v>
      </c>
      <c r="BR1448">
        <v>0</v>
      </c>
      <c r="BS1448">
        <v>6</v>
      </c>
      <c r="BU1448">
        <v>281818</v>
      </c>
    </row>
    <row r="1449" spans="1:73" x14ac:dyDescent="0.3">
      <c r="A1449" t="s">
        <v>1976</v>
      </c>
      <c r="B1449">
        <v>4</v>
      </c>
      <c r="C1449">
        <v>6121585</v>
      </c>
      <c r="D1449">
        <v>2</v>
      </c>
      <c r="E1449">
        <v>1824000</v>
      </c>
      <c r="F1449">
        <v>0</v>
      </c>
      <c r="G1449">
        <v>0</v>
      </c>
      <c r="H1449">
        <v>6</v>
      </c>
      <c r="I1449">
        <v>172019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12</v>
      </c>
      <c r="BC1449" s="1">
        <v>8117604</v>
      </c>
      <c r="BD1449" t="s">
        <v>94</v>
      </c>
      <c r="BE1449" t="s">
        <v>1977</v>
      </c>
      <c r="BF1449" t="s">
        <v>1978</v>
      </c>
      <c r="BH1449" t="s">
        <v>97</v>
      </c>
      <c r="BI1449" t="s">
        <v>119</v>
      </c>
      <c r="BJ1449" t="s">
        <v>79</v>
      </c>
      <c r="BM1449">
        <v>0</v>
      </c>
      <c r="BN1449">
        <v>3</v>
      </c>
      <c r="BO1449">
        <v>3</v>
      </c>
      <c r="BP1449" t="s">
        <v>80</v>
      </c>
      <c r="BR1449">
        <v>0</v>
      </c>
      <c r="BS1449">
        <v>6</v>
      </c>
      <c r="BU1449">
        <v>8117604</v>
      </c>
    </row>
    <row r="1450" spans="1:73" x14ac:dyDescent="0.3">
      <c r="A1450" t="s">
        <v>1982</v>
      </c>
      <c r="B1450">
        <v>0</v>
      </c>
      <c r="C1450">
        <v>0</v>
      </c>
      <c r="D1450">
        <v>9</v>
      </c>
      <c r="E1450">
        <v>3193337</v>
      </c>
      <c r="F1450">
        <v>0</v>
      </c>
      <c r="G1450">
        <v>0</v>
      </c>
      <c r="H1450">
        <v>14</v>
      </c>
      <c r="I1450">
        <v>306674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18</v>
      </c>
      <c r="BC1450" s="1">
        <v>6386674</v>
      </c>
      <c r="BD1450" t="s">
        <v>94</v>
      </c>
      <c r="BE1450" t="s">
        <v>1983</v>
      </c>
      <c r="BF1450" t="s">
        <v>1984</v>
      </c>
      <c r="BH1450" t="s">
        <v>97</v>
      </c>
      <c r="BI1450" t="s">
        <v>119</v>
      </c>
      <c r="BJ1450" t="s">
        <v>79</v>
      </c>
      <c r="BM1450">
        <v>0</v>
      </c>
      <c r="BN1450">
        <v>2</v>
      </c>
      <c r="BO1450">
        <v>2</v>
      </c>
      <c r="BP1450" t="s">
        <v>80</v>
      </c>
      <c r="BR1450">
        <v>0</v>
      </c>
      <c r="BS1450">
        <v>6</v>
      </c>
      <c r="BU1450">
        <v>3500011</v>
      </c>
    </row>
    <row r="1451" spans="1:73" x14ac:dyDescent="0.3">
      <c r="A1451" t="s">
        <v>1985</v>
      </c>
      <c r="B1451">
        <v>0</v>
      </c>
      <c r="C1451">
        <v>0</v>
      </c>
      <c r="D1451">
        <v>1</v>
      </c>
      <c r="E1451">
        <v>200000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  <c r="BC1451" s="1">
        <v>200000</v>
      </c>
      <c r="BD1451" t="s">
        <v>94</v>
      </c>
      <c r="BE1451" t="s">
        <v>1986</v>
      </c>
      <c r="BF1451" t="s">
        <v>837</v>
      </c>
      <c r="BH1451" t="s">
        <v>97</v>
      </c>
      <c r="BI1451" t="s">
        <v>160</v>
      </c>
      <c r="BJ1451" t="s">
        <v>79</v>
      </c>
      <c r="BM1451">
        <v>0</v>
      </c>
      <c r="BN1451">
        <v>1</v>
      </c>
      <c r="BO1451">
        <v>1</v>
      </c>
      <c r="BP1451" t="s">
        <v>80</v>
      </c>
      <c r="BR1451">
        <v>0</v>
      </c>
      <c r="BS1451">
        <v>6</v>
      </c>
      <c r="BU1451">
        <v>200000</v>
      </c>
    </row>
    <row r="1452" spans="1:73" x14ac:dyDescent="0.3">
      <c r="A1452" t="s">
        <v>1987</v>
      </c>
      <c r="B1452">
        <v>1</v>
      </c>
      <c r="C1452">
        <v>2245967</v>
      </c>
      <c r="D1452">
        <v>8</v>
      </c>
      <c r="E1452">
        <v>747290</v>
      </c>
      <c r="F1452">
        <v>0</v>
      </c>
      <c r="G1452">
        <v>0</v>
      </c>
      <c r="H1452">
        <v>9</v>
      </c>
      <c r="I1452">
        <v>481854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108334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1053869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22</v>
      </c>
      <c r="BC1452" s="1">
        <v>6266680</v>
      </c>
      <c r="BD1452" t="s">
        <v>94</v>
      </c>
      <c r="BE1452" t="s">
        <v>1988</v>
      </c>
      <c r="BF1452" t="s">
        <v>1989</v>
      </c>
      <c r="BH1452" t="s">
        <v>97</v>
      </c>
      <c r="BI1452" t="s">
        <v>119</v>
      </c>
      <c r="BJ1452" t="s">
        <v>79</v>
      </c>
      <c r="BM1452">
        <v>1</v>
      </c>
      <c r="BN1452">
        <v>3</v>
      </c>
      <c r="BO1452">
        <v>4</v>
      </c>
      <c r="BP1452" t="s">
        <v>80</v>
      </c>
      <c r="BR1452">
        <v>0</v>
      </c>
      <c r="BS1452">
        <v>6</v>
      </c>
      <c r="BU1452">
        <v>4637314</v>
      </c>
    </row>
    <row r="1453" spans="1:73" x14ac:dyDescent="0.3">
      <c r="A1453" t="s">
        <v>1993</v>
      </c>
      <c r="B1453">
        <v>0</v>
      </c>
      <c r="C1453">
        <v>0</v>
      </c>
      <c r="D1453">
        <v>1</v>
      </c>
      <c r="E1453">
        <v>1600000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</v>
      </c>
      <c r="BC1453" s="1">
        <v>3200000</v>
      </c>
      <c r="BD1453" t="s">
        <v>94</v>
      </c>
      <c r="BE1453" t="s">
        <v>1994</v>
      </c>
      <c r="BF1453" t="s">
        <v>1995</v>
      </c>
      <c r="BH1453" t="s">
        <v>97</v>
      </c>
      <c r="BI1453" t="s">
        <v>98</v>
      </c>
      <c r="BJ1453" t="s">
        <v>79</v>
      </c>
      <c r="BM1453">
        <v>0</v>
      </c>
      <c r="BN1453">
        <v>1</v>
      </c>
      <c r="BO1453">
        <v>1</v>
      </c>
      <c r="BP1453" t="s">
        <v>80</v>
      </c>
      <c r="BR1453">
        <v>0</v>
      </c>
      <c r="BS1453">
        <v>6</v>
      </c>
      <c r="BU1453">
        <v>1600000</v>
      </c>
    </row>
    <row r="1454" spans="1:73" x14ac:dyDescent="0.3">
      <c r="A1454" t="s">
        <v>1996</v>
      </c>
      <c r="B1454">
        <v>4</v>
      </c>
      <c r="C1454">
        <v>2037292</v>
      </c>
      <c r="D1454">
        <v>5</v>
      </c>
      <c r="E1454">
        <v>789389</v>
      </c>
      <c r="F1454">
        <v>0</v>
      </c>
      <c r="G1454">
        <v>0</v>
      </c>
      <c r="H1454">
        <v>8</v>
      </c>
      <c r="I1454">
        <v>178778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14</v>
      </c>
      <c r="BC1454" s="1">
        <v>3616070</v>
      </c>
      <c r="BD1454" t="s">
        <v>94</v>
      </c>
      <c r="BE1454" t="s">
        <v>1997</v>
      </c>
      <c r="BF1454" t="s">
        <v>1998</v>
      </c>
      <c r="BH1454" t="s">
        <v>97</v>
      </c>
      <c r="BI1454" t="s">
        <v>98</v>
      </c>
      <c r="BJ1454" t="s">
        <v>79</v>
      </c>
      <c r="BM1454">
        <v>0</v>
      </c>
      <c r="BN1454">
        <v>3</v>
      </c>
      <c r="BO1454">
        <v>3</v>
      </c>
      <c r="BP1454" t="s">
        <v>80</v>
      </c>
      <c r="BR1454">
        <v>0</v>
      </c>
      <c r="BS1454">
        <v>6</v>
      </c>
      <c r="BU1454">
        <v>3005459</v>
      </c>
    </row>
    <row r="1455" spans="1:73" x14ac:dyDescent="0.3">
      <c r="A1455" t="s">
        <v>1999</v>
      </c>
      <c r="B1455">
        <v>0</v>
      </c>
      <c r="C1455">
        <v>0</v>
      </c>
      <c r="D1455">
        <v>9</v>
      </c>
      <c r="E1455">
        <v>3366186</v>
      </c>
      <c r="F1455">
        <v>0</v>
      </c>
      <c r="G1455">
        <v>0</v>
      </c>
      <c r="H1455">
        <v>12</v>
      </c>
      <c r="I1455">
        <v>332372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277778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20</v>
      </c>
      <c r="BC1455" s="1">
        <v>7287928</v>
      </c>
      <c r="BD1455" t="s">
        <v>94</v>
      </c>
      <c r="BE1455" t="s">
        <v>2000</v>
      </c>
      <c r="BF1455" t="s">
        <v>2001</v>
      </c>
      <c r="BH1455" t="s">
        <v>97</v>
      </c>
      <c r="BI1455" t="s">
        <v>119</v>
      </c>
      <c r="BJ1455" t="s">
        <v>79</v>
      </c>
      <c r="BM1455">
        <v>1</v>
      </c>
      <c r="BN1455">
        <v>2</v>
      </c>
      <c r="BO1455">
        <v>3</v>
      </c>
      <c r="BP1455" t="s">
        <v>80</v>
      </c>
      <c r="BR1455">
        <v>0</v>
      </c>
      <c r="BS1455">
        <v>5</v>
      </c>
      <c r="BU1455">
        <v>3976336</v>
      </c>
    </row>
    <row r="1456" spans="1:73" x14ac:dyDescent="0.3">
      <c r="A1456" t="s">
        <v>2011</v>
      </c>
      <c r="B1456">
        <v>2</v>
      </c>
      <c r="C1456">
        <v>375608</v>
      </c>
      <c r="D1456">
        <v>5</v>
      </c>
      <c r="E1456">
        <v>742600</v>
      </c>
      <c r="F1456">
        <v>0</v>
      </c>
      <c r="G1456">
        <v>0</v>
      </c>
      <c r="H1456">
        <v>6</v>
      </c>
      <c r="I1456">
        <v>125200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73535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19792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16</v>
      </c>
      <c r="BC1456" s="1">
        <v>2047670</v>
      </c>
      <c r="BD1456" t="s">
        <v>94</v>
      </c>
      <c r="BE1456" t="s">
        <v>2012</v>
      </c>
      <c r="BF1456" t="s">
        <v>2013</v>
      </c>
      <c r="BH1456" t="s">
        <v>97</v>
      </c>
      <c r="BI1456" t="s">
        <v>160</v>
      </c>
      <c r="BJ1456" t="s">
        <v>79</v>
      </c>
      <c r="BM1456">
        <v>2</v>
      </c>
      <c r="BN1456">
        <v>3</v>
      </c>
      <c r="BO1456">
        <v>5</v>
      </c>
      <c r="BP1456" t="s">
        <v>80</v>
      </c>
      <c r="BR1456">
        <v>0</v>
      </c>
      <c r="BS1456">
        <v>6</v>
      </c>
      <c r="BU1456">
        <v>1336735</v>
      </c>
    </row>
    <row r="1457" spans="1:73" x14ac:dyDescent="0.3">
      <c r="A1457" t="s">
        <v>2023</v>
      </c>
      <c r="B1457">
        <v>0</v>
      </c>
      <c r="C1457">
        <v>352730</v>
      </c>
      <c r="D1457">
        <v>1</v>
      </c>
      <c r="E1457">
        <v>163634</v>
      </c>
      <c r="F1457">
        <v>0</v>
      </c>
      <c r="G1457">
        <v>0</v>
      </c>
      <c r="H1457">
        <v>1</v>
      </c>
      <c r="I1457">
        <v>20000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2</v>
      </c>
      <c r="BC1457" s="1">
        <v>536364</v>
      </c>
      <c r="BD1457" t="s">
        <v>94</v>
      </c>
      <c r="BE1457" t="s">
        <v>2024</v>
      </c>
      <c r="BF1457" t="s">
        <v>2025</v>
      </c>
      <c r="BH1457" t="s">
        <v>97</v>
      </c>
      <c r="BI1457" t="s">
        <v>265</v>
      </c>
      <c r="BJ1457" t="s">
        <v>79</v>
      </c>
      <c r="BM1457">
        <v>0</v>
      </c>
      <c r="BN1457">
        <v>2</v>
      </c>
      <c r="BO1457">
        <v>2</v>
      </c>
      <c r="BP1457" t="s">
        <v>80</v>
      </c>
      <c r="BR1457">
        <v>0</v>
      </c>
      <c r="BS1457">
        <v>6</v>
      </c>
      <c r="BU1457">
        <v>536364</v>
      </c>
    </row>
    <row r="1458" spans="1:73" x14ac:dyDescent="0.3">
      <c r="A1458" t="s">
        <v>2029</v>
      </c>
      <c r="B1458">
        <v>0</v>
      </c>
      <c r="C1458">
        <v>0</v>
      </c>
      <c r="D1458">
        <v>10</v>
      </c>
      <c r="E1458">
        <v>860914</v>
      </c>
      <c r="F1458">
        <v>0</v>
      </c>
      <c r="G1458">
        <v>0</v>
      </c>
      <c r="H1458">
        <v>18</v>
      </c>
      <c r="I1458">
        <v>421828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20</v>
      </c>
      <c r="BC1458" s="1">
        <v>1721828</v>
      </c>
      <c r="BD1458" t="s">
        <v>94</v>
      </c>
      <c r="BE1458" t="s">
        <v>2030</v>
      </c>
      <c r="BF1458" t="s">
        <v>2031</v>
      </c>
      <c r="BH1458" t="s">
        <v>97</v>
      </c>
      <c r="BI1458" t="s">
        <v>98</v>
      </c>
      <c r="BJ1458" t="s">
        <v>79</v>
      </c>
      <c r="BM1458">
        <v>0</v>
      </c>
      <c r="BN1458">
        <v>2</v>
      </c>
      <c r="BO1458">
        <v>2</v>
      </c>
      <c r="BP1458" t="s">
        <v>80</v>
      </c>
      <c r="BR1458">
        <v>0</v>
      </c>
      <c r="BS1458">
        <v>6</v>
      </c>
      <c r="BU1458">
        <v>1282742</v>
      </c>
    </row>
    <row r="1459" spans="1:73" x14ac:dyDescent="0.3">
      <c r="A1459" t="s">
        <v>2032</v>
      </c>
      <c r="B1459">
        <v>0</v>
      </c>
      <c r="C1459">
        <v>0</v>
      </c>
      <c r="D1459">
        <v>1</v>
      </c>
      <c r="E1459">
        <v>250000</v>
      </c>
      <c r="F1459">
        <v>0</v>
      </c>
      <c r="G1459">
        <v>0</v>
      </c>
      <c r="H1459">
        <v>1</v>
      </c>
      <c r="I1459">
        <v>20000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</v>
      </c>
      <c r="BC1459" s="1">
        <v>270000</v>
      </c>
      <c r="BD1459" t="s">
        <v>94</v>
      </c>
      <c r="BE1459" t="s">
        <v>2033</v>
      </c>
      <c r="BF1459" t="s">
        <v>2034</v>
      </c>
      <c r="BH1459" t="s">
        <v>97</v>
      </c>
      <c r="BI1459" t="s">
        <v>208</v>
      </c>
      <c r="BJ1459" t="s">
        <v>79</v>
      </c>
      <c r="BM1459">
        <v>0</v>
      </c>
      <c r="BN1459">
        <v>2</v>
      </c>
      <c r="BO1459">
        <v>2</v>
      </c>
      <c r="BP1459" t="s">
        <v>80</v>
      </c>
      <c r="BR1459">
        <v>0</v>
      </c>
      <c r="BS1459">
        <v>6</v>
      </c>
      <c r="BU1459">
        <v>270000</v>
      </c>
    </row>
    <row r="1460" spans="1:73" x14ac:dyDescent="0.3">
      <c r="A1460" t="s">
        <v>2043</v>
      </c>
      <c r="B1460">
        <v>0</v>
      </c>
      <c r="C1460">
        <v>0</v>
      </c>
      <c r="D1460">
        <v>4</v>
      </c>
      <c r="E1460">
        <v>425454</v>
      </c>
      <c r="F1460">
        <v>0</v>
      </c>
      <c r="G1460">
        <v>0</v>
      </c>
      <c r="H1460">
        <v>8</v>
      </c>
      <c r="I1460">
        <v>170000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12</v>
      </c>
      <c r="BC1460" s="1">
        <v>940908</v>
      </c>
      <c r="BD1460" t="s">
        <v>94</v>
      </c>
      <c r="BE1460" t="s">
        <v>2044</v>
      </c>
      <c r="BF1460" t="s">
        <v>2045</v>
      </c>
      <c r="BH1460" t="s">
        <v>97</v>
      </c>
      <c r="BI1460" t="s">
        <v>208</v>
      </c>
      <c r="BJ1460" t="s">
        <v>79</v>
      </c>
      <c r="BM1460">
        <v>0</v>
      </c>
      <c r="BN1460">
        <v>2</v>
      </c>
      <c r="BO1460">
        <v>2</v>
      </c>
      <c r="BP1460" t="s">
        <v>80</v>
      </c>
      <c r="BR1460">
        <v>0</v>
      </c>
      <c r="BS1460">
        <v>6</v>
      </c>
      <c r="BU1460">
        <v>595454</v>
      </c>
    </row>
    <row r="1461" spans="1:73" x14ac:dyDescent="0.3">
      <c r="A1461" t="s">
        <v>2046</v>
      </c>
      <c r="B1461">
        <v>0</v>
      </c>
      <c r="C1461">
        <v>0</v>
      </c>
      <c r="D1461">
        <v>2</v>
      </c>
      <c r="E1461">
        <v>726198</v>
      </c>
      <c r="F1461">
        <v>0</v>
      </c>
      <c r="G1461">
        <v>0</v>
      </c>
      <c r="H1461">
        <v>3</v>
      </c>
      <c r="I1461">
        <v>72396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78585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6</v>
      </c>
      <c r="BC1461" s="1">
        <v>1550981</v>
      </c>
      <c r="BD1461" t="s">
        <v>94</v>
      </c>
      <c r="BE1461" t="s">
        <v>2047</v>
      </c>
      <c r="BF1461" t="s">
        <v>2048</v>
      </c>
      <c r="BH1461" t="s">
        <v>97</v>
      </c>
      <c r="BI1461" t="s">
        <v>208</v>
      </c>
      <c r="BJ1461" t="s">
        <v>79</v>
      </c>
      <c r="BM1461">
        <v>1</v>
      </c>
      <c r="BN1461">
        <v>2</v>
      </c>
      <c r="BO1461">
        <v>3</v>
      </c>
      <c r="BP1461" t="s">
        <v>80</v>
      </c>
      <c r="BR1461">
        <v>0</v>
      </c>
      <c r="BS1461">
        <v>6</v>
      </c>
      <c r="BU1461">
        <v>877179</v>
      </c>
    </row>
    <row r="1462" spans="1:73" x14ac:dyDescent="0.3">
      <c r="A1462" t="s">
        <v>2052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2</v>
      </c>
      <c r="Z1462">
        <v>139696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5</v>
      </c>
      <c r="BC1462" s="1">
        <v>947963</v>
      </c>
      <c r="BD1462" t="s">
        <v>94</v>
      </c>
      <c r="BE1462" t="s">
        <v>2053</v>
      </c>
      <c r="BF1462" t="s">
        <v>2054</v>
      </c>
      <c r="BH1462" t="s">
        <v>97</v>
      </c>
      <c r="BI1462" t="s">
        <v>98</v>
      </c>
      <c r="BJ1462" t="s">
        <v>79</v>
      </c>
      <c r="BM1462">
        <v>1</v>
      </c>
      <c r="BN1462">
        <v>0</v>
      </c>
      <c r="BO1462">
        <v>1</v>
      </c>
      <c r="BP1462" t="s">
        <v>80</v>
      </c>
      <c r="BR1462">
        <v>0</v>
      </c>
      <c r="BS1462">
        <v>6</v>
      </c>
      <c r="BU1462">
        <v>139696</v>
      </c>
    </row>
    <row r="1463" spans="1:73" x14ac:dyDescent="0.3">
      <c r="A1463" t="s">
        <v>2058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43523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4394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2</v>
      </c>
      <c r="BC1463" s="1">
        <v>47917</v>
      </c>
      <c r="BD1463" t="s">
        <v>94</v>
      </c>
      <c r="BE1463" t="s">
        <v>2059</v>
      </c>
      <c r="BF1463" t="s">
        <v>2060</v>
      </c>
      <c r="BH1463" t="s">
        <v>97</v>
      </c>
      <c r="BI1463" t="s">
        <v>119</v>
      </c>
      <c r="BJ1463" t="s">
        <v>79</v>
      </c>
      <c r="BM1463">
        <v>2</v>
      </c>
      <c r="BN1463">
        <v>0</v>
      </c>
      <c r="BO1463">
        <v>2</v>
      </c>
      <c r="BP1463" t="s">
        <v>80</v>
      </c>
      <c r="BR1463">
        <v>0</v>
      </c>
      <c r="BS1463">
        <v>0</v>
      </c>
      <c r="BU1463">
        <v>47917</v>
      </c>
    </row>
    <row r="1464" spans="1:73" x14ac:dyDescent="0.3">
      <c r="A1464" t="s">
        <v>2064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73535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2</v>
      </c>
      <c r="BC1464" s="1">
        <v>147070</v>
      </c>
      <c r="BD1464" t="s">
        <v>94</v>
      </c>
      <c r="BE1464" t="s">
        <v>2065</v>
      </c>
      <c r="BF1464" t="s">
        <v>2066</v>
      </c>
      <c r="BH1464" t="s">
        <v>97</v>
      </c>
      <c r="BI1464" t="s">
        <v>119</v>
      </c>
      <c r="BJ1464" t="s">
        <v>79</v>
      </c>
      <c r="BM1464">
        <v>1</v>
      </c>
      <c r="BN1464">
        <v>0</v>
      </c>
      <c r="BO1464">
        <v>1</v>
      </c>
      <c r="BP1464" t="s">
        <v>80</v>
      </c>
      <c r="BR1464">
        <v>0</v>
      </c>
      <c r="BS1464">
        <v>0</v>
      </c>
      <c r="BU1464">
        <v>73535</v>
      </c>
    </row>
    <row r="1465" spans="1:73" x14ac:dyDescent="0.3">
      <c r="A1465" t="s">
        <v>2084</v>
      </c>
      <c r="B1465">
        <v>0</v>
      </c>
      <c r="C1465">
        <v>0</v>
      </c>
      <c r="D1465">
        <v>1</v>
      </c>
      <c r="E1465">
        <v>4285714</v>
      </c>
      <c r="F1465">
        <v>0</v>
      </c>
      <c r="G1465">
        <v>0</v>
      </c>
      <c r="H1465">
        <v>5</v>
      </c>
      <c r="I1465">
        <v>100000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7</v>
      </c>
      <c r="BC1465" s="1">
        <v>8671428</v>
      </c>
      <c r="BD1465" t="s">
        <v>94</v>
      </c>
      <c r="BE1465" t="s">
        <v>2085</v>
      </c>
      <c r="BF1465" t="s">
        <v>2086</v>
      </c>
      <c r="BH1465" t="s">
        <v>97</v>
      </c>
      <c r="BI1465" t="s">
        <v>265</v>
      </c>
      <c r="BJ1465" t="s">
        <v>79</v>
      </c>
      <c r="BM1465">
        <v>0</v>
      </c>
      <c r="BN1465">
        <v>2</v>
      </c>
      <c r="BO1465">
        <v>2</v>
      </c>
      <c r="BP1465" t="s">
        <v>80</v>
      </c>
      <c r="BR1465">
        <v>0</v>
      </c>
      <c r="BS1465">
        <v>6</v>
      </c>
      <c r="BU1465">
        <v>4385714</v>
      </c>
    </row>
    <row r="1466" spans="1:73" x14ac:dyDescent="0.3">
      <c r="A1466" t="s">
        <v>2090</v>
      </c>
      <c r="B1466">
        <v>1</v>
      </c>
      <c r="C1466">
        <v>226363</v>
      </c>
      <c r="D1466">
        <v>7</v>
      </c>
      <c r="E1466">
        <v>2258068</v>
      </c>
      <c r="F1466">
        <v>0</v>
      </c>
      <c r="G1466">
        <v>0</v>
      </c>
      <c r="H1466">
        <v>12</v>
      </c>
      <c r="I1466">
        <v>1316136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15</v>
      </c>
      <c r="BC1466" s="1">
        <v>4742499</v>
      </c>
      <c r="BD1466" t="s">
        <v>94</v>
      </c>
      <c r="BE1466" t="s">
        <v>2091</v>
      </c>
      <c r="BF1466" t="s">
        <v>828</v>
      </c>
      <c r="BH1466" t="s">
        <v>97</v>
      </c>
      <c r="BI1466" t="s">
        <v>119</v>
      </c>
      <c r="BJ1466" t="s">
        <v>79</v>
      </c>
      <c r="BM1466">
        <v>0</v>
      </c>
      <c r="BN1466">
        <v>3</v>
      </c>
      <c r="BO1466">
        <v>3</v>
      </c>
      <c r="BP1466" t="s">
        <v>80</v>
      </c>
      <c r="BR1466">
        <v>0</v>
      </c>
      <c r="BS1466">
        <v>6</v>
      </c>
      <c r="BU1466">
        <v>3800567</v>
      </c>
    </row>
    <row r="1467" spans="1:73" x14ac:dyDescent="0.3">
      <c r="A1467" t="s">
        <v>2098</v>
      </c>
      <c r="B1467">
        <v>1</v>
      </c>
      <c r="C1467">
        <v>946075</v>
      </c>
      <c r="D1467">
        <v>1</v>
      </c>
      <c r="E1467">
        <v>190909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3</v>
      </c>
      <c r="BC1467" s="1">
        <v>1327893</v>
      </c>
      <c r="BD1467" t="s">
        <v>94</v>
      </c>
      <c r="BE1467" t="s">
        <v>2099</v>
      </c>
      <c r="BF1467" t="s">
        <v>2100</v>
      </c>
      <c r="BH1467" t="s">
        <v>97</v>
      </c>
      <c r="BI1467" t="s">
        <v>208</v>
      </c>
      <c r="BJ1467" t="s">
        <v>79</v>
      </c>
      <c r="BM1467">
        <v>0</v>
      </c>
      <c r="BN1467">
        <v>2</v>
      </c>
      <c r="BO1467">
        <v>2</v>
      </c>
      <c r="BP1467" t="s">
        <v>80</v>
      </c>
      <c r="BR1467">
        <v>0</v>
      </c>
      <c r="BS1467">
        <v>6</v>
      </c>
      <c r="BU1467">
        <v>1136984</v>
      </c>
    </row>
    <row r="1468" spans="1:73" x14ac:dyDescent="0.3">
      <c r="A1468" t="s">
        <v>2107</v>
      </c>
      <c r="B1468">
        <v>4</v>
      </c>
      <c r="C1468">
        <v>633755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19792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6</v>
      </c>
      <c r="BC1468" s="1">
        <v>673339</v>
      </c>
      <c r="BD1468" t="s">
        <v>94</v>
      </c>
      <c r="BE1468" t="s">
        <v>2108</v>
      </c>
      <c r="BF1468" t="s">
        <v>2109</v>
      </c>
      <c r="BH1468" t="s">
        <v>97</v>
      </c>
      <c r="BI1468" t="s">
        <v>119</v>
      </c>
      <c r="BJ1468" t="s">
        <v>79</v>
      </c>
      <c r="BM1468">
        <v>1</v>
      </c>
      <c r="BN1468">
        <v>1</v>
      </c>
      <c r="BO1468">
        <v>2</v>
      </c>
      <c r="BP1468" t="s">
        <v>80</v>
      </c>
      <c r="BR1468">
        <v>0</v>
      </c>
      <c r="BS1468">
        <v>6</v>
      </c>
      <c r="BU1468">
        <v>653547</v>
      </c>
    </row>
    <row r="1469" spans="1:73" x14ac:dyDescent="0.3">
      <c r="A1469" t="s">
        <v>2110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73535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2</v>
      </c>
      <c r="BC1469" s="1">
        <v>93327</v>
      </c>
      <c r="BD1469" t="s">
        <v>94</v>
      </c>
      <c r="BE1469" t="s">
        <v>2111</v>
      </c>
      <c r="BF1469" t="s">
        <v>2112</v>
      </c>
      <c r="BH1469" t="s">
        <v>97</v>
      </c>
      <c r="BI1469" t="s">
        <v>119</v>
      </c>
      <c r="BJ1469" t="s">
        <v>79</v>
      </c>
      <c r="BM1469">
        <v>1</v>
      </c>
      <c r="BN1469">
        <v>0</v>
      </c>
      <c r="BO1469">
        <v>1</v>
      </c>
      <c r="BP1469" t="s">
        <v>80</v>
      </c>
      <c r="BR1469">
        <v>0</v>
      </c>
      <c r="BS1469">
        <v>6</v>
      </c>
      <c r="BU1469">
        <v>73535</v>
      </c>
    </row>
    <row r="1470" spans="1:73" x14ac:dyDescent="0.3">
      <c r="A1470" t="s">
        <v>2115</v>
      </c>
      <c r="B1470">
        <v>0</v>
      </c>
      <c r="C1470">
        <v>0</v>
      </c>
      <c r="D1470">
        <v>1</v>
      </c>
      <c r="E1470">
        <v>150000</v>
      </c>
      <c r="F1470">
        <v>0</v>
      </c>
      <c r="G1470">
        <v>0</v>
      </c>
      <c r="H1470">
        <v>1</v>
      </c>
      <c r="I1470">
        <v>20000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2</v>
      </c>
      <c r="BC1470" s="1">
        <v>170000</v>
      </c>
      <c r="BD1470" t="s">
        <v>94</v>
      </c>
      <c r="BE1470" t="s">
        <v>2116</v>
      </c>
      <c r="BF1470" t="s">
        <v>1603</v>
      </c>
      <c r="BH1470" t="s">
        <v>97</v>
      </c>
      <c r="BI1470" t="s">
        <v>208</v>
      </c>
      <c r="BJ1470" t="s">
        <v>79</v>
      </c>
      <c r="BM1470">
        <v>0</v>
      </c>
      <c r="BN1470">
        <v>2</v>
      </c>
      <c r="BO1470">
        <v>2</v>
      </c>
      <c r="BP1470" t="s">
        <v>514</v>
      </c>
      <c r="BR1470">
        <v>0</v>
      </c>
      <c r="BS1470">
        <v>6</v>
      </c>
      <c r="BU1470">
        <v>170000</v>
      </c>
    </row>
    <row r="1471" spans="1:73" x14ac:dyDescent="0.3">
      <c r="A1471" t="s">
        <v>2128</v>
      </c>
      <c r="B1471">
        <v>0</v>
      </c>
      <c r="C1471">
        <v>0</v>
      </c>
      <c r="D1471">
        <v>5</v>
      </c>
      <c r="E1471">
        <v>1207040</v>
      </c>
      <c r="F1471">
        <v>0</v>
      </c>
      <c r="G1471">
        <v>0</v>
      </c>
      <c r="H1471">
        <v>6</v>
      </c>
      <c r="I1471">
        <v>141580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73535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12</v>
      </c>
      <c r="BC1471" s="1">
        <v>2561150</v>
      </c>
      <c r="BD1471" t="s">
        <v>94</v>
      </c>
      <c r="BE1471" t="s">
        <v>2129</v>
      </c>
      <c r="BF1471" t="s">
        <v>2130</v>
      </c>
      <c r="BH1471" t="s">
        <v>97</v>
      </c>
      <c r="BI1471" t="s">
        <v>119</v>
      </c>
      <c r="BJ1471" t="s">
        <v>79</v>
      </c>
      <c r="BM1471">
        <v>1</v>
      </c>
      <c r="BN1471">
        <v>2</v>
      </c>
      <c r="BO1471">
        <v>3</v>
      </c>
      <c r="BP1471" t="s">
        <v>80</v>
      </c>
      <c r="BR1471">
        <v>0</v>
      </c>
      <c r="BS1471">
        <v>6</v>
      </c>
      <c r="BU1471">
        <v>1422155</v>
      </c>
    </row>
    <row r="1472" spans="1:73" x14ac:dyDescent="0.3">
      <c r="A1472" t="s">
        <v>2145</v>
      </c>
      <c r="B1472">
        <v>0</v>
      </c>
      <c r="C1472">
        <v>0</v>
      </c>
      <c r="D1472">
        <v>2</v>
      </c>
      <c r="E1472">
        <v>756000</v>
      </c>
      <c r="F1472">
        <v>0</v>
      </c>
      <c r="G1472">
        <v>0</v>
      </c>
      <c r="H1472">
        <v>2</v>
      </c>
      <c r="I1472">
        <v>40668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4</v>
      </c>
      <c r="BC1472" s="1">
        <v>796668</v>
      </c>
      <c r="BD1472" t="s">
        <v>94</v>
      </c>
      <c r="BE1472" t="s">
        <v>2146</v>
      </c>
      <c r="BF1472" t="s">
        <v>2147</v>
      </c>
      <c r="BH1472" t="s">
        <v>97</v>
      </c>
      <c r="BI1472" t="s">
        <v>119</v>
      </c>
      <c r="BJ1472" t="s">
        <v>79</v>
      </c>
      <c r="BM1472">
        <v>0</v>
      </c>
      <c r="BN1472">
        <v>2</v>
      </c>
      <c r="BO1472">
        <v>2</v>
      </c>
      <c r="BP1472" t="s">
        <v>80</v>
      </c>
      <c r="BR1472">
        <v>0</v>
      </c>
      <c r="BS1472">
        <v>6</v>
      </c>
      <c r="BU1472">
        <v>796668</v>
      </c>
    </row>
    <row r="1473" spans="1:73" x14ac:dyDescent="0.3">
      <c r="A1473" t="s">
        <v>2153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20000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 s="1">
        <v>20000</v>
      </c>
      <c r="BD1473" t="s">
        <v>94</v>
      </c>
      <c r="BE1473" t="s">
        <v>2154</v>
      </c>
      <c r="BF1473" t="s">
        <v>2154</v>
      </c>
      <c r="BH1473" t="s">
        <v>97</v>
      </c>
      <c r="BI1473" t="s">
        <v>98</v>
      </c>
      <c r="BJ1473" t="s">
        <v>79</v>
      </c>
      <c r="BM1473">
        <v>0</v>
      </c>
      <c r="BN1473">
        <v>1</v>
      </c>
      <c r="BO1473">
        <v>1</v>
      </c>
      <c r="BP1473" t="s">
        <v>514</v>
      </c>
      <c r="BR1473">
        <v>0</v>
      </c>
      <c r="BS1473">
        <v>6</v>
      </c>
      <c r="BU1473">
        <v>20000</v>
      </c>
    </row>
    <row r="1474" spans="1:73" x14ac:dyDescent="0.3">
      <c r="A1474" t="s">
        <v>2155</v>
      </c>
      <c r="B1474">
        <v>0</v>
      </c>
      <c r="C1474">
        <v>0</v>
      </c>
      <c r="D1474">
        <v>1</v>
      </c>
      <c r="E1474">
        <v>190909</v>
      </c>
      <c r="F1474">
        <v>0</v>
      </c>
      <c r="G1474">
        <v>0</v>
      </c>
      <c r="H1474">
        <v>1</v>
      </c>
      <c r="I1474">
        <v>15000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2</v>
      </c>
      <c r="BC1474" s="1">
        <v>205909</v>
      </c>
      <c r="BD1474" t="s">
        <v>94</v>
      </c>
      <c r="BE1474" t="s">
        <v>2156</v>
      </c>
      <c r="BF1474" t="s">
        <v>2157</v>
      </c>
      <c r="BH1474" t="s">
        <v>97</v>
      </c>
      <c r="BI1474" t="s">
        <v>98</v>
      </c>
      <c r="BJ1474" t="s">
        <v>79</v>
      </c>
      <c r="BM1474">
        <v>0</v>
      </c>
      <c r="BN1474">
        <v>2</v>
      </c>
      <c r="BO1474">
        <v>2</v>
      </c>
      <c r="BP1474" t="s">
        <v>514</v>
      </c>
      <c r="BR1474">
        <v>0</v>
      </c>
      <c r="BS1474">
        <v>6</v>
      </c>
      <c r="BU1474">
        <v>205909</v>
      </c>
    </row>
    <row r="1475" spans="1:73" x14ac:dyDescent="0.3">
      <c r="A1475" t="s">
        <v>2158</v>
      </c>
      <c r="B1475">
        <v>0</v>
      </c>
      <c r="C1475">
        <v>0</v>
      </c>
      <c r="D1475">
        <v>1</v>
      </c>
      <c r="E1475">
        <v>190000</v>
      </c>
      <c r="F1475">
        <v>0</v>
      </c>
      <c r="G1475">
        <v>0</v>
      </c>
      <c r="H1475">
        <v>1</v>
      </c>
      <c r="I1475">
        <v>20000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2</v>
      </c>
      <c r="BC1475" s="1">
        <v>210000</v>
      </c>
      <c r="BD1475" t="s">
        <v>94</v>
      </c>
      <c r="BE1475" t="s">
        <v>2159</v>
      </c>
      <c r="BF1475" t="s">
        <v>2160</v>
      </c>
      <c r="BH1475" t="s">
        <v>97</v>
      </c>
      <c r="BI1475" t="s">
        <v>98</v>
      </c>
      <c r="BJ1475" t="s">
        <v>79</v>
      </c>
      <c r="BM1475">
        <v>0</v>
      </c>
      <c r="BN1475">
        <v>2</v>
      </c>
      <c r="BO1475">
        <v>2</v>
      </c>
      <c r="BP1475" t="s">
        <v>514</v>
      </c>
      <c r="BR1475">
        <v>0</v>
      </c>
      <c r="BS1475">
        <v>6</v>
      </c>
      <c r="BU1475">
        <v>210000</v>
      </c>
    </row>
    <row r="1476" spans="1:73" x14ac:dyDescent="0.3">
      <c r="A1476" t="s">
        <v>2161</v>
      </c>
      <c r="B1476">
        <v>0</v>
      </c>
      <c r="C1476">
        <v>0</v>
      </c>
      <c r="D1476">
        <v>5</v>
      </c>
      <c r="E1476">
        <v>5000000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5</v>
      </c>
      <c r="BC1476" s="1">
        <v>5000000</v>
      </c>
      <c r="BD1476" t="s">
        <v>94</v>
      </c>
      <c r="BE1476" t="s">
        <v>2162</v>
      </c>
      <c r="BF1476" t="s">
        <v>2163</v>
      </c>
      <c r="BH1476" t="s">
        <v>164</v>
      </c>
      <c r="BI1476" t="s">
        <v>2164</v>
      </c>
      <c r="BJ1476" t="s">
        <v>79</v>
      </c>
      <c r="BM1476">
        <v>0</v>
      </c>
      <c r="BN1476">
        <v>1</v>
      </c>
      <c r="BO1476">
        <v>1</v>
      </c>
      <c r="BP1476" t="s">
        <v>80</v>
      </c>
      <c r="BR1476">
        <v>0</v>
      </c>
      <c r="BS1476">
        <v>6</v>
      </c>
      <c r="BU1476">
        <v>5000000</v>
      </c>
    </row>
    <row r="1477" spans="1:73" x14ac:dyDescent="0.3">
      <c r="A1477" t="s">
        <v>2165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73535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 s="1">
        <v>73535</v>
      </c>
      <c r="BD1477" t="s">
        <v>94</v>
      </c>
      <c r="BE1477" t="s">
        <v>2166</v>
      </c>
      <c r="BF1477" t="s">
        <v>2167</v>
      </c>
      <c r="BH1477" t="s">
        <v>97</v>
      </c>
      <c r="BI1477" t="s">
        <v>265</v>
      </c>
      <c r="BJ1477" t="s">
        <v>79</v>
      </c>
      <c r="BM1477">
        <v>1</v>
      </c>
      <c r="BN1477">
        <v>0</v>
      </c>
      <c r="BO1477">
        <v>1</v>
      </c>
      <c r="BP1477" t="s">
        <v>80</v>
      </c>
      <c r="BR1477">
        <v>0</v>
      </c>
      <c r="BS1477">
        <v>0</v>
      </c>
      <c r="BU1477">
        <v>73535</v>
      </c>
    </row>
    <row r="1478" spans="1:73" x14ac:dyDescent="0.3">
      <c r="A1478" t="s">
        <v>2168</v>
      </c>
      <c r="B1478">
        <v>0</v>
      </c>
      <c r="C1478">
        <v>352730</v>
      </c>
      <c r="D1478">
        <v>8</v>
      </c>
      <c r="E1478">
        <v>1030634</v>
      </c>
      <c r="F1478">
        <v>0</v>
      </c>
      <c r="G1478">
        <v>0</v>
      </c>
      <c r="H1478">
        <v>22</v>
      </c>
      <c r="I1478">
        <v>471850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330000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32</v>
      </c>
      <c r="BC1478" s="1">
        <v>3169214</v>
      </c>
      <c r="BD1478" t="s">
        <v>94</v>
      </c>
      <c r="BE1478" t="s">
        <v>2169</v>
      </c>
      <c r="BF1478" t="s">
        <v>2170</v>
      </c>
      <c r="BH1478" t="s">
        <v>97</v>
      </c>
      <c r="BI1478" t="s">
        <v>208</v>
      </c>
      <c r="BJ1478" t="s">
        <v>79</v>
      </c>
      <c r="BM1478">
        <v>0</v>
      </c>
      <c r="BN1478">
        <v>3</v>
      </c>
      <c r="BO1478">
        <v>3</v>
      </c>
      <c r="BP1478" t="s">
        <v>514</v>
      </c>
      <c r="BR1478">
        <v>0</v>
      </c>
      <c r="BS1478">
        <v>6</v>
      </c>
      <c r="BU1478">
        <v>2185214</v>
      </c>
    </row>
    <row r="1479" spans="1:73" x14ac:dyDescent="0.3">
      <c r="A1479" t="s">
        <v>2171</v>
      </c>
      <c r="B1479">
        <v>0</v>
      </c>
      <c r="C1479">
        <v>352730</v>
      </c>
      <c r="D1479">
        <v>7</v>
      </c>
      <c r="E1479">
        <v>2100634</v>
      </c>
      <c r="F1479">
        <v>0</v>
      </c>
      <c r="G1479">
        <v>0</v>
      </c>
      <c r="H1479">
        <v>12</v>
      </c>
      <c r="I1479">
        <v>256863</v>
      </c>
      <c r="J1479">
        <v>0</v>
      </c>
      <c r="K1479">
        <v>0</v>
      </c>
      <c r="L1479">
        <v>0</v>
      </c>
      <c r="M1479">
        <v>0</v>
      </c>
      <c r="N1479">
        <v>3</v>
      </c>
      <c r="O1479">
        <v>4920000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14700000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24</v>
      </c>
      <c r="BC1479" s="1">
        <v>24298227</v>
      </c>
      <c r="BD1479" t="s">
        <v>94</v>
      </c>
      <c r="BE1479" t="s">
        <v>2172</v>
      </c>
      <c r="BF1479" t="s">
        <v>2173</v>
      </c>
      <c r="BH1479" t="s">
        <v>97</v>
      </c>
      <c r="BI1479" t="s">
        <v>98</v>
      </c>
      <c r="BJ1479" t="s">
        <v>79</v>
      </c>
      <c r="BM1479">
        <v>1</v>
      </c>
      <c r="BN1479">
        <v>3</v>
      </c>
      <c r="BO1479">
        <v>4</v>
      </c>
      <c r="BP1479" t="s">
        <v>514</v>
      </c>
      <c r="BR1479">
        <v>0</v>
      </c>
      <c r="BS1479">
        <v>4</v>
      </c>
      <c r="BU1479">
        <v>22330227</v>
      </c>
    </row>
    <row r="1480" spans="1:73" x14ac:dyDescent="0.3">
      <c r="A1480" t="s">
        <v>2174</v>
      </c>
      <c r="B1480">
        <v>3</v>
      </c>
      <c r="C1480">
        <v>1071304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3</v>
      </c>
      <c r="BC1480" s="1">
        <v>1071304</v>
      </c>
      <c r="BD1480" t="s">
        <v>94</v>
      </c>
      <c r="BE1480" t="s">
        <v>2175</v>
      </c>
      <c r="BF1480" t="s">
        <v>2176</v>
      </c>
      <c r="BH1480" t="s">
        <v>97</v>
      </c>
      <c r="BI1480" t="s">
        <v>680</v>
      </c>
      <c r="BJ1480" t="s">
        <v>79</v>
      </c>
      <c r="BM1480">
        <v>0</v>
      </c>
      <c r="BN1480">
        <v>1</v>
      </c>
      <c r="BO1480">
        <v>1</v>
      </c>
      <c r="BP1480" t="s">
        <v>80</v>
      </c>
      <c r="BR1480">
        <v>0</v>
      </c>
      <c r="BS1480">
        <v>6</v>
      </c>
      <c r="BU1480">
        <v>1071304</v>
      </c>
    </row>
    <row r="1481" spans="1:73" x14ac:dyDescent="0.3">
      <c r="A1481" t="s">
        <v>2217</v>
      </c>
      <c r="B1481">
        <v>0</v>
      </c>
      <c r="C1481">
        <v>0</v>
      </c>
      <c r="D1481">
        <v>5</v>
      </c>
      <c r="E1481">
        <v>670180</v>
      </c>
      <c r="F1481">
        <v>0</v>
      </c>
      <c r="G1481">
        <v>0</v>
      </c>
      <c r="H1481">
        <v>6</v>
      </c>
      <c r="I1481">
        <v>140360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73535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12</v>
      </c>
      <c r="BC1481" s="1">
        <v>1340844</v>
      </c>
      <c r="BD1481" t="s">
        <v>94</v>
      </c>
      <c r="BE1481" t="s">
        <v>2218</v>
      </c>
      <c r="BF1481" t="s">
        <v>1227</v>
      </c>
      <c r="BH1481" t="s">
        <v>97</v>
      </c>
      <c r="BI1481" t="s">
        <v>119</v>
      </c>
      <c r="BJ1481" t="s">
        <v>79</v>
      </c>
      <c r="BM1481">
        <v>1</v>
      </c>
      <c r="BN1481">
        <v>2</v>
      </c>
      <c r="BO1481">
        <v>3</v>
      </c>
      <c r="BP1481" t="s">
        <v>80</v>
      </c>
      <c r="BR1481">
        <v>0</v>
      </c>
      <c r="BS1481">
        <v>6</v>
      </c>
      <c r="BU1481">
        <v>884075</v>
      </c>
    </row>
    <row r="1482" spans="1:73" x14ac:dyDescent="0.3">
      <c r="A1482" t="s">
        <v>2230</v>
      </c>
      <c r="B1482">
        <v>14</v>
      </c>
      <c r="C1482">
        <v>63630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14</v>
      </c>
      <c r="BC1482" s="1">
        <v>63630</v>
      </c>
      <c r="BD1482" t="s">
        <v>94</v>
      </c>
      <c r="BE1482" t="s">
        <v>2231</v>
      </c>
      <c r="BF1482" t="s">
        <v>2232</v>
      </c>
      <c r="BM1482">
        <v>0</v>
      </c>
      <c r="BN1482">
        <v>1</v>
      </c>
      <c r="BO1482">
        <v>1</v>
      </c>
      <c r="BP1482" t="s">
        <v>80</v>
      </c>
      <c r="BR1482">
        <v>0</v>
      </c>
      <c r="BS1482">
        <v>0</v>
      </c>
      <c r="BU1482">
        <v>63630</v>
      </c>
    </row>
    <row r="1483" spans="1:73" x14ac:dyDescent="0.3">
      <c r="A1483" t="s">
        <v>2233</v>
      </c>
      <c r="B1483">
        <v>0</v>
      </c>
      <c r="C1483">
        <v>0</v>
      </c>
      <c r="D1483">
        <v>9</v>
      </c>
      <c r="E1483">
        <v>1684139</v>
      </c>
      <c r="F1483">
        <v>0</v>
      </c>
      <c r="G1483">
        <v>0</v>
      </c>
      <c r="H1483">
        <v>14</v>
      </c>
      <c r="I1483">
        <v>368278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18</v>
      </c>
      <c r="BC1483" s="1">
        <v>3368278</v>
      </c>
      <c r="BD1483" t="s">
        <v>94</v>
      </c>
      <c r="BE1483" t="s">
        <v>2234</v>
      </c>
      <c r="BF1483" t="s">
        <v>2001</v>
      </c>
      <c r="BH1483" t="s">
        <v>97</v>
      </c>
      <c r="BI1483" t="s">
        <v>119</v>
      </c>
      <c r="BJ1483" t="s">
        <v>79</v>
      </c>
      <c r="BM1483">
        <v>0</v>
      </c>
      <c r="BN1483">
        <v>2</v>
      </c>
      <c r="BO1483">
        <v>2</v>
      </c>
      <c r="BP1483" t="s">
        <v>80</v>
      </c>
      <c r="BR1483">
        <v>0</v>
      </c>
      <c r="BS1483">
        <v>6</v>
      </c>
      <c r="BU1483">
        <v>2052417</v>
      </c>
    </row>
    <row r="1484" spans="1:73" x14ac:dyDescent="0.3">
      <c r="A1484" t="s">
        <v>2238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78585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 s="1">
        <v>78585</v>
      </c>
      <c r="BD1484" t="s">
        <v>94</v>
      </c>
      <c r="BE1484" t="s">
        <v>2239</v>
      </c>
      <c r="BF1484" t="s">
        <v>2240</v>
      </c>
      <c r="BH1484" t="s">
        <v>97</v>
      </c>
      <c r="BI1484" t="s">
        <v>208</v>
      </c>
      <c r="BJ1484" t="s">
        <v>79</v>
      </c>
      <c r="BM1484">
        <v>1</v>
      </c>
      <c r="BN1484">
        <v>0</v>
      </c>
      <c r="BO1484">
        <v>1</v>
      </c>
      <c r="BP1484" t="s">
        <v>80</v>
      </c>
      <c r="BR1484">
        <v>0</v>
      </c>
      <c r="BS1484">
        <v>0</v>
      </c>
      <c r="BU1484">
        <v>78585</v>
      </c>
    </row>
    <row r="1485" spans="1:73" x14ac:dyDescent="0.3">
      <c r="A1485" t="s">
        <v>2250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73535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19792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3</v>
      </c>
      <c r="BC1485" s="1">
        <v>171912</v>
      </c>
      <c r="BD1485" t="s">
        <v>94</v>
      </c>
      <c r="BE1485" t="s">
        <v>2251</v>
      </c>
      <c r="BF1485" t="s">
        <v>2252</v>
      </c>
      <c r="BH1485" t="s">
        <v>97</v>
      </c>
      <c r="BI1485" t="s">
        <v>119</v>
      </c>
      <c r="BJ1485" t="s">
        <v>79</v>
      </c>
      <c r="BM1485">
        <v>2</v>
      </c>
      <c r="BN1485">
        <v>0</v>
      </c>
      <c r="BO1485">
        <v>2</v>
      </c>
      <c r="BP1485" t="s">
        <v>80</v>
      </c>
      <c r="BR1485">
        <v>0</v>
      </c>
      <c r="BS1485">
        <v>0</v>
      </c>
      <c r="BU1485">
        <v>93327</v>
      </c>
    </row>
    <row r="1486" spans="1:73" x14ac:dyDescent="0.3">
      <c r="A1486" t="s">
        <v>2259</v>
      </c>
      <c r="B1486">
        <v>1</v>
      </c>
      <c r="C1486">
        <v>242113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 s="1">
        <v>242113</v>
      </c>
      <c r="BD1486" t="s">
        <v>94</v>
      </c>
      <c r="BE1486" t="s">
        <v>2260</v>
      </c>
      <c r="BF1486" t="s">
        <v>2261</v>
      </c>
      <c r="BH1486" t="s">
        <v>97</v>
      </c>
      <c r="BI1486" t="s">
        <v>208</v>
      </c>
      <c r="BJ1486" t="s">
        <v>79</v>
      </c>
      <c r="BM1486">
        <v>0</v>
      </c>
      <c r="BN1486">
        <v>1</v>
      </c>
      <c r="BO1486">
        <v>1</v>
      </c>
      <c r="BP1486" t="s">
        <v>80</v>
      </c>
      <c r="BR1486">
        <v>0</v>
      </c>
      <c r="BS1486">
        <v>0</v>
      </c>
      <c r="BU1486">
        <v>242113</v>
      </c>
    </row>
    <row r="1487" spans="1:73" x14ac:dyDescent="0.3">
      <c r="A1487" t="s">
        <v>2285</v>
      </c>
      <c r="B1487">
        <v>2</v>
      </c>
      <c r="C1487">
        <v>382396</v>
      </c>
      <c r="D1487">
        <v>2</v>
      </c>
      <c r="E1487">
        <v>38181</v>
      </c>
      <c r="F1487">
        <v>0</v>
      </c>
      <c r="G1487">
        <v>0</v>
      </c>
      <c r="H1487">
        <v>2</v>
      </c>
      <c r="I1487">
        <v>40000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96439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8</v>
      </c>
      <c r="BC1487" s="1">
        <v>797091</v>
      </c>
      <c r="BD1487" t="s">
        <v>94</v>
      </c>
      <c r="BE1487" t="s">
        <v>2286</v>
      </c>
      <c r="BF1487" t="s">
        <v>2287</v>
      </c>
      <c r="BH1487" t="s">
        <v>97</v>
      </c>
      <c r="BI1487" t="s">
        <v>208</v>
      </c>
      <c r="BJ1487" t="s">
        <v>79</v>
      </c>
      <c r="BM1487">
        <v>1</v>
      </c>
      <c r="BN1487">
        <v>3</v>
      </c>
      <c r="BO1487">
        <v>4</v>
      </c>
      <c r="BP1487" t="s">
        <v>80</v>
      </c>
      <c r="BR1487">
        <v>0</v>
      </c>
      <c r="BS1487">
        <v>6</v>
      </c>
      <c r="BU1487">
        <v>557016</v>
      </c>
    </row>
    <row r="1488" spans="1:73" x14ac:dyDescent="0.3">
      <c r="A1488" t="s">
        <v>2291</v>
      </c>
      <c r="B1488">
        <v>0</v>
      </c>
      <c r="C1488">
        <v>59091</v>
      </c>
      <c r="D1488">
        <v>2</v>
      </c>
      <c r="E1488">
        <v>304545</v>
      </c>
      <c r="F1488">
        <v>0</v>
      </c>
      <c r="G1488">
        <v>0</v>
      </c>
      <c r="H1488">
        <v>1</v>
      </c>
      <c r="I1488">
        <v>20000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3</v>
      </c>
      <c r="BC1488" s="1">
        <v>383636</v>
      </c>
      <c r="BD1488" t="s">
        <v>94</v>
      </c>
      <c r="BE1488" t="s">
        <v>2292</v>
      </c>
      <c r="BF1488" t="s">
        <v>2293</v>
      </c>
      <c r="BH1488" t="s">
        <v>1965</v>
      </c>
      <c r="BI1488" t="s">
        <v>1966</v>
      </c>
      <c r="BJ1488" t="s">
        <v>79</v>
      </c>
      <c r="BM1488">
        <v>0</v>
      </c>
      <c r="BN1488">
        <v>2</v>
      </c>
      <c r="BO1488">
        <v>2</v>
      </c>
      <c r="BP1488" t="s">
        <v>514</v>
      </c>
      <c r="BR1488">
        <v>0</v>
      </c>
      <c r="BS1488">
        <v>6</v>
      </c>
      <c r="BU1488">
        <v>383636</v>
      </c>
    </row>
    <row r="1489" spans="1:73" x14ac:dyDescent="0.3">
      <c r="A1489" t="s">
        <v>2297</v>
      </c>
      <c r="B1489">
        <v>0</v>
      </c>
      <c r="C1489">
        <v>0</v>
      </c>
      <c r="D1489">
        <v>1</v>
      </c>
      <c r="E1489">
        <v>163636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 s="1">
        <v>163636</v>
      </c>
      <c r="BD1489" t="s">
        <v>94</v>
      </c>
      <c r="BE1489" t="s">
        <v>2298</v>
      </c>
      <c r="BF1489" t="s">
        <v>2299</v>
      </c>
      <c r="BH1489" t="s">
        <v>97</v>
      </c>
      <c r="BI1489" t="s">
        <v>208</v>
      </c>
      <c r="BJ1489" t="s">
        <v>79</v>
      </c>
      <c r="BM1489">
        <v>0</v>
      </c>
      <c r="BN1489">
        <v>1</v>
      </c>
      <c r="BO1489">
        <v>1</v>
      </c>
      <c r="BP1489" t="s">
        <v>80</v>
      </c>
      <c r="BR1489">
        <v>0</v>
      </c>
      <c r="BS1489">
        <v>6</v>
      </c>
      <c r="BU1489">
        <v>163636</v>
      </c>
    </row>
    <row r="1490" spans="1:73" x14ac:dyDescent="0.3">
      <c r="A1490" t="s">
        <v>2300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25000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 s="1">
        <v>25000</v>
      </c>
      <c r="BD1490" t="s">
        <v>94</v>
      </c>
      <c r="BE1490" t="s">
        <v>2301</v>
      </c>
      <c r="BF1490" t="s">
        <v>1357</v>
      </c>
      <c r="BH1490" t="s">
        <v>97</v>
      </c>
      <c r="BI1490" t="s">
        <v>208</v>
      </c>
      <c r="BJ1490" t="s">
        <v>79</v>
      </c>
      <c r="BM1490">
        <v>0</v>
      </c>
      <c r="BN1490">
        <v>1</v>
      </c>
      <c r="BO1490">
        <v>1</v>
      </c>
      <c r="BP1490" t="s">
        <v>80</v>
      </c>
      <c r="BR1490">
        <v>0</v>
      </c>
      <c r="BS1490">
        <v>6</v>
      </c>
      <c r="BU1490">
        <v>25000</v>
      </c>
    </row>
    <row r="1491" spans="1:73" x14ac:dyDescent="0.3">
      <c r="A1491" t="s">
        <v>2302</v>
      </c>
      <c r="B1491">
        <v>1</v>
      </c>
      <c r="C1491">
        <v>136818</v>
      </c>
      <c r="D1491">
        <v>2</v>
      </c>
      <c r="E1491">
        <v>203000</v>
      </c>
      <c r="F1491">
        <v>0</v>
      </c>
      <c r="G1491">
        <v>0</v>
      </c>
      <c r="H1491">
        <v>2</v>
      </c>
      <c r="I1491">
        <v>45000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5</v>
      </c>
      <c r="BC1491" s="1">
        <v>384818</v>
      </c>
      <c r="BD1491" t="s">
        <v>94</v>
      </c>
      <c r="BE1491" t="s">
        <v>1599</v>
      </c>
      <c r="BF1491" t="s">
        <v>1603</v>
      </c>
      <c r="BH1491" t="s">
        <v>97</v>
      </c>
      <c r="BI1491" t="s">
        <v>208</v>
      </c>
      <c r="BJ1491" t="s">
        <v>79</v>
      </c>
      <c r="BM1491">
        <v>0</v>
      </c>
      <c r="BN1491">
        <v>3</v>
      </c>
      <c r="BO1491">
        <v>3</v>
      </c>
      <c r="BP1491" t="s">
        <v>514</v>
      </c>
      <c r="BR1491">
        <v>0</v>
      </c>
      <c r="BS1491">
        <v>6</v>
      </c>
      <c r="BU1491">
        <v>384818</v>
      </c>
    </row>
    <row r="1492" spans="1:73" x14ac:dyDescent="0.3">
      <c r="A1492" t="s">
        <v>2303</v>
      </c>
      <c r="B1492">
        <v>0</v>
      </c>
      <c r="C1492">
        <v>75454</v>
      </c>
      <c r="D1492">
        <v>2</v>
      </c>
      <c r="E1492">
        <v>645455</v>
      </c>
      <c r="F1492">
        <v>0</v>
      </c>
      <c r="G1492">
        <v>0</v>
      </c>
      <c r="H1492">
        <v>5</v>
      </c>
      <c r="I1492">
        <v>112718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70129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8</v>
      </c>
      <c r="BC1492" s="1">
        <v>903756</v>
      </c>
      <c r="BD1492" t="s">
        <v>94</v>
      </c>
      <c r="BE1492" t="s">
        <v>2304</v>
      </c>
      <c r="BF1492" t="s">
        <v>2305</v>
      </c>
      <c r="BH1492" t="s">
        <v>97</v>
      </c>
      <c r="BI1492" t="s">
        <v>208</v>
      </c>
      <c r="BJ1492" t="s">
        <v>79</v>
      </c>
      <c r="BM1492">
        <v>0</v>
      </c>
      <c r="BN1492">
        <v>3</v>
      </c>
      <c r="BO1492">
        <v>3</v>
      </c>
      <c r="BP1492" t="s">
        <v>514</v>
      </c>
      <c r="BR1492">
        <v>0</v>
      </c>
      <c r="BS1492">
        <v>6</v>
      </c>
      <c r="BU1492">
        <v>903756</v>
      </c>
    </row>
    <row r="1493" spans="1:73" x14ac:dyDescent="0.3">
      <c r="A1493" t="s">
        <v>2311</v>
      </c>
      <c r="B1493">
        <v>0</v>
      </c>
      <c r="C1493">
        <v>163420</v>
      </c>
      <c r="D1493">
        <v>2</v>
      </c>
      <c r="E1493">
        <v>344602</v>
      </c>
      <c r="F1493">
        <v>0</v>
      </c>
      <c r="G1493">
        <v>0</v>
      </c>
      <c r="H1493">
        <v>3</v>
      </c>
      <c r="I1493">
        <v>60000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7</v>
      </c>
      <c r="BC1493" s="1">
        <v>912624</v>
      </c>
      <c r="BD1493" t="s">
        <v>94</v>
      </c>
      <c r="BE1493" t="s">
        <v>2312</v>
      </c>
      <c r="BF1493" t="s">
        <v>2313</v>
      </c>
      <c r="BH1493" t="s">
        <v>97</v>
      </c>
      <c r="BI1493" t="s">
        <v>98</v>
      </c>
      <c r="BJ1493" t="s">
        <v>79</v>
      </c>
      <c r="BM1493">
        <v>0</v>
      </c>
      <c r="BN1493">
        <v>2</v>
      </c>
      <c r="BO1493">
        <v>2</v>
      </c>
      <c r="BP1493" t="s">
        <v>80</v>
      </c>
      <c r="BR1493">
        <v>0</v>
      </c>
      <c r="BS1493">
        <v>6</v>
      </c>
      <c r="BU1493">
        <v>568022</v>
      </c>
    </row>
    <row r="1494" spans="1:73" x14ac:dyDescent="0.3">
      <c r="A1494" t="s">
        <v>2338</v>
      </c>
      <c r="B1494">
        <v>0</v>
      </c>
      <c r="C1494">
        <v>0</v>
      </c>
      <c r="D1494">
        <v>1</v>
      </c>
      <c r="E1494">
        <v>500000</v>
      </c>
      <c r="F1494">
        <v>0</v>
      </c>
      <c r="G1494">
        <v>0</v>
      </c>
      <c r="H1494">
        <v>8</v>
      </c>
      <c r="I1494">
        <v>160490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</v>
      </c>
      <c r="Q1494">
        <v>132000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13</v>
      </c>
      <c r="BC1494" s="1">
        <v>1106831</v>
      </c>
      <c r="BD1494" t="s">
        <v>94</v>
      </c>
      <c r="BE1494" t="s">
        <v>2339</v>
      </c>
      <c r="BF1494" t="s">
        <v>2340</v>
      </c>
      <c r="BH1494" t="s">
        <v>97</v>
      </c>
      <c r="BI1494" t="s">
        <v>1006</v>
      </c>
      <c r="BJ1494" t="s">
        <v>79</v>
      </c>
      <c r="BM1494">
        <v>0</v>
      </c>
      <c r="BN1494">
        <v>3</v>
      </c>
      <c r="BO1494">
        <v>3</v>
      </c>
      <c r="BP1494" t="s">
        <v>514</v>
      </c>
      <c r="BR1494">
        <v>0</v>
      </c>
      <c r="BS1494">
        <v>6</v>
      </c>
      <c r="BU1494">
        <v>792490</v>
      </c>
    </row>
    <row r="1495" spans="1:73" x14ac:dyDescent="0.3">
      <c r="A1495" t="s">
        <v>2350</v>
      </c>
      <c r="B1495">
        <v>1</v>
      </c>
      <c r="C1495">
        <v>111468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 s="1">
        <v>111468</v>
      </c>
      <c r="BD1495" t="s">
        <v>94</v>
      </c>
      <c r="BE1495" t="s">
        <v>2351</v>
      </c>
      <c r="BF1495" t="s">
        <v>2352</v>
      </c>
      <c r="BH1495" t="s">
        <v>97</v>
      </c>
      <c r="BI1495" t="s">
        <v>680</v>
      </c>
      <c r="BJ1495" t="s">
        <v>79</v>
      </c>
      <c r="BM1495">
        <v>0</v>
      </c>
      <c r="BN1495">
        <v>1</v>
      </c>
      <c r="BO1495">
        <v>1</v>
      </c>
      <c r="BP1495" t="s">
        <v>80</v>
      </c>
      <c r="BR1495">
        <v>0</v>
      </c>
      <c r="BS1495">
        <v>6</v>
      </c>
      <c r="BU1495">
        <v>111468</v>
      </c>
    </row>
    <row r="1496" spans="1:73" x14ac:dyDescent="0.3">
      <c r="A1496" t="s">
        <v>2362</v>
      </c>
      <c r="B1496">
        <v>1</v>
      </c>
      <c r="C1496">
        <v>365451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  <c r="BC1496" s="1">
        <v>365451</v>
      </c>
      <c r="BD1496" t="s">
        <v>94</v>
      </c>
      <c r="BE1496" t="s">
        <v>2363</v>
      </c>
      <c r="BF1496" t="s">
        <v>2364</v>
      </c>
      <c r="BH1496" t="s">
        <v>97</v>
      </c>
      <c r="BI1496" t="s">
        <v>680</v>
      </c>
      <c r="BJ1496" t="s">
        <v>79</v>
      </c>
      <c r="BM1496">
        <v>0</v>
      </c>
      <c r="BN1496">
        <v>1</v>
      </c>
      <c r="BO1496">
        <v>1</v>
      </c>
      <c r="BP1496" t="s">
        <v>80</v>
      </c>
      <c r="BR1496">
        <v>0</v>
      </c>
      <c r="BS1496">
        <v>6</v>
      </c>
      <c r="BU1496">
        <v>365451</v>
      </c>
    </row>
    <row r="1497" spans="1:73" x14ac:dyDescent="0.3">
      <c r="A1497" t="s">
        <v>2368</v>
      </c>
      <c r="B1497">
        <v>0</v>
      </c>
      <c r="C1497">
        <v>0</v>
      </c>
      <c r="D1497">
        <v>8</v>
      </c>
      <c r="E1497">
        <v>4567500</v>
      </c>
      <c r="F1497">
        <v>0</v>
      </c>
      <c r="G1497">
        <v>0</v>
      </c>
      <c r="H1497">
        <v>12</v>
      </c>
      <c r="I1497">
        <v>240000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78585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17</v>
      </c>
      <c r="BC1497" s="1">
        <v>9164670</v>
      </c>
      <c r="BD1497" t="s">
        <v>94</v>
      </c>
      <c r="BE1497" t="s">
        <v>2369</v>
      </c>
      <c r="BF1497" t="s">
        <v>451</v>
      </c>
      <c r="BH1497" t="s">
        <v>97</v>
      </c>
      <c r="BI1497" t="s">
        <v>208</v>
      </c>
      <c r="BJ1497" t="s">
        <v>79</v>
      </c>
      <c r="BM1497">
        <v>1</v>
      </c>
      <c r="BN1497">
        <v>2</v>
      </c>
      <c r="BO1497">
        <v>3</v>
      </c>
      <c r="BP1497" t="s">
        <v>80</v>
      </c>
      <c r="BR1497">
        <v>0</v>
      </c>
      <c r="BS1497">
        <v>6</v>
      </c>
      <c r="BU1497">
        <v>4886085</v>
      </c>
    </row>
    <row r="1498" spans="1:73" x14ac:dyDescent="0.3">
      <c r="A1498" t="s">
        <v>2370</v>
      </c>
      <c r="B1498">
        <v>0</v>
      </c>
      <c r="C1498">
        <v>0</v>
      </c>
      <c r="D1498">
        <v>3</v>
      </c>
      <c r="E1498">
        <v>95481</v>
      </c>
      <c r="F1498">
        <v>0</v>
      </c>
      <c r="G1498">
        <v>0</v>
      </c>
      <c r="H1498">
        <v>6</v>
      </c>
      <c r="I1498">
        <v>190962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6</v>
      </c>
      <c r="BC1498" s="1">
        <v>190962</v>
      </c>
      <c r="BD1498" t="s">
        <v>94</v>
      </c>
      <c r="BE1498" t="s">
        <v>2371</v>
      </c>
      <c r="BF1498" t="s">
        <v>2372</v>
      </c>
      <c r="BH1498" t="s">
        <v>97</v>
      </c>
      <c r="BI1498" t="s">
        <v>208</v>
      </c>
      <c r="BJ1498" t="s">
        <v>79</v>
      </c>
      <c r="BM1498">
        <v>0</v>
      </c>
      <c r="BN1498">
        <v>2</v>
      </c>
      <c r="BO1498">
        <v>2</v>
      </c>
      <c r="BP1498" t="s">
        <v>80</v>
      </c>
      <c r="BR1498">
        <v>0</v>
      </c>
      <c r="BS1498">
        <v>6</v>
      </c>
      <c r="BU1498">
        <v>286443</v>
      </c>
    </row>
    <row r="1499" spans="1:73" x14ac:dyDescent="0.3">
      <c r="A1499" t="s">
        <v>2373</v>
      </c>
      <c r="B1499">
        <v>2</v>
      </c>
      <c r="C1499">
        <v>1407272</v>
      </c>
      <c r="D1499">
        <v>5</v>
      </c>
      <c r="E1499">
        <v>255364</v>
      </c>
      <c r="F1499">
        <v>0</v>
      </c>
      <c r="G1499">
        <v>0</v>
      </c>
      <c r="H1499">
        <v>10</v>
      </c>
      <c r="I1499">
        <v>208910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14</v>
      </c>
      <c r="BC1499" s="1">
        <v>1958000</v>
      </c>
      <c r="BD1499" t="s">
        <v>94</v>
      </c>
      <c r="BE1499" t="s">
        <v>2374</v>
      </c>
      <c r="BF1499" t="s">
        <v>488</v>
      </c>
      <c r="BH1499" t="s">
        <v>123</v>
      </c>
      <c r="BI1499" t="s">
        <v>325</v>
      </c>
      <c r="BJ1499" t="s">
        <v>125</v>
      </c>
      <c r="BM1499">
        <v>0</v>
      </c>
      <c r="BN1499">
        <v>3</v>
      </c>
      <c r="BO1499">
        <v>3</v>
      </c>
      <c r="BP1499" t="s">
        <v>80</v>
      </c>
      <c r="BR1499">
        <v>0</v>
      </c>
      <c r="BS1499">
        <v>6</v>
      </c>
      <c r="BU1499">
        <v>1871546</v>
      </c>
    </row>
    <row r="1500" spans="1:73" x14ac:dyDescent="0.3">
      <c r="A1500" t="s">
        <v>2381</v>
      </c>
      <c r="B1500">
        <v>3</v>
      </c>
      <c r="C1500">
        <v>499819</v>
      </c>
      <c r="D1500">
        <v>4</v>
      </c>
      <c r="E1500">
        <v>1675401</v>
      </c>
      <c r="F1500">
        <v>0</v>
      </c>
      <c r="G1500">
        <v>0</v>
      </c>
      <c r="H1500">
        <v>6</v>
      </c>
      <c r="I1500">
        <v>150802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</v>
      </c>
      <c r="Z1500">
        <v>147070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14</v>
      </c>
      <c r="BC1500" s="1">
        <v>4071226</v>
      </c>
      <c r="BD1500" t="s">
        <v>94</v>
      </c>
      <c r="BE1500" t="s">
        <v>2382</v>
      </c>
      <c r="BF1500" t="s">
        <v>1943</v>
      </c>
      <c r="BH1500" t="s">
        <v>123</v>
      </c>
      <c r="BI1500" t="s">
        <v>124</v>
      </c>
      <c r="BJ1500" t="s">
        <v>125</v>
      </c>
      <c r="BM1500">
        <v>1</v>
      </c>
      <c r="BN1500">
        <v>3</v>
      </c>
      <c r="BO1500">
        <v>4</v>
      </c>
      <c r="BP1500" t="s">
        <v>80</v>
      </c>
      <c r="BR1500">
        <v>0</v>
      </c>
      <c r="BS1500">
        <v>6</v>
      </c>
      <c r="BU1500">
        <v>2473092</v>
      </c>
    </row>
    <row r="1501" spans="1:73" x14ac:dyDescent="0.3">
      <c r="A1501" t="s">
        <v>2383</v>
      </c>
      <c r="B1501">
        <v>0</v>
      </c>
      <c r="C1501">
        <v>0</v>
      </c>
      <c r="D1501">
        <v>1</v>
      </c>
      <c r="E1501">
        <v>500000</v>
      </c>
      <c r="F1501">
        <v>0</v>
      </c>
      <c r="G1501">
        <v>0</v>
      </c>
      <c r="H1501">
        <v>2</v>
      </c>
      <c r="I1501">
        <v>40000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3</v>
      </c>
      <c r="BC1501" s="1">
        <v>540000</v>
      </c>
      <c r="BD1501" t="s">
        <v>94</v>
      </c>
      <c r="BE1501" t="s">
        <v>2384</v>
      </c>
      <c r="BF1501" t="s">
        <v>2385</v>
      </c>
      <c r="BH1501" t="s">
        <v>97</v>
      </c>
      <c r="BI1501" t="s">
        <v>208</v>
      </c>
      <c r="BJ1501" t="s">
        <v>79</v>
      </c>
      <c r="BM1501">
        <v>0</v>
      </c>
      <c r="BN1501">
        <v>2</v>
      </c>
      <c r="BO1501">
        <v>2</v>
      </c>
      <c r="BP1501" t="s">
        <v>80</v>
      </c>
      <c r="BR1501">
        <v>0</v>
      </c>
      <c r="BS1501">
        <v>6</v>
      </c>
      <c r="BU1501">
        <v>540000</v>
      </c>
    </row>
    <row r="1502" spans="1:73" x14ac:dyDescent="0.3">
      <c r="A1502" t="s">
        <v>2395</v>
      </c>
      <c r="B1502">
        <v>0</v>
      </c>
      <c r="C1502">
        <v>0</v>
      </c>
      <c r="D1502">
        <v>1</v>
      </c>
      <c r="E1502">
        <v>175000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2</v>
      </c>
      <c r="BC1502" s="1">
        <v>350000</v>
      </c>
      <c r="BD1502" t="s">
        <v>94</v>
      </c>
      <c r="BE1502" t="s">
        <v>2396</v>
      </c>
      <c r="BF1502" t="s">
        <v>2397</v>
      </c>
      <c r="BH1502" t="s">
        <v>97</v>
      </c>
      <c r="BI1502" t="s">
        <v>242</v>
      </c>
      <c r="BJ1502" t="s">
        <v>79</v>
      </c>
      <c r="BM1502">
        <v>0</v>
      </c>
      <c r="BN1502">
        <v>1</v>
      </c>
      <c r="BO1502">
        <v>1</v>
      </c>
      <c r="BP1502" t="s">
        <v>80</v>
      </c>
      <c r="BR1502">
        <v>0</v>
      </c>
      <c r="BS1502">
        <v>6</v>
      </c>
      <c r="BU1502">
        <v>175000</v>
      </c>
    </row>
    <row r="1503" spans="1:73" x14ac:dyDescent="0.3">
      <c r="A1503" t="s">
        <v>2398</v>
      </c>
      <c r="B1503">
        <v>0</v>
      </c>
      <c r="C1503">
        <v>0</v>
      </c>
      <c r="D1503">
        <v>1</v>
      </c>
      <c r="E1503">
        <v>240000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2</v>
      </c>
      <c r="BC1503" s="1">
        <v>480000</v>
      </c>
      <c r="BD1503" t="s">
        <v>94</v>
      </c>
      <c r="BE1503" t="s">
        <v>2399</v>
      </c>
      <c r="BF1503" t="s">
        <v>2400</v>
      </c>
      <c r="BH1503" t="s">
        <v>97</v>
      </c>
      <c r="BI1503" t="s">
        <v>265</v>
      </c>
      <c r="BJ1503" t="s">
        <v>79</v>
      </c>
      <c r="BM1503">
        <v>0</v>
      </c>
      <c r="BN1503">
        <v>1</v>
      </c>
      <c r="BO1503">
        <v>1</v>
      </c>
      <c r="BP1503" t="s">
        <v>514</v>
      </c>
      <c r="BR1503">
        <v>0</v>
      </c>
      <c r="BS1503">
        <v>6</v>
      </c>
      <c r="BU1503">
        <v>240000</v>
      </c>
    </row>
    <row r="1504" spans="1:73" x14ac:dyDescent="0.3">
      <c r="A1504" t="s">
        <v>2401</v>
      </c>
      <c r="B1504">
        <v>0</v>
      </c>
      <c r="C1504">
        <v>0</v>
      </c>
      <c r="D1504">
        <v>3</v>
      </c>
      <c r="E1504">
        <v>1640000</v>
      </c>
      <c r="F1504">
        <v>0</v>
      </c>
      <c r="G1504">
        <v>0</v>
      </c>
      <c r="H1504">
        <v>4</v>
      </c>
      <c r="I1504">
        <v>80000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19792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8</v>
      </c>
      <c r="BC1504" s="1">
        <v>3319584</v>
      </c>
      <c r="BD1504" t="s">
        <v>94</v>
      </c>
      <c r="BE1504" t="s">
        <v>2402</v>
      </c>
      <c r="BF1504" t="s">
        <v>2403</v>
      </c>
      <c r="BH1504" t="s">
        <v>97</v>
      </c>
      <c r="BI1504" t="s">
        <v>265</v>
      </c>
      <c r="BJ1504" t="s">
        <v>79</v>
      </c>
      <c r="BM1504">
        <v>1</v>
      </c>
      <c r="BN1504">
        <v>2</v>
      </c>
      <c r="BO1504">
        <v>3</v>
      </c>
      <c r="BP1504" t="s">
        <v>80</v>
      </c>
      <c r="BR1504">
        <v>0</v>
      </c>
      <c r="BS1504">
        <v>6</v>
      </c>
      <c r="BU1504">
        <v>1739792</v>
      </c>
    </row>
    <row r="1505" spans="1:73" x14ac:dyDescent="0.3">
      <c r="A1505" t="s">
        <v>2419</v>
      </c>
      <c r="B1505">
        <v>0</v>
      </c>
      <c r="C1505">
        <v>0</v>
      </c>
      <c r="D1505">
        <v>5</v>
      </c>
      <c r="E1505">
        <v>2330909</v>
      </c>
      <c r="F1505">
        <v>0</v>
      </c>
      <c r="G1505">
        <v>0</v>
      </c>
      <c r="H1505">
        <v>4</v>
      </c>
      <c r="I1505">
        <v>80000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10</v>
      </c>
      <c r="BC1505" s="1">
        <v>4661818</v>
      </c>
      <c r="BD1505" t="s">
        <v>94</v>
      </c>
      <c r="BE1505" t="s">
        <v>2420</v>
      </c>
      <c r="BF1505" t="s">
        <v>1943</v>
      </c>
      <c r="BH1505" t="s">
        <v>97</v>
      </c>
      <c r="BI1505" t="s">
        <v>107</v>
      </c>
      <c r="BJ1505" t="s">
        <v>79</v>
      </c>
      <c r="BM1505">
        <v>0</v>
      </c>
      <c r="BN1505">
        <v>2</v>
      </c>
      <c r="BO1505">
        <v>2</v>
      </c>
      <c r="BP1505" t="s">
        <v>80</v>
      </c>
      <c r="BR1505">
        <v>0</v>
      </c>
      <c r="BS1505">
        <v>6</v>
      </c>
      <c r="BU1505">
        <v>2410909</v>
      </c>
    </row>
    <row r="1506" spans="1:73" x14ac:dyDescent="0.3">
      <c r="A1506" t="s">
        <v>2424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6</v>
      </c>
      <c r="I1506">
        <v>130000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45682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11526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10</v>
      </c>
      <c r="BC1506" s="1">
        <v>244416</v>
      </c>
      <c r="BD1506" t="s">
        <v>94</v>
      </c>
      <c r="BE1506" t="s">
        <v>2425</v>
      </c>
      <c r="BF1506" t="s">
        <v>2426</v>
      </c>
      <c r="BH1506" t="s">
        <v>97</v>
      </c>
      <c r="BI1506" t="s">
        <v>208</v>
      </c>
      <c r="BJ1506" t="s">
        <v>79</v>
      </c>
      <c r="BM1506">
        <v>2</v>
      </c>
      <c r="BN1506">
        <v>1</v>
      </c>
      <c r="BO1506">
        <v>3</v>
      </c>
      <c r="BP1506" t="s">
        <v>80</v>
      </c>
      <c r="BR1506">
        <v>0</v>
      </c>
      <c r="BS1506">
        <v>6</v>
      </c>
      <c r="BU1506">
        <v>187208</v>
      </c>
    </row>
    <row r="1507" spans="1:73" x14ac:dyDescent="0.3">
      <c r="A1507" t="s">
        <v>2430</v>
      </c>
      <c r="B1507">
        <v>1</v>
      </c>
      <c r="C1507">
        <v>262369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 s="1">
        <v>262369</v>
      </c>
      <c r="BD1507" t="s">
        <v>94</v>
      </c>
      <c r="BE1507" t="s">
        <v>2431</v>
      </c>
      <c r="BF1507" t="s">
        <v>2176</v>
      </c>
      <c r="BH1507" t="s">
        <v>97</v>
      </c>
      <c r="BI1507" t="s">
        <v>680</v>
      </c>
      <c r="BJ1507" t="s">
        <v>79</v>
      </c>
      <c r="BM1507">
        <v>0</v>
      </c>
      <c r="BN1507">
        <v>1</v>
      </c>
      <c r="BO1507">
        <v>1</v>
      </c>
      <c r="BP1507" t="s">
        <v>80</v>
      </c>
      <c r="BR1507">
        <v>0</v>
      </c>
      <c r="BS1507">
        <v>0</v>
      </c>
      <c r="BU1507">
        <v>262369</v>
      </c>
    </row>
    <row r="1508" spans="1:73" x14ac:dyDescent="0.3">
      <c r="A1508" t="s">
        <v>2438</v>
      </c>
      <c r="B1508">
        <v>0</v>
      </c>
      <c r="C1508">
        <v>0</v>
      </c>
      <c r="D1508">
        <v>7</v>
      </c>
      <c r="E1508">
        <v>1767200</v>
      </c>
      <c r="F1508">
        <v>0</v>
      </c>
      <c r="G1508">
        <v>0</v>
      </c>
      <c r="H1508">
        <v>10</v>
      </c>
      <c r="I1508">
        <v>224400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14</v>
      </c>
      <c r="BC1508" s="1">
        <v>3534400</v>
      </c>
      <c r="BD1508" t="s">
        <v>94</v>
      </c>
      <c r="BE1508" t="s">
        <v>2439</v>
      </c>
      <c r="BF1508" t="s">
        <v>2440</v>
      </c>
      <c r="BH1508" t="s">
        <v>97</v>
      </c>
      <c r="BI1508" t="s">
        <v>119</v>
      </c>
      <c r="BJ1508" t="s">
        <v>79</v>
      </c>
      <c r="BM1508">
        <v>0</v>
      </c>
      <c r="BN1508">
        <v>2</v>
      </c>
      <c r="BO1508">
        <v>2</v>
      </c>
      <c r="BP1508" t="s">
        <v>80</v>
      </c>
      <c r="BR1508">
        <v>0</v>
      </c>
      <c r="BS1508">
        <v>6</v>
      </c>
      <c r="BU1508">
        <v>1991600</v>
      </c>
    </row>
    <row r="1509" spans="1:73" x14ac:dyDescent="0.3">
      <c r="A1509" t="s">
        <v>2441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78585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 s="1">
        <v>78585</v>
      </c>
      <c r="BD1509" t="s">
        <v>94</v>
      </c>
      <c r="BE1509" t="s">
        <v>2442</v>
      </c>
      <c r="BF1509" t="s">
        <v>1686</v>
      </c>
      <c r="BH1509" t="s">
        <v>97</v>
      </c>
      <c r="BI1509" t="s">
        <v>208</v>
      </c>
      <c r="BJ1509" t="s">
        <v>79</v>
      </c>
      <c r="BM1509">
        <v>1</v>
      </c>
      <c r="BN1509">
        <v>0</v>
      </c>
      <c r="BO1509">
        <v>1</v>
      </c>
      <c r="BP1509" t="s">
        <v>80</v>
      </c>
      <c r="BR1509">
        <v>0</v>
      </c>
      <c r="BS1509">
        <v>0</v>
      </c>
      <c r="BU1509">
        <v>78585</v>
      </c>
    </row>
    <row r="1510" spans="1:73" x14ac:dyDescent="0.3">
      <c r="A1510" t="s">
        <v>2443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3</v>
      </c>
      <c r="I1510">
        <v>60000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3</v>
      </c>
      <c r="BC1510" s="1">
        <v>60000</v>
      </c>
      <c r="BD1510" t="s">
        <v>94</v>
      </c>
      <c r="BE1510" t="s">
        <v>2444</v>
      </c>
      <c r="BF1510" t="s">
        <v>2445</v>
      </c>
      <c r="BH1510" t="s">
        <v>97</v>
      </c>
      <c r="BI1510" t="s">
        <v>119</v>
      </c>
      <c r="BJ1510" t="s">
        <v>79</v>
      </c>
      <c r="BM1510">
        <v>0</v>
      </c>
      <c r="BN1510">
        <v>1</v>
      </c>
      <c r="BO1510">
        <v>1</v>
      </c>
      <c r="BP1510" t="s">
        <v>80</v>
      </c>
      <c r="BR1510">
        <v>0</v>
      </c>
      <c r="BS1510">
        <v>6</v>
      </c>
      <c r="BU1510">
        <v>60000</v>
      </c>
    </row>
    <row r="1511" spans="1:73" x14ac:dyDescent="0.3">
      <c r="A1511" t="s">
        <v>2455</v>
      </c>
      <c r="B1511">
        <v>2</v>
      </c>
      <c r="C1511">
        <v>714605</v>
      </c>
      <c r="D1511">
        <v>3</v>
      </c>
      <c r="E1511">
        <v>174400</v>
      </c>
      <c r="F1511">
        <v>0</v>
      </c>
      <c r="G1511">
        <v>0</v>
      </c>
      <c r="H1511">
        <v>2</v>
      </c>
      <c r="I1511">
        <v>40000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6</v>
      </c>
      <c r="BC1511" s="1">
        <v>1023405</v>
      </c>
      <c r="BD1511" t="s">
        <v>94</v>
      </c>
      <c r="BE1511" t="s">
        <v>2456</v>
      </c>
      <c r="BF1511" t="s">
        <v>2457</v>
      </c>
      <c r="BH1511" t="s">
        <v>123</v>
      </c>
      <c r="BI1511" t="s">
        <v>2458</v>
      </c>
      <c r="BJ1511" t="s">
        <v>125</v>
      </c>
      <c r="BM1511">
        <v>0</v>
      </c>
      <c r="BN1511">
        <v>3</v>
      </c>
      <c r="BO1511">
        <v>3</v>
      </c>
      <c r="BP1511" t="s">
        <v>80</v>
      </c>
      <c r="BR1511">
        <v>0</v>
      </c>
      <c r="BS1511">
        <v>6</v>
      </c>
      <c r="BU1511">
        <v>929005</v>
      </c>
    </row>
    <row r="1512" spans="1:73" x14ac:dyDescent="0.3">
      <c r="A1512" t="s">
        <v>2459</v>
      </c>
      <c r="B1512">
        <v>1</v>
      </c>
      <c r="C1512">
        <v>282880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</v>
      </c>
      <c r="BC1512" s="1">
        <v>282880</v>
      </c>
      <c r="BD1512" t="s">
        <v>94</v>
      </c>
      <c r="BE1512" t="s">
        <v>2460</v>
      </c>
      <c r="BF1512" t="s">
        <v>2461</v>
      </c>
      <c r="BH1512" t="s">
        <v>97</v>
      </c>
      <c r="BI1512" t="s">
        <v>2462</v>
      </c>
      <c r="BJ1512" t="s">
        <v>79</v>
      </c>
      <c r="BM1512">
        <v>0</v>
      </c>
      <c r="BN1512">
        <v>1</v>
      </c>
      <c r="BO1512">
        <v>1</v>
      </c>
      <c r="BP1512" t="s">
        <v>80</v>
      </c>
      <c r="BR1512">
        <v>0</v>
      </c>
      <c r="BS1512">
        <v>6</v>
      </c>
      <c r="BU1512">
        <v>282880</v>
      </c>
    </row>
    <row r="1513" spans="1:73" x14ac:dyDescent="0.3">
      <c r="A1513" t="s">
        <v>2488</v>
      </c>
      <c r="B1513">
        <v>0</v>
      </c>
      <c r="C1513">
        <v>0</v>
      </c>
      <c r="D1513">
        <v>3</v>
      </c>
      <c r="E1513">
        <v>808000</v>
      </c>
      <c r="F1513">
        <v>0</v>
      </c>
      <c r="G1513">
        <v>0</v>
      </c>
      <c r="H1513">
        <v>3</v>
      </c>
      <c r="I1513">
        <v>65233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6</v>
      </c>
      <c r="BC1513" s="1">
        <v>873233</v>
      </c>
      <c r="BD1513" t="s">
        <v>94</v>
      </c>
      <c r="BE1513" t="s">
        <v>2489</v>
      </c>
      <c r="BF1513" t="s">
        <v>1603</v>
      </c>
      <c r="BH1513" t="s">
        <v>97</v>
      </c>
      <c r="BI1513" t="s">
        <v>98</v>
      </c>
      <c r="BJ1513" t="s">
        <v>79</v>
      </c>
      <c r="BM1513">
        <v>0</v>
      </c>
      <c r="BN1513">
        <v>2</v>
      </c>
      <c r="BO1513">
        <v>2</v>
      </c>
      <c r="BP1513" t="s">
        <v>514</v>
      </c>
      <c r="BR1513">
        <v>0</v>
      </c>
      <c r="BS1513">
        <v>6</v>
      </c>
      <c r="BU1513">
        <v>873233</v>
      </c>
    </row>
    <row r="1514" spans="1:73" x14ac:dyDescent="0.3">
      <c r="A1514" t="s">
        <v>2490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2</v>
      </c>
      <c r="I1514">
        <v>40000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2</v>
      </c>
      <c r="BC1514" s="1">
        <v>40000</v>
      </c>
      <c r="BD1514" t="s">
        <v>94</v>
      </c>
      <c r="BE1514" t="s">
        <v>2491</v>
      </c>
      <c r="BF1514" t="s">
        <v>2492</v>
      </c>
      <c r="BH1514" t="s">
        <v>97</v>
      </c>
      <c r="BI1514" t="s">
        <v>98</v>
      </c>
      <c r="BJ1514" t="s">
        <v>79</v>
      </c>
      <c r="BM1514">
        <v>0</v>
      </c>
      <c r="BN1514">
        <v>1</v>
      </c>
      <c r="BO1514">
        <v>1</v>
      </c>
      <c r="BP1514" t="s">
        <v>514</v>
      </c>
      <c r="BR1514">
        <v>0</v>
      </c>
      <c r="BS1514">
        <v>6</v>
      </c>
      <c r="BU1514">
        <v>40000</v>
      </c>
    </row>
    <row r="1515" spans="1:73" x14ac:dyDescent="0.3">
      <c r="A1515" t="s">
        <v>2496</v>
      </c>
      <c r="B1515">
        <v>2</v>
      </c>
      <c r="C1515">
        <v>463629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2</v>
      </c>
      <c r="BC1515" s="1">
        <v>463629</v>
      </c>
      <c r="BD1515" t="s">
        <v>94</v>
      </c>
      <c r="BE1515" t="s">
        <v>2497</v>
      </c>
      <c r="BF1515" t="s">
        <v>2498</v>
      </c>
      <c r="BH1515" t="s">
        <v>97</v>
      </c>
      <c r="BI1515" t="s">
        <v>2462</v>
      </c>
      <c r="BJ1515" t="s">
        <v>79</v>
      </c>
      <c r="BM1515">
        <v>0</v>
      </c>
      <c r="BN1515">
        <v>1</v>
      </c>
      <c r="BO1515">
        <v>1</v>
      </c>
      <c r="BP1515" t="s">
        <v>80</v>
      </c>
      <c r="BR1515">
        <v>0</v>
      </c>
      <c r="BS1515">
        <v>6</v>
      </c>
      <c r="BU1515">
        <v>463629</v>
      </c>
    </row>
    <row r="1516" spans="1:73" x14ac:dyDescent="0.3">
      <c r="A1516" t="s">
        <v>2499</v>
      </c>
      <c r="B1516">
        <v>0</v>
      </c>
      <c r="C1516">
        <v>0</v>
      </c>
      <c r="D1516">
        <v>2</v>
      </c>
      <c r="E1516">
        <v>518400</v>
      </c>
      <c r="F1516">
        <v>0</v>
      </c>
      <c r="G1516">
        <v>0</v>
      </c>
      <c r="H1516">
        <v>1</v>
      </c>
      <c r="I1516">
        <v>20200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19792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6</v>
      </c>
      <c r="BC1516" s="1">
        <v>1076792</v>
      </c>
      <c r="BD1516" t="s">
        <v>94</v>
      </c>
      <c r="BE1516" t="s">
        <v>2500</v>
      </c>
      <c r="BF1516" t="s">
        <v>2501</v>
      </c>
      <c r="BH1516" t="s">
        <v>97</v>
      </c>
      <c r="BI1516" t="s">
        <v>119</v>
      </c>
      <c r="BJ1516" t="s">
        <v>79</v>
      </c>
      <c r="BM1516">
        <v>1</v>
      </c>
      <c r="BN1516">
        <v>2</v>
      </c>
      <c r="BO1516">
        <v>3</v>
      </c>
      <c r="BP1516" t="s">
        <v>80</v>
      </c>
      <c r="BR1516">
        <v>0</v>
      </c>
      <c r="BS1516">
        <v>6</v>
      </c>
      <c r="BU1516">
        <v>558392</v>
      </c>
    </row>
    <row r="1517" spans="1:73" x14ac:dyDescent="0.3">
      <c r="A1517" t="s">
        <v>2505</v>
      </c>
      <c r="B1517">
        <v>0</v>
      </c>
      <c r="C1517">
        <v>0</v>
      </c>
      <c r="D1517">
        <v>2</v>
      </c>
      <c r="E1517">
        <v>250000</v>
      </c>
      <c r="F1517">
        <v>0</v>
      </c>
      <c r="G1517">
        <v>0</v>
      </c>
      <c r="H1517">
        <v>2</v>
      </c>
      <c r="I1517">
        <v>40000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4</v>
      </c>
      <c r="BC1517" s="1">
        <v>500000</v>
      </c>
      <c r="BD1517" t="s">
        <v>94</v>
      </c>
      <c r="BE1517" t="s">
        <v>2506</v>
      </c>
      <c r="BF1517" t="s">
        <v>1492</v>
      </c>
      <c r="BH1517" t="s">
        <v>97</v>
      </c>
      <c r="BI1517" t="s">
        <v>559</v>
      </c>
      <c r="BJ1517" t="s">
        <v>79</v>
      </c>
      <c r="BM1517">
        <v>0</v>
      </c>
      <c r="BN1517">
        <v>2</v>
      </c>
      <c r="BO1517">
        <v>2</v>
      </c>
      <c r="BP1517" t="s">
        <v>80</v>
      </c>
      <c r="BR1517">
        <v>0</v>
      </c>
      <c r="BS1517">
        <v>6</v>
      </c>
      <c r="BU1517">
        <v>290000</v>
      </c>
    </row>
    <row r="1518" spans="1:73" x14ac:dyDescent="0.3">
      <c r="A1518" t="s">
        <v>2507</v>
      </c>
      <c r="B1518">
        <v>0</v>
      </c>
      <c r="C1518">
        <v>0</v>
      </c>
      <c r="D1518">
        <v>1</v>
      </c>
      <c r="E1518">
        <v>350000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2</v>
      </c>
      <c r="BC1518" s="1">
        <v>700000</v>
      </c>
      <c r="BD1518" t="s">
        <v>94</v>
      </c>
      <c r="BE1518" t="s">
        <v>2508</v>
      </c>
      <c r="BF1518" t="s">
        <v>2509</v>
      </c>
      <c r="BH1518" t="s">
        <v>97</v>
      </c>
      <c r="BI1518" t="s">
        <v>107</v>
      </c>
      <c r="BJ1518" t="s">
        <v>79</v>
      </c>
      <c r="BM1518">
        <v>0</v>
      </c>
      <c r="BN1518">
        <v>1</v>
      </c>
      <c r="BO1518">
        <v>1</v>
      </c>
      <c r="BP1518" t="s">
        <v>80</v>
      </c>
      <c r="BR1518">
        <v>0</v>
      </c>
      <c r="BS1518">
        <v>6</v>
      </c>
      <c r="BU1518">
        <v>350000</v>
      </c>
    </row>
    <row r="1519" spans="1:73" x14ac:dyDescent="0.3">
      <c r="A1519" t="s">
        <v>2510</v>
      </c>
      <c r="B1519">
        <v>0</v>
      </c>
      <c r="C1519">
        <v>0</v>
      </c>
      <c r="D1519">
        <v>1</v>
      </c>
      <c r="E1519">
        <v>172727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2</v>
      </c>
      <c r="BC1519" s="1">
        <v>345454</v>
      </c>
      <c r="BD1519" t="s">
        <v>94</v>
      </c>
      <c r="BE1519" t="s">
        <v>2511</v>
      </c>
      <c r="BF1519" t="s">
        <v>2512</v>
      </c>
      <c r="BH1519" t="s">
        <v>97</v>
      </c>
      <c r="BI1519" t="s">
        <v>894</v>
      </c>
      <c r="BJ1519" t="s">
        <v>79</v>
      </c>
      <c r="BM1519">
        <v>0</v>
      </c>
      <c r="BN1519">
        <v>1</v>
      </c>
      <c r="BO1519">
        <v>1</v>
      </c>
      <c r="BP1519" t="s">
        <v>80</v>
      </c>
      <c r="BR1519">
        <v>0</v>
      </c>
      <c r="BS1519">
        <v>6</v>
      </c>
      <c r="BU1519">
        <v>172727</v>
      </c>
    </row>
    <row r="1520" spans="1:73" x14ac:dyDescent="0.3">
      <c r="A1520" t="s">
        <v>2513</v>
      </c>
      <c r="B1520">
        <v>0</v>
      </c>
      <c r="C1520">
        <v>0</v>
      </c>
      <c r="D1520">
        <v>1</v>
      </c>
      <c r="E1520">
        <v>163636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31500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4</v>
      </c>
      <c r="BC1520" s="1">
        <v>386045</v>
      </c>
      <c r="BD1520" t="s">
        <v>94</v>
      </c>
      <c r="BE1520" t="s">
        <v>2514</v>
      </c>
      <c r="BF1520" t="s">
        <v>2515</v>
      </c>
      <c r="BH1520" t="s">
        <v>97</v>
      </c>
      <c r="BI1520" t="s">
        <v>1006</v>
      </c>
      <c r="BJ1520" t="s">
        <v>79</v>
      </c>
      <c r="BM1520">
        <v>0</v>
      </c>
      <c r="BN1520">
        <v>2</v>
      </c>
      <c r="BO1520">
        <v>2</v>
      </c>
      <c r="BP1520" t="s">
        <v>80</v>
      </c>
      <c r="BR1520">
        <v>0</v>
      </c>
      <c r="BS1520">
        <v>6</v>
      </c>
      <c r="BU1520">
        <v>195136</v>
      </c>
    </row>
    <row r="1521" spans="1:73" x14ac:dyDescent="0.3">
      <c r="A1521" t="s">
        <v>2526</v>
      </c>
      <c r="B1521">
        <v>2</v>
      </c>
      <c r="C1521">
        <v>559404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2</v>
      </c>
      <c r="BC1521" s="1">
        <v>559404</v>
      </c>
      <c r="BD1521" t="s">
        <v>94</v>
      </c>
      <c r="BE1521" t="s">
        <v>2527</v>
      </c>
      <c r="BF1521" t="s">
        <v>2528</v>
      </c>
      <c r="BH1521" t="s">
        <v>97</v>
      </c>
      <c r="BI1521" t="s">
        <v>208</v>
      </c>
      <c r="BJ1521" t="s">
        <v>79</v>
      </c>
      <c r="BM1521">
        <v>0</v>
      </c>
      <c r="BN1521">
        <v>1</v>
      </c>
      <c r="BO1521">
        <v>1</v>
      </c>
      <c r="BP1521" t="s">
        <v>80</v>
      </c>
      <c r="BR1521">
        <v>0</v>
      </c>
      <c r="BS1521">
        <v>0</v>
      </c>
      <c r="BU1521">
        <v>559404</v>
      </c>
    </row>
    <row r="1522" spans="1:73" x14ac:dyDescent="0.3">
      <c r="A1522" t="s">
        <v>2529</v>
      </c>
      <c r="B1522">
        <v>0</v>
      </c>
      <c r="C1522">
        <v>0</v>
      </c>
      <c r="D1522">
        <v>1</v>
      </c>
      <c r="E1522">
        <v>20000</v>
      </c>
      <c r="F1522">
        <v>0</v>
      </c>
      <c r="G1522">
        <v>0</v>
      </c>
      <c r="H1522">
        <v>1</v>
      </c>
      <c r="I1522">
        <v>20000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22728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6</v>
      </c>
      <c r="BC1522" s="1">
        <v>452576</v>
      </c>
      <c r="BD1522" t="s">
        <v>94</v>
      </c>
      <c r="BE1522" t="s">
        <v>2530</v>
      </c>
      <c r="BF1522" t="s">
        <v>342</v>
      </c>
      <c r="BH1522" t="s">
        <v>476</v>
      </c>
      <c r="BI1522" t="s">
        <v>1392</v>
      </c>
      <c r="BJ1522" t="s">
        <v>125</v>
      </c>
      <c r="BM1522">
        <v>1</v>
      </c>
      <c r="BN1522">
        <v>2</v>
      </c>
      <c r="BO1522">
        <v>3</v>
      </c>
      <c r="BP1522" t="s">
        <v>514</v>
      </c>
      <c r="BR1522">
        <v>0</v>
      </c>
      <c r="BS1522">
        <v>6</v>
      </c>
      <c r="BU1522">
        <v>62728</v>
      </c>
    </row>
    <row r="1523" spans="1:73" x14ac:dyDescent="0.3">
      <c r="A1523" t="s">
        <v>2531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4</v>
      </c>
      <c r="I1523">
        <v>90272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4</v>
      </c>
      <c r="BC1523" s="1">
        <v>90272</v>
      </c>
      <c r="BD1523" t="s">
        <v>94</v>
      </c>
      <c r="BE1523" t="s">
        <v>2532</v>
      </c>
      <c r="BF1523" t="s">
        <v>1435</v>
      </c>
      <c r="BH1523" t="s">
        <v>97</v>
      </c>
      <c r="BI1523" t="s">
        <v>208</v>
      </c>
      <c r="BJ1523" t="s">
        <v>79</v>
      </c>
      <c r="BM1523">
        <v>0</v>
      </c>
      <c r="BN1523">
        <v>1</v>
      </c>
      <c r="BO1523">
        <v>1</v>
      </c>
      <c r="BP1523" t="s">
        <v>80</v>
      </c>
      <c r="BR1523">
        <v>0</v>
      </c>
      <c r="BS1523">
        <v>6</v>
      </c>
      <c r="BU1523">
        <v>90272</v>
      </c>
    </row>
    <row r="1524" spans="1:73" x14ac:dyDescent="0.3">
      <c r="A1524" t="s">
        <v>2533</v>
      </c>
      <c r="B1524">
        <v>0</v>
      </c>
      <c r="C1524">
        <v>0</v>
      </c>
      <c r="D1524">
        <v>5</v>
      </c>
      <c r="E1524">
        <v>1495390</v>
      </c>
      <c r="F1524">
        <v>0</v>
      </c>
      <c r="G1524">
        <v>0</v>
      </c>
      <c r="H1524">
        <v>8</v>
      </c>
      <c r="I1524">
        <v>430780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10</v>
      </c>
      <c r="BC1524" s="1">
        <v>2990780</v>
      </c>
      <c r="BD1524" t="s">
        <v>94</v>
      </c>
      <c r="BE1524" t="s">
        <v>2534</v>
      </c>
      <c r="BF1524" t="s">
        <v>488</v>
      </c>
      <c r="BH1524" t="s">
        <v>97</v>
      </c>
      <c r="BI1524" t="s">
        <v>119</v>
      </c>
      <c r="BJ1524" t="s">
        <v>79</v>
      </c>
      <c r="BM1524">
        <v>0</v>
      </c>
      <c r="BN1524">
        <v>2</v>
      </c>
      <c r="BO1524">
        <v>2</v>
      </c>
      <c r="BP1524" t="s">
        <v>80</v>
      </c>
      <c r="BR1524">
        <v>0</v>
      </c>
      <c r="BS1524">
        <v>6</v>
      </c>
      <c r="BU1524">
        <v>1926170</v>
      </c>
    </row>
    <row r="1525" spans="1:73" x14ac:dyDescent="0.3">
      <c r="A1525" t="s">
        <v>2537</v>
      </c>
      <c r="B1525">
        <v>0</v>
      </c>
      <c r="C1525">
        <v>0</v>
      </c>
      <c r="D1525">
        <v>1</v>
      </c>
      <c r="E1525">
        <v>1875000</v>
      </c>
      <c r="F1525">
        <v>0</v>
      </c>
      <c r="G1525">
        <v>0</v>
      </c>
      <c r="H1525">
        <v>4</v>
      </c>
      <c r="I1525">
        <v>80000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5</v>
      </c>
      <c r="BC1525" s="1">
        <v>1955000</v>
      </c>
      <c r="BD1525" t="s">
        <v>94</v>
      </c>
      <c r="BE1525" t="s">
        <v>2538</v>
      </c>
      <c r="BF1525" t="s">
        <v>577</v>
      </c>
      <c r="BH1525" t="s">
        <v>97</v>
      </c>
      <c r="BI1525" t="s">
        <v>208</v>
      </c>
      <c r="BJ1525" t="s">
        <v>79</v>
      </c>
      <c r="BM1525">
        <v>0</v>
      </c>
      <c r="BN1525">
        <v>2</v>
      </c>
      <c r="BO1525">
        <v>2</v>
      </c>
      <c r="BP1525" t="s">
        <v>80</v>
      </c>
      <c r="BR1525">
        <v>0</v>
      </c>
      <c r="BS1525">
        <v>6</v>
      </c>
      <c r="BU1525">
        <v>1955000</v>
      </c>
    </row>
    <row r="1526" spans="1:73" x14ac:dyDescent="0.3">
      <c r="A1526" t="s">
        <v>2539</v>
      </c>
      <c r="B1526">
        <v>1</v>
      </c>
      <c r="C1526">
        <v>109091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 s="1">
        <v>109091</v>
      </c>
      <c r="BD1526" t="s">
        <v>94</v>
      </c>
      <c r="BE1526" t="s">
        <v>2540</v>
      </c>
      <c r="BF1526" t="s">
        <v>2541</v>
      </c>
      <c r="BH1526" t="s">
        <v>97</v>
      </c>
      <c r="BI1526" t="s">
        <v>680</v>
      </c>
      <c r="BJ1526" t="s">
        <v>79</v>
      </c>
      <c r="BM1526">
        <v>0</v>
      </c>
      <c r="BN1526">
        <v>1</v>
      </c>
      <c r="BO1526">
        <v>1</v>
      </c>
      <c r="BP1526" t="s">
        <v>80</v>
      </c>
      <c r="BR1526">
        <v>0</v>
      </c>
      <c r="BS1526">
        <v>6</v>
      </c>
      <c r="BU1526">
        <v>109091</v>
      </c>
    </row>
    <row r="1527" spans="1:73" x14ac:dyDescent="0.3">
      <c r="A1527" t="s">
        <v>2542</v>
      </c>
      <c r="B1527">
        <v>2</v>
      </c>
      <c r="C1527">
        <v>1192026</v>
      </c>
      <c r="D1527">
        <v>3</v>
      </c>
      <c r="E1527">
        <v>223212</v>
      </c>
      <c r="F1527">
        <v>0</v>
      </c>
      <c r="G1527">
        <v>0</v>
      </c>
      <c r="H1527">
        <v>4</v>
      </c>
      <c r="I1527">
        <v>104606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8</v>
      </c>
      <c r="BC1527" s="1">
        <v>1638450</v>
      </c>
      <c r="BD1527" t="s">
        <v>94</v>
      </c>
      <c r="BE1527" t="s">
        <v>2543</v>
      </c>
      <c r="BF1527" t="s">
        <v>2544</v>
      </c>
      <c r="BH1527" t="s">
        <v>123</v>
      </c>
      <c r="BI1527" t="s">
        <v>288</v>
      </c>
      <c r="BJ1527" t="s">
        <v>125</v>
      </c>
      <c r="BM1527">
        <v>0</v>
      </c>
      <c r="BN1527">
        <v>3</v>
      </c>
      <c r="BO1527">
        <v>3</v>
      </c>
      <c r="BP1527" t="s">
        <v>80</v>
      </c>
      <c r="BR1527">
        <v>0</v>
      </c>
      <c r="BS1527">
        <v>6</v>
      </c>
      <c r="BU1527">
        <v>1519844</v>
      </c>
    </row>
    <row r="1528" spans="1:73" x14ac:dyDescent="0.3">
      <c r="A1528" t="s">
        <v>2551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73535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2</v>
      </c>
      <c r="BC1528" s="1">
        <v>147070</v>
      </c>
      <c r="BD1528" t="s">
        <v>94</v>
      </c>
      <c r="BE1528" t="s">
        <v>2552</v>
      </c>
      <c r="BF1528" t="s">
        <v>2553</v>
      </c>
      <c r="BH1528" t="s">
        <v>97</v>
      </c>
      <c r="BI1528" t="s">
        <v>894</v>
      </c>
      <c r="BJ1528" t="s">
        <v>79</v>
      </c>
      <c r="BM1528">
        <v>1</v>
      </c>
      <c r="BN1528">
        <v>0</v>
      </c>
      <c r="BO1528">
        <v>1</v>
      </c>
      <c r="BP1528" t="s">
        <v>80</v>
      </c>
      <c r="BR1528">
        <v>0</v>
      </c>
      <c r="BS1528">
        <v>0</v>
      </c>
      <c r="BU1528">
        <v>73535</v>
      </c>
    </row>
    <row r="1529" spans="1:73" x14ac:dyDescent="0.3">
      <c r="A1529" t="s">
        <v>2557</v>
      </c>
      <c r="B1529">
        <v>0</v>
      </c>
      <c r="C1529">
        <v>0</v>
      </c>
      <c r="D1529">
        <v>1</v>
      </c>
      <c r="E1529">
        <v>390000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 s="1">
        <v>390000</v>
      </c>
      <c r="BD1529" t="s">
        <v>94</v>
      </c>
      <c r="BE1529" t="s">
        <v>2558</v>
      </c>
      <c r="BF1529" t="s">
        <v>2559</v>
      </c>
      <c r="BH1529" t="s">
        <v>97</v>
      </c>
      <c r="BI1529" t="s">
        <v>208</v>
      </c>
      <c r="BJ1529" t="s">
        <v>79</v>
      </c>
      <c r="BM1529">
        <v>0</v>
      </c>
      <c r="BN1529">
        <v>1</v>
      </c>
      <c r="BO1529">
        <v>1</v>
      </c>
      <c r="BP1529" t="s">
        <v>80</v>
      </c>
      <c r="BR1529">
        <v>0</v>
      </c>
      <c r="BS1529">
        <v>6</v>
      </c>
      <c r="BU1529">
        <v>390000</v>
      </c>
    </row>
    <row r="1530" spans="1:73" x14ac:dyDescent="0.3">
      <c r="A1530" t="s">
        <v>2560</v>
      </c>
      <c r="B1530">
        <v>0</v>
      </c>
      <c r="C1530">
        <v>0</v>
      </c>
      <c r="D1530">
        <v>1</v>
      </c>
      <c r="E1530">
        <v>134400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 s="1">
        <v>134400</v>
      </c>
      <c r="BD1530" t="s">
        <v>94</v>
      </c>
      <c r="BE1530" t="s">
        <v>2561</v>
      </c>
      <c r="BF1530" t="s">
        <v>906</v>
      </c>
      <c r="BH1530" t="s">
        <v>97</v>
      </c>
      <c r="BI1530" t="s">
        <v>119</v>
      </c>
      <c r="BJ1530" t="s">
        <v>79</v>
      </c>
      <c r="BM1530">
        <v>0</v>
      </c>
      <c r="BN1530">
        <v>1</v>
      </c>
      <c r="BO1530">
        <v>1</v>
      </c>
      <c r="BP1530" t="s">
        <v>80</v>
      </c>
      <c r="BR1530">
        <v>0</v>
      </c>
      <c r="BS1530">
        <v>6</v>
      </c>
      <c r="BU1530">
        <v>134400</v>
      </c>
    </row>
    <row r="1531" spans="1:73" x14ac:dyDescent="0.3">
      <c r="A1531" t="s">
        <v>2562</v>
      </c>
      <c r="B1531">
        <v>0</v>
      </c>
      <c r="C1531">
        <v>0</v>
      </c>
      <c r="D1531">
        <v>3</v>
      </c>
      <c r="E1531">
        <v>531933</v>
      </c>
      <c r="F1531">
        <v>0</v>
      </c>
      <c r="G1531">
        <v>0</v>
      </c>
      <c r="H1531">
        <v>4</v>
      </c>
      <c r="I1531">
        <v>88866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6</v>
      </c>
      <c r="BC1531" s="1">
        <v>1063866</v>
      </c>
      <c r="BD1531" t="s">
        <v>94</v>
      </c>
      <c r="BE1531" t="s">
        <v>2563</v>
      </c>
      <c r="BF1531" t="s">
        <v>2564</v>
      </c>
      <c r="BH1531" t="s">
        <v>97</v>
      </c>
      <c r="BI1531" t="s">
        <v>119</v>
      </c>
      <c r="BJ1531" t="s">
        <v>79</v>
      </c>
      <c r="BM1531">
        <v>0</v>
      </c>
      <c r="BN1531">
        <v>2</v>
      </c>
      <c r="BO1531">
        <v>2</v>
      </c>
      <c r="BP1531" t="s">
        <v>80</v>
      </c>
      <c r="BR1531">
        <v>0</v>
      </c>
      <c r="BS1531">
        <v>6</v>
      </c>
      <c r="BU1531">
        <v>620799</v>
      </c>
    </row>
    <row r="1532" spans="1:73" x14ac:dyDescent="0.3">
      <c r="A1532" t="s">
        <v>2565</v>
      </c>
      <c r="B1532">
        <v>0</v>
      </c>
      <c r="C1532">
        <v>0</v>
      </c>
      <c r="D1532">
        <v>1</v>
      </c>
      <c r="E1532">
        <v>175000</v>
      </c>
      <c r="F1532">
        <v>0</v>
      </c>
      <c r="G1532">
        <v>0</v>
      </c>
      <c r="H1532">
        <v>2</v>
      </c>
      <c r="I1532">
        <v>40000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142000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82993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8</v>
      </c>
      <c r="BC1532" s="1">
        <v>835578</v>
      </c>
      <c r="BD1532" t="s">
        <v>94</v>
      </c>
      <c r="BE1532" t="s">
        <v>2566</v>
      </c>
      <c r="BF1532" t="s">
        <v>2567</v>
      </c>
      <c r="BH1532" t="s">
        <v>97</v>
      </c>
      <c r="BI1532" t="s">
        <v>208</v>
      </c>
      <c r="BJ1532" t="s">
        <v>79</v>
      </c>
      <c r="BM1532">
        <v>1</v>
      </c>
      <c r="BN1532">
        <v>3</v>
      </c>
      <c r="BO1532">
        <v>4</v>
      </c>
      <c r="BP1532" t="s">
        <v>80</v>
      </c>
      <c r="BR1532">
        <v>0</v>
      </c>
      <c r="BS1532">
        <v>6</v>
      </c>
      <c r="BU1532">
        <v>439993</v>
      </c>
    </row>
    <row r="1533" spans="1:73" x14ac:dyDescent="0.3">
      <c r="A1533" t="s">
        <v>2574</v>
      </c>
      <c r="B1533">
        <v>0</v>
      </c>
      <c r="C1533">
        <v>0</v>
      </c>
      <c r="D1533">
        <v>2</v>
      </c>
      <c r="E1533">
        <v>105316</v>
      </c>
      <c r="F1533">
        <v>0</v>
      </c>
      <c r="G1533">
        <v>0</v>
      </c>
      <c r="H1533">
        <v>2</v>
      </c>
      <c r="I1533">
        <v>62060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78585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4</v>
      </c>
      <c r="BC1533" s="1">
        <v>214931</v>
      </c>
      <c r="BD1533" t="s">
        <v>94</v>
      </c>
      <c r="BE1533" t="s">
        <v>2575</v>
      </c>
      <c r="BF1533" t="s">
        <v>2576</v>
      </c>
      <c r="BH1533" t="s">
        <v>97</v>
      </c>
      <c r="BI1533" t="s">
        <v>119</v>
      </c>
      <c r="BJ1533" t="s">
        <v>79</v>
      </c>
      <c r="BM1533">
        <v>1</v>
      </c>
      <c r="BN1533">
        <v>2</v>
      </c>
      <c r="BO1533">
        <v>3</v>
      </c>
      <c r="BP1533" t="s">
        <v>80</v>
      </c>
      <c r="BR1533">
        <v>0</v>
      </c>
      <c r="BS1533">
        <v>6</v>
      </c>
      <c r="BU1533">
        <v>245961</v>
      </c>
    </row>
    <row r="1534" spans="1:73" x14ac:dyDescent="0.3">
      <c r="A1534" t="s">
        <v>2592</v>
      </c>
      <c r="B1534">
        <v>0</v>
      </c>
      <c r="C1534">
        <v>0</v>
      </c>
      <c r="D1534">
        <v>9</v>
      </c>
      <c r="E1534">
        <v>2539126</v>
      </c>
      <c r="F1534">
        <v>0</v>
      </c>
      <c r="G1534">
        <v>0</v>
      </c>
      <c r="H1534">
        <v>12</v>
      </c>
      <c r="I1534">
        <v>418252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18</v>
      </c>
      <c r="BC1534" s="1">
        <v>5078252</v>
      </c>
      <c r="BD1534" t="s">
        <v>94</v>
      </c>
      <c r="BE1534" t="s">
        <v>2593</v>
      </c>
      <c r="BF1534" t="s">
        <v>1446</v>
      </c>
      <c r="BH1534" t="s">
        <v>97</v>
      </c>
      <c r="BI1534" t="s">
        <v>208</v>
      </c>
      <c r="BJ1534" t="s">
        <v>79</v>
      </c>
      <c r="BM1534">
        <v>0</v>
      </c>
      <c r="BN1534">
        <v>2</v>
      </c>
      <c r="BO1534">
        <v>2</v>
      </c>
      <c r="BP1534" t="s">
        <v>80</v>
      </c>
      <c r="BR1534">
        <v>0</v>
      </c>
      <c r="BS1534">
        <v>6</v>
      </c>
      <c r="BU1534">
        <v>2957378</v>
      </c>
    </row>
    <row r="1535" spans="1:73" x14ac:dyDescent="0.3">
      <c r="A1535" t="s">
        <v>2603</v>
      </c>
      <c r="B1535">
        <v>0</v>
      </c>
      <c r="C1535">
        <v>0</v>
      </c>
      <c r="D1535">
        <v>5</v>
      </c>
      <c r="E1535">
        <v>100000</v>
      </c>
      <c r="F1535">
        <v>0</v>
      </c>
      <c r="G1535">
        <v>0</v>
      </c>
      <c r="H1535">
        <v>10</v>
      </c>
      <c r="I1535">
        <v>200000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10</v>
      </c>
      <c r="BC1535" s="1">
        <v>200000</v>
      </c>
      <c r="BD1535" t="s">
        <v>94</v>
      </c>
      <c r="BE1535" t="s">
        <v>2604</v>
      </c>
      <c r="BF1535" t="s">
        <v>2605</v>
      </c>
      <c r="BH1535" t="s">
        <v>97</v>
      </c>
      <c r="BI1535" t="s">
        <v>98</v>
      </c>
      <c r="BJ1535" t="s">
        <v>79</v>
      </c>
      <c r="BM1535">
        <v>0</v>
      </c>
      <c r="BN1535">
        <v>2</v>
      </c>
      <c r="BO1535">
        <v>2</v>
      </c>
      <c r="BP1535" t="s">
        <v>80</v>
      </c>
      <c r="BR1535">
        <v>0</v>
      </c>
      <c r="BS1535">
        <v>6</v>
      </c>
      <c r="BU1535">
        <v>300000</v>
      </c>
    </row>
    <row r="1536" spans="1:73" x14ac:dyDescent="0.3">
      <c r="A1536" t="s">
        <v>2606</v>
      </c>
      <c r="B1536">
        <v>0</v>
      </c>
      <c r="C1536">
        <v>0</v>
      </c>
      <c r="D1536">
        <v>6</v>
      </c>
      <c r="E1536">
        <v>1411345</v>
      </c>
      <c r="F1536">
        <v>0</v>
      </c>
      <c r="G1536">
        <v>0</v>
      </c>
      <c r="H1536">
        <v>10</v>
      </c>
      <c r="I1536">
        <v>222690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12</v>
      </c>
      <c r="BC1536" s="1">
        <v>2822690</v>
      </c>
      <c r="BD1536" t="s">
        <v>94</v>
      </c>
      <c r="BE1536" t="s">
        <v>2607</v>
      </c>
      <c r="BF1536" t="s">
        <v>1630</v>
      </c>
      <c r="BH1536" t="s">
        <v>97</v>
      </c>
      <c r="BI1536" t="s">
        <v>119</v>
      </c>
      <c r="BJ1536" t="s">
        <v>79</v>
      </c>
      <c r="BM1536">
        <v>0</v>
      </c>
      <c r="BN1536">
        <v>2</v>
      </c>
      <c r="BO1536">
        <v>2</v>
      </c>
      <c r="BP1536" t="s">
        <v>80</v>
      </c>
      <c r="BR1536">
        <v>0</v>
      </c>
      <c r="BS1536">
        <v>6</v>
      </c>
      <c r="BU1536">
        <v>1634035</v>
      </c>
    </row>
    <row r="1537" spans="1:73" x14ac:dyDescent="0.3">
      <c r="A1537" t="s">
        <v>2608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90909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 s="1">
        <v>90909</v>
      </c>
      <c r="BD1537" t="s">
        <v>94</v>
      </c>
      <c r="BE1537" t="s">
        <v>2609</v>
      </c>
      <c r="BF1537" t="s">
        <v>2610</v>
      </c>
      <c r="BH1537" t="s">
        <v>97</v>
      </c>
      <c r="BI1537" t="s">
        <v>559</v>
      </c>
      <c r="BJ1537" t="s">
        <v>79</v>
      </c>
      <c r="BM1537">
        <v>1</v>
      </c>
      <c r="BN1537">
        <v>0</v>
      </c>
      <c r="BO1537">
        <v>1</v>
      </c>
      <c r="BP1537" t="s">
        <v>80</v>
      </c>
      <c r="BR1537">
        <v>0</v>
      </c>
      <c r="BS1537">
        <v>0</v>
      </c>
      <c r="BU1537">
        <v>90909</v>
      </c>
    </row>
    <row r="1538" spans="1:73" x14ac:dyDescent="0.3">
      <c r="A1538" t="s">
        <v>2614</v>
      </c>
      <c r="B1538">
        <v>1</v>
      </c>
      <c r="C1538">
        <v>552461</v>
      </c>
      <c r="D1538">
        <v>1</v>
      </c>
      <c r="E1538">
        <v>163636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2</v>
      </c>
      <c r="BC1538" s="1">
        <v>716097</v>
      </c>
      <c r="BD1538" t="s">
        <v>94</v>
      </c>
      <c r="BE1538" t="s">
        <v>2615</v>
      </c>
      <c r="BF1538" t="s">
        <v>2616</v>
      </c>
      <c r="BH1538" t="s">
        <v>97</v>
      </c>
      <c r="BI1538" t="s">
        <v>208</v>
      </c>
      <c r="BJ1538" t="s">
        <v>79</v>
      </c>
      <c r="BM1538">
        <v>0</v>
      </c>
      <c r="BN1538">
        <v>2</v>
      </c>
      <c r="BO1538">
        <v>2</v>
      </c>
      <c r="BP1538" t="s">
        <v>80</v>
      </c>
      <c r="BR1538">
        <v>0</v>
      </c>
      <c r="BS1538">
        <v>6</v>
      </c>
      <c r="BU1538">
        <v>716097</v>
      </c>
    </row>
    <row r="1539" spans="1:73" x14ac:dyDescent="0.3">
      <c r="A1539" t="s">
        <v>2621</v>
      </c>
      <c r="B1539">
        <v>62</v>
      </c>
      <c r="C1539">
        <v>16850752</v>
      </c>
      <c r="D1539">
        <v>3</v>
      </c>
      <c r="E1539">
        <v>1634909</v>
      </c>
      <c r="F1539">
        <v>0</v>
      </c>
      <c r="G1539">
        <v>0</v>
      </c>
      <c r="H1539">
        <v>15</v>
      </c>
      <c r="I1539">
        <v>323199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80</v>
      </c>
      <c r="BC1539" s="1">
        <v>18808860</v>
      </c>
      <c r="BD1539" t="s">
        <v>94</v>
      </c>
      <c r="BE1539" t="s">
        <v>2622</v>
      </c>
      <c r="BF1539" t="s">
        <v>2605</v>
      </c>
      <c r="BH1539" t="s">
        <v>97</v>
      </c>
      <c r="BI1539" t="s">
        <v>98</v>
      </c>
      <c r="BJ1539" t="s">
        <v>79</v>
      </c>
      <c r="BM1539">
        <v>0</v>
      </c>
      <c r="BN1539">
        <v>3</v>
      </c>
      <c r="BO1539">
        <v>3</v>
      </c>
      <c r="BP1539" t="s">
        <v>80</v>
      </c>
      <c r="BR1539">
        <v>0</v>
      </c>
      <c r="BS1539">
        <v>4</v>
      </c>
      <c r="BU1539">
        <v>18808860</v>
      </c>
    </row>
    <row r="1540" spans="1:73" x14ac:dyDescent="0.3">
      <c r="A1540" t="s">
        <v>2623</v>
      </c>
      <c r="B1540">
        <v>5</v>
      </c>
      <c r="C1540">
        <v>2670962</v>
      </c>
      <c r="D1540">
        <v>4</v>
      </c>
      <c r="E1540">
        <v>286329</v>
      </c>
      <c r="F1540">
        <v>0</v>
      </c>
      <c r="G1540">
        <v>0</v>
      </c>
      <c r="H1540">
        <v>6</v>
      </c>
      <c r="I1540">
        <v>230840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13</v>
      </c>
      <c r="BC1540" s="1">
        <v>3243620</v>
      </c>
      <c r="BD1540" t="s">
        <v>94</v>
      </c>
      <c r="BE1540" t="s">
        <v>2624</v>
      </c>
      <c r="BF1540" t="s">
        <v>2625</v>
      </c>
      <c r="BH1540" t="s">
        <v>123</v>
      </c>
      <c r="BI1540" t="s">
        <v>325</v>
      </c>
      <c r="BJ1540" t="s">
        <v>125</v>
      </c>
      <c r="BM1540">
        <v>0</v>
      </c>
      <c r="BN1540">
        <v>3</v>
      </c>
      <c r="BO1540">
        <v>3</v>
      </c>
      <c r="BP1540" t="s">
        <v>80</v>
      </c>
      <c r="BR1540">
        <v>0</v>
      </c>
      <c r="BS1540">
        <v>6</v>
      </c>
      <c r="BU1540">
        <v>3188131</v>
      </c>
    </row>
    <row r="1541" spans="1:73" x14ac:dyDescent="0.3">
      <c r="A1541" t="s">
        <v>2626</v>
      </c>
      <c r="B1541">
        <v>0</v>
      </c>
      <c r="C1541">
        <v>0</v>
      </c>
      <c r="D1541">
        <v>7</v>
      </c>
      <c r="E1541">
        <v>2207344</v>
      </c>
      <c r="F1541">
        <v>0</v>
      </c>
      <c r="G1541">
        <v>0</v>
      </c>
      <c r="H1541">
        <v>10</v>
      </c>
      <c r="I1541">
        <v>234688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20000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16</v>
      </c>
      <c r="BC1541" s="1">
        <v>4454688</v>
      </c>
      <c r="BD1541" t="s">
        <v>94</v>
      </c>
      <c r="BE1541" t="s">
        <v>2627</v>
      </c>
      <c r="BF1541" t="s">
        <v>2628</v>
      </c>
      <c r="BH1541" t="s">
        <v>97</v>
      </c>
      <c r="BI1541" t="s">
        <v>98</v>
      </c>
      <c r="BJ1541" t="s">
        <v>79</v>
      </c>
      <c r="BM1541">
        <v>1</v>
      </c>
      <c r="BN1541">
        <v>2</v>
      </c>
      <c r="BO1541">
        <v>3</v>
      </c>
      <c r="BP1541" t="s">
        <v>80</v>
      </c>
      <c r="BR1541">
        <v>0</v>
      </c>
      <c r="BS1541">
        <v>6</v>
      </c>
      <c r="BU1541">
        <v>2462032</v>
      </c>
    </row>
    <row r="1542" spans="1:73" x14ac:dyDescent="0.3">
      <c r="A1542" t="s">
        <v>2632</v>
      </c>
      <c r="B1542">
        <v>0</v>
      </c>
      <c r="C1542">
        <v>0</v>
      </c>
      <c r="D1542">
        <v>2</v>
      </c>
      <c r="E1542">
        <v>1635000</v>
      </c>
      <c r="F1542">
        <v>0</v>
      </c>
      <c r="G1542">
        <v>0</v>
      </c>
      <c r="H1542">
        <v>12</v>
      </c>
      <c r="I1542">
        <v>307412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2</v>
      </c>
      <c r="Z1542">
        <v>147070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39166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21</v>
      </c>
      <c r="BC1542" s="1">
        <v>2349884</v>
      </c>
      <c r="BD1542" t="s">
        <v>94</v>
      </c>
      <c r="BE1542" t="s">
        <v>2633</v>
      </c>
      <c r="BF1542" t="s">
        <v>2634</v>
      </c>
      <c r="BH1542" t="s">
        <v>97</v>
      </c>
      <c r="BI1542" t="s">
        <v>119</v>
      </c>
      <c r="BJ1542" t="s">
        <v>79</v>
      </c>
      <c r="BM1542">
        <v>2</v>
      </c>
      <c r="BN1542">
        <v>2</v>
      </c>
      <c r="BO1542">
        <v>4</v>
      </c>
      <c r="BP1542" t="s">
        <v>80</v>
      </c>
      <c r="BR1542">
        <v>0</v>
      </c>
      <c r="BS1542">
        <v>6</v>
      </c>
      <c r="BU1542">
        <v>2128648</v>
      </c>
    </row>
    <row r="1543" spans="1:73" x14ac:dyDescent="0.3">
      <c r="A1543" t="s">
        <v>2635</v>
      </c>
      <c r="B1543">
        <v>0</v>
      </c>
      <c r="C1543">
        <v>0</v>
      </c>
      <c r="D1543">
        <v>6</v>
      </c>
      <c r="E1543">
        <v>1980000</v>
      </c>
      <c r="F1543">
        <v>0</v>
      </c>
      <c r="G1543">
        <v>0</v>
      </c>
      <c r="H1543">
        <v>8</v>
      </c>
      <c r="I1543">
        <v>160000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12</v>
      </c>
      <c r="BC1543" s="1">
        <v>3960000</v>
      </c>
      <c r="BD1543" t="s">
        <v>94</v>
      </c>
      <c r="BE1543" t="s">
        <v>2636</v>
      </c>
      <c r="BF1543" t="s">
        <v>664</v>
      </c>
      <c r="BH1543" t="s">
        <v>97</v>
      </c>
      <c r="BI1543" t="s">
        <v>119</v>
      </c>
      <c r="BJ1543" t="s">
        <v>79</v>
      </c>
      <c r="BM1543">
        <v>0</v>
      </c>
      <c r="BN1543">
        <v>2</v>
      </c>
      <c r="BO1543">
        <v>2</v>
      </c>
      <c r="BP1543" t="s">
        <v>80</v>
      </c>
      <c r="BR1543">
        <v>0</v>
      </c>
      <c r="BS1543">
        <v>6</v>
      </c>
      <c r="BU1543">
        <v>2140000</v>
      </c>
    </row>
    <row r="1544" spans="1:73" x14ac:dyDescent="0.3">
      <c r="A1544" t="s">
        <v>2642</v>
      </c>
      <c r="B1544">
        <v>0</v>
      </c>
      <c r="C1544">
        <v>0</v>
      </c>
      <c r="D1544">
        <v>2</v>
      </c>
      <c r="E1544">
        <v>2190000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57437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16804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8</v>
      </c>
      <c r="BC1544" s="1">
        <v>4528482</v>
      </c>
      <c r="BD1544" t="s">
        <v>94</v>
      </c>
      <c r="BE1544" t="s">
        <v>2643</v>
      </c>
      <c r="BF1544" t="s">
        <v>664</v>
      </c>
      <c r="BH1544" t="s">
        <v>97</v>
      </c>
      <c r="BI1544" t="s">
        <v>119</v>
      </c>
      <c r="BJ1544" t="s">
        <v>79</v>
      </c>
      <c r="BM1544">
        <v>2</v>
      </c>
      <c r="BN1544">
        <v>1</v>
      </c>
      <c r="BO1544">
        <v>3</v>
      </c>
      <c r="BP1544" t="s">
        <v>80</v>
      </c>
      <c r="BR1544">
        <v>0</v>
      </c>
      <c r="BS1544">
        <v>6</v>
      </c>
      <c r="BU1544">
        <v>2264241</v>
      </c>
    </row>
    <row r="1545" spans="1:73" x14ac:dyDescent="0.3">
      <c r="A1545" t="s">
        <v>2648</v>
      </c>
      <c r="B1545">
        <v>0</v>
      </c>
      <c r="C1545">
        <v>0</v>
      </c>
      <c r="D1545">
        <v>1</v>
      </c>
      <c r="E1545">
        <v>136818</v>
      </c>
      <c r="F1545">
        <v>0</v>
      </c>
      <c r="G1545">
        <v>0</v>
      </c>
      <c r="H1545">
        <v>1</v>
      </c>
      <c r="I1545">
        <v>20000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</v>
      </c>
      <c r="BC1545" s="1">
        <v>156818</v>
      </c>
      <c r="BD1545" t="s">
        <v>94</v>
      </c>
      <c r="BE1545" t="s">
        <v>2649</v>
      </c>
      <c r="BF1545" t="s">
        <v>987</v>
      </c>
      <c r="BH1545" t="s">
        <v>97</v>
      </c>
      <c r="BI1545" t="s">
        <v>98</v>
      </c>
      <c r="BJ1545" t="s">
        <v>79</v>
      </c>
      <c r="BM1545">
        <v>0</v>
      </c>
      <c r="BN1545">
        <v>2</v>
      </c>
      <c r="BO1545">
        <v>2</v>
      </c>
      <c r="BP1545" t="s">
        <v>514</v>
      </c>
      <c r="BR1545">
        <v>0</v>
      </c>
      <c r="BS1545">
        <v>6</v>
      </c>
      <c r="BU1545">
        <v>156818</v>
      </c>
    </row>
    <row r="1546" spans="1:73" x14ac:dyDescent="0.3">
      <c r="A1546" t="s">
        <v>2683</v>
      </c>
      <c r="B1546">
        <v>0</v>
      </c>
      <c r="C1546">
        <v>0</v>
      </c>
      <c r="D1546">
        <v>8</v>
      </c>
      <c r="E1546">
        <v>3023029</v>
      </c>
      <c r="F1546">
        <v>0</v>
      </c>
      <c r="G1546">
        <v>0</v>
      </c>
      <c r="H1546">
        <v>12</v>
      </c>
      <c r="I1546">
        <v>246058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16</v>
      </c>
      <c r="BC1546" s="1">
        <v>6046058</v>
      </c>
      <c r="BD1546" t="s">
        <v>94</v>
      </c>
      <c r="BE1546" t="s">
        <v>2684</v>
      </c>
      <c r="BF1546" t="s">
        <v>2685</v>
      </c>
      <c r="BH1546" t="s">
        <v>97</v>
      </c>
      <c r="BI1546" t="s">
        <v>119</v>
      </c>
      <c r="BJ1546" t="s">
        <v>79</v>
      </c>
      <c r="BM1546">
        <v>0</v>
      </c>
      <c r="BN1546">
        <v>2</v>
      </c>
      <c r="BO1546">
        <v>2</v>
      </c>
      <c r="BP1546" t="s">
        <v>80</v>
      </c>
      <c r="BR1546">
        <v>0</v>
      </c>
      <c r="BS1546">
        <v>6</v>
      </c>
      <c r="BU1546">
        <v>3269087</v>
      </c>
    </row>
    <row r="1547" spans="1:73" x14ac:dyDescent="0.3">
      <c r="A1547" t="s">
        <v>2692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73535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 s="1">
        <v>73535</v>
      </c>
      <c r="BD1547" t="s">
        <v>94</v>
      </c>
      <c r="BE1547" t="s">
        <v>2693</v>
      </c>
      <c r="BF1547" t="s">
        <v>2694</v>
      </c>
      <c r="BH1547" t="s">
        <v>97</v>
      </c>
      <c r="BI1547" t="s">
        <v>242</v>
      </c>
      <c r="BJ1547" t="s">
        <v>79</v>
      </c>
      <c r="BM1547">
        <v>1</v>
      </c>
      <c r="BN1547">
        <v>0</v>
      </c>
      <c r="BO1547">
        <v>1</v>
      </c>
      <c r="BP1547" t="s">
        <v>80</v>
      </c>
      <c r="BR1547">
        <v>0</v>
      </c>
      <c r="BS1547">
        <v>0</v>
      </c>
      <c r="BU1547">
        <v>73535</v>
      </c>
    </row>
    <row r="1548" spans="1:73" x14ac:dyDescent="0.3">
      <c r="A1548" t="s">
        <v>2698</v>
      </c>
      <c r="B1548">
        <v>0</v>
      </c>
      <c r="C1548">
        <v>0</v>
      </c>
      <c r="D1548">
        <v>4</v>
      </c>
      <c r="E1548">
        <v>667044</v>
      </c>
      <c r="F1548">
        <v>0</v>
      </c>
      <c r="G1548">
        <v>0</v>
      </c>
      <c r="H1548">
        <v>6</v>
      </c>
      <c r="I1548">
        <v>254088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8</v>
      </c>
      <c r="BC1548" s="1">
        <v>1334088</v>
      </c>
      <c r="BD1548" t="s">
        <v>94</v>
      </c>
      <c r="BE1548" t="s">
        <v>2699</v>
      </c>
      <c r="BF1548" t="s">
        <v>2700</v>
      </c>
      <c r="BH1548" t="s">
        <v>97</v>
      </c>
      <c r="BI1548" t="s">
        <v>119</v>
      </c>
      <c r="BJ1548" t="s">
        <v>79</v>
      </c>
      <c r="BM1548">
        <v>0</v>
      </c>
      <c r="BN1548">
        <v>2</v>
      </c>
      <c r="BO1548">
        <v>2</v>
      </c>
      <c r="BP1548" t="s">
        <v>80</v>
      </c>
      <c r="BR1548">
        <v>0</v>
      </c>
      <c r="BS1548">
        <v>6</v>
      </c>
      <c r="BU1548">
        <v>921132</v>
      </c>
    </row>
    <row r="1549" spans="1:73" x14ac:dyDescent="0.3">
      <c r="A1549" t="s">
        <v>2701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82993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 s="1">
        <v>82993</v>
      </c>
      <c r="BD1549" t="s">
        <v>94</v>
      </c>
      <c r="BE1549" t="s">
        <v>2702</v>
      </c>
      <c r="BF1549" t="s">
        <v>2703</v>
      </c>
      <c r="BH1549" t="s">
        <v>97</v>
      </c>
      <c r="BI1549" t="s">
        <v>160</v>
      </c>
      <c r="BJ1549" t="s">
        <v>79</v>
      </c>
      <c r="BM1549">
        <v>1</v>
      </c>
      <c r="BN1549">
        <v>0</v>
      </c>
      <c r="BO1549">
        <v>1</v>
      </c>
      <c r="BP1549" t="s">
        <v>80</v>
      </c>
      <c r="BR1549">
        <v>0</v>
      </c>
      <c r="BS1549">
        <v>0</v>
      </c>
      <c r="BU1549">
        <v>82993</v>
      </c>
    </row>
    <row r="1550" spans="1:73" x14ac:dyDescent="0.3">
      <c r="A1550" t="s">
        <v>2707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2</v>
      </c>
      <c r="Z1550">
        <v>147070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871000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6</v>
      </c>
      <c r="BC1550" s="1">
        <v>1243725</v>
      </c>
      <c r="BD1550" t="s">
        <v>94</v>
      </c>
      <c r="BE1550" t="s">
        <v>2708</v>
      </c>
      <c r="BF1550" t="s">
        <v>2709</v>
      </c>
      <c r="BH1550" t="s">
        <v>97</v>
      </c>
      <c r="BI1550" t="s">
        <v>265</v>
      </c>
      <c r="BJ1550" t="s">
        <v>79</v>
      </c>
      <c r="BM1550">
        <v>2</v>
      </c>
      <c r="BN1550">
        <v>0</v>
      </c>
      <c r="BO1550">
        <v>2</v>
      </c>
      <c r="BP1550" t="s">
        <v>80</v>
      </c>
      <c r="BR1550">
        <v>0</v>
      </c>
      <c r="BS1550">
        <v>6</v>
      </c>
      <c r="BU1550">
        <v>1018070</v>
      </c>
    </row>
    <row r="1551" spans="1:73" x14ac:dyDescent="0.3">
      <c r="A1551" t="s">
        <v>2710</v>
      </c>
      <c r="B1551">
        <v>3</v>
      </c>
      <c r="C1551">
        <v>822070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3</v>
      </c>
      <c r="BC1551" s="1">
        <v>822070</v>
      </c>
      <c r="BD1551" t="s">
        <v>94</v>
      </c>
      <c r="BE1551" t="s">
        <v>2711</v>
      </c>
      <c r="BF1551" t="s">
        <v>2712</v>
      </c>
      <c r="BH1551" t="s">
        <v>97</v>
      </c>
      <c r="BI1551" t="s">
        <v>680</v>
      </c>
      <c r="BJ1551" t="s">
        <v>79</v>
      </c>
      <c r="BM1551">
        <v>0</v>
      </c>
      <c r="BN1551">
        <v>1</v>
      </c>
      <c r="BO1551">
        <v>1</v>
      </c>
      <c r="BP1551" t="s">
        <v>80</v>
      </c>
      <c r="BR1551">
        <v>0</v>
      </c>
      <c r="BS1551">
        <v>6</v>
      </c>
      <c r="BU1551">
        <v>822070</v>
      </c>
    </row>
    <row r="1552" spans="1:73" x14ac:dyDescent="0.3">
      <c r="A1552" t="s">
        <v>2719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73535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11111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4</v>
      </c>
      <c r="BC1552" s="1">
        <v>174342</v>
      </c>
      <c r="BD1552" t="s">
        <v>94</v>
      </c>
      <c r="BE1552" t="s">
        <v>2720</v>
      </c>
      <c r="BF1552" t="s">
        <v>2721</v>
      </c>
      <c r="BH1552" t="s">
        <v>97</v>
      </c>
      <c r="BI1552" t="s">
        <v>265</v>
      </c>
      <c r="BJ1552" t="s">
        <v>79</v>
      </c>
      <c r="BM1552">
        <v>2</v>
      </c>
      <c r="BN1552">
        <v>0</v>
      </c>
      <c r="BO1552">
        <v>2</v>
      </c>
      <c r="BP1552" t="s">
        <v>80</v>
      </c>
      <c r="BR1552">
        <v>0</v>
      </c>
      <c r="BS1552">
        <v>0</v>
      </c>
      <c r="BU1552">
        <v>84646</v>
      </c>
    </row>
    <row r="1553" spans="1:73" x14ac:dyDescent="0.3">
      <c r="A1553" t="s">
        <v>2725</v>
      </c>
      <c r="B1553">
        <v>0</v>
      </c>
      <c r="C1553">
        <v>0</v>
      </c>
      <c r="D1553">
        <v>3</v>
      </c>
      <c r="E1553">
        <v>1090000</v>
      </c>
      <c r="F1553">
        <v>0</v>
      </c>
      <c r="G1553">
        <v>0</v>
      </c>
      <c r="H1553">
        <v>2</v>
      </c>
      <c r="I1553">
        <v>40000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</v>
      </c>
      <c r="Z1553">
        <v>147070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20000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13</v>
      </c>
      <c r="BC1553" s="1">
        <v>2736997</v>
      </c>
      <c r="BD1553" t="s">
        <v>94</v>
      </c>
      <c r="BE1553" t="s">
        <v>2726</v>
      </c>
      <c r="BF1553" t="s">
        <v>2727</v>
      </c>
      <c r="BH1553" t="s">
        <v>97</v>
      </c>
      <c r="BI1553" t="s">
        <v>119</v>
      </c>
      <c r="BJ1553" t="s">
        <v>79</v>
      </c>
      <c r="BM1553">
        <v>2</v>
      </c>
      <c r="BN1553">
        <v>2</v>
      </c>
      <c r="BO1553">
        <v>4</v>
      </c>
      <c r="BP1553" t="s">
        <v>80</v>
      </c>
      <c r="BR1553">
        <v>0</v>
      </c>
      <c r="BS1553">
        <v>6</v>
      </c>
      <c r="BU1553">
        <v>1297070</v>
      </c>
    </row>
    <row r="1554" spans="1:73" x14ac:dyDescent="0.3">
      <c r="A1554" t="s">
        <v>2732</v>
      </c>
      <c r="B1554">
        <v>7</v>
      </c>
      <c r="C1554">
        <v>1245664</v>
      </c>
      <c r="D1554">
        <v>10</v>
      </c>
      <c r="E1554">
        <v>22755400</v>
      </c>
      <c r="F1554">
        <v>0</v>
      </c>
      <c r="G1554">
        <v>0</v>
      </c>
      <c r="H1554">
        <v>24</v>
      </c>
      <c r="I1554">
        <v>6516086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3</v>
      </c>
      <c r="Z1554">
        <v>230705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39166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60</v>
      </c>
      <c r="BC1554" s="1">
        <v>55291526</v>
      </c>
      <c r="BD1554" t="s">
        <v>94</v>
      </c>
      <c r="BE1554" t="s">
        <v>2733</v>
      </c>
      <c r="BF1554" t="s">
        <v>664</v>
      </c>
      <c r="BH1554" t="s">
        <v>97</v>
      </c>
      <c r="BI1554" t="s">
        <v>119</v>
      </c>
      <c r="BJ1554" t="s">
        <v>79</v>
      </c>
      <c r="BM1554">
        <v>2</v>
      </c>
      <c r="BN1554">
        <v>3</v>
      </c>
      <c r="BO1554">
        <v>5</v>
      </c>
      <c r="BP1554" t="s">
        <v>80</v>
      </c>
      <c r="BR1554">
        <v>0</v>
      </c>
      <c r="BS1554">
        <v>4</v>
      </c>
      <c r="BU1554">
        <v>30787021</v>
      </c>
    </row>
    <row r="1555" spans="1:73" x14ac:dyDescent="0.3">
      <c r="A1555" t="s">
        <v>2734</v>
      </c>
      <c r="B1555">
        <v>1</v>
      </c>
      <c r="C1555">
        <v>665262</v>
      </c>
      <c r="D1555">
        <v>1</v>
      </c>
      <c r="E1555">
        <v>170909</v>
      </c>
      <c r="F1555">
        <v>0</v>
      </c>
      <c r="G1555">
        <v>0</v>
      </c>
      <c r="H1555">
        <v>1</v>
      </c>
      <c r="I1555">
        <v>20000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3</v>
      </c>
      <c r="BC1555" s="1">
        <v>856171</v>
      </c>
      <c r="BD1555" t="s">
        <v>94</v>
      </c>
      <c r="BE1555" t="s">
        <v>2735</v>
      </c>
      <c r="BF1555" t="s">
        <v>620</v>
      </c>
      <c r="BH1555" t="s">
        <v>97</v>
      </c>
      <c r="BI1555" t="s">
        <v>119</v>
      </c>
      <c r="BJ1555" t="s">
        <v>79</v>
      </c>
      <c r="BM1555">
        <v>0</v>
      </c>
      <c r="BN1555">
        <v>3</v>
      </c>
      <c r="BO1555">
        <v>3</v>
      </c>
      <c r="BP1555" t="s">
        <v>514</v>
      </c>
      <c r="BR1555">
        <v>0</v>
      </c>
      <c r="BS1555">
        <v>6</v>
      </c>
      <c r="BU1555">
        <v>856171</v>
      </c>
    </row>
    <row r="1556" spans="1:73" x14ac:dyDescent="0.3">
      <c r="A1556" t="s">
        <v>2761</v>
      </c>
      <c r="B1556">
        <v>4</v>
      </c>
      <c r="C1556">
        <v>1517559</v>
      </c>
      <c r="D1556">
        <v>2</v>
      </c>
      <c r="E1556">
        <v>250000</v>
      </c>
      <c r="F1556">
        <v>0</v>
      </c>
      <c r="G1556">
        <v>0</v>
      </c>
      <c r="H1556">
        <v>12</v>
      </c>
      <c r="I1556">
        <v>325941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18</v>
      </c>
      <c r="BC1556" s="1">
        <v>2303500</v>
      </c>
      <c r="BD1556" t="s">
        <v>94</v>
      </c>
      <c r="BE1556" t="s">
        <v>2762</v>
      </c>
      <c r="BF1556" t="s">
        <v>2763</v>
      </c>
      <c r="BH1556" t="s">
        <v>97</v>
      </c>
      <c r="BI1556" t="s">
        <v>208</v>
      </c>
      <c r="BJ1556" t="s">
        <v>79</v>
      </c>
      <c r="BM1556">
        <v>0</v>
      </c>
      <c r="BN1556">
        <v>3</v>
      </c>
      <c r="BO1556">
        <v>3</v>
      </c>
      <c r="BP1556" t="s">
        <v>80</v>
      </c>
      <c r="BR1556">
        <v>0</v>
      </c>
      <c r="BS1556">
        <v>6</v>
      </c>
      <c r="BU1556">
        <v>2093500</v>
      </c>
    </row>
    <row r="1557" spans="1:73" x14ac:dyDescent="0.3">
      <c r="A1557" t="s">
        <v>2764</v>
      </c>
      <c r="B1557">
        <v>0</v>
      </c>
      <c r="C1557">
        <v>0</v>
      </c>
      <c r="D1557">
        <v>8</v>
      </c>
      <c r="E1557">
        <v>2524285</v>
      </c>
      <c r="F1557">
        <v>0</v>
      </c>
      <c r="G1557">
        <v>0</v>
      </c>
      <c r="H1557">
        <v>12</v>
      </c>
      <c r="I1557">
        <v>240000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16</v>
      </c>
      <c r="BC1557" s="1">
        <v>5048570</v>
      </c>
      <c r="BD1557" t="s">
        <v>94</v>
      </c>
      <c r="BE1557" t="s">
        <v>2765</v>
      </c>
      <c r="BF1557" t="s">
        <v>2766</v>
      </c>
      <c r="BH1557" t="s">
        <v>97</v>
      </c>
      <c r="BI1557" t="s">
        <v>265</v>
      </c>
      <c r="BJ1557" t="s">
        <v>79</v>
      </c>
      <c r="BM1557">
        <v>0</v>
      </c>
      <c r="BN1557">
        <v>2</v>
      </c>
      <c r="BO1557">
        <v>2</v>
      </c>
      <c r="BP1557" t="s">
        <v>80</v>
      </c>
      <c r="BR1557">
        <v>0</v>
      </c>
      <c r="BS1557">
        <v>6</v>
      </c>
      <c r="BU1557">
        <v>2764285</v>
      </c>
    </row>
    <row r="1558" spans="1:73" x14ac:dyDescent="0.3">
      <c r="A1558" t="s">
        <v>2770</v>
      </c>
      <c r="B1558">
        <v>0</v>
      </c>
      <c r="C1558">
        <v>0</v>
      </c>
      <c r="D1558">
        <v>1</v>
      </c>
      <c r="E1558">
        <v>340000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73535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</v>
      </c>
      <c r="AL1558">
        <v>50000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7</v>
      </c>
      <c r="BC1558" s="1">
        <v>882120</v>
      </c>
      <c r="BD1558" t="s">
        <v>94</v>
      </c>
      <c r="BE1558" t="s">
        <v>2771</v>
      </c>
      <c r="BF1558" t="s">
        <v>2772</v>
      </c>
      <c r="BH1558" t="s">
        <v>97</v>
      </c>
      <c r="BI1558" t="s">
        <v>119</v>
      </c>
      <c r="BJ1558" t="s">
        <v>79</v>
      </c>
      <c r="BM1558">
        <v>2</v>
      </c>
      <c r="BN1558">
        <v>1</v>
      </c>
      <c r="BO1558">
        <v>3</v>
      </c>
      <c r="BP1558" t="s">
        <v>80</v>
      </c>
      <c r="BR1558">
        <v>0</v>
      </c>
      <c r="BS1558">
        <v>6</v>
      </c>
      <c r="BU1558">
        <v>463535</v>
      </c>
    </row>
    <row r="1559" spans="1:73" x14ac:dyDescent="0.3">
      <c r="A1559" t="s">
        <v>2773</v>
      </c>
      <c r="B1559">
        <v>3</v>
      </c>
      <c r="C1559">
        <v>1510831</v>
      </c>
      <c r="D1559">
        <v>4</v>
      </c>
      <c r="E1559">
        <v>218501</v>
      </c>
      <c r="F1559">
        <v>0</v>
      </c>
      <c r="G1559">
        <v>0</v>
      </c>
      <c r="H1559">
        <v>6</v>
      </c>
      <c r="I1559">
        <v>137002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11</v>
      </c>
      <c r="BC1559" s="1">
        <v>1947833</v>
      </c>
      <c r="BD1559" t="s">
        <v>94</v>
      </c>
      <c r="BE1559" t="s">
        <v>2774</v>
      </c>
      <c r="BF1559" t="s">
        <v>2775</v>
      </c>
      <c r="BH1559" t="s">
        <v>1464</v>
      </c>
      <c r="BI1559" t="s">
        <v>2776</v>
      </c>
      <c r="BJ1559" t="s">
        <v>125</v>
      </c>
      <c r="BM1559">
        <v>0</v>
      </c>
      <c r="BN1559">
        <v>3</v>
      </c>
      <c r="BO1559">
        <v>3</v>
      </c>
      <c r="BP1559" t="s">
        <v>80</v>
      </c>
      <c r="BR1559">
        <v>0</v>
      </c>
      <c r="BS1559">
        <v>6</v>
      </c>
      <c r="BU1559">
        <v>1866334</v>
      </c>
    </row>
    <row r="1560" spans="1:73" x14ac:dyDescent="0.3">
      <c r="A1560" t="s">
        <v>2780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96439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2</v>
      </c>
      <c r="BC1560" s="1">
        <v>192878</v>
      </c>
      <c r="BD1560" t="s">
        <v>94</v>
      </c>
      <c r="BE1560" t="s">
        <v>2781</v>
      </c>
      <c r="BF1560" t="s">
        <v>2782</v>
      </c>
      <c r="BH1560" t="s">
        <v>97</v>
      </c>
      <c r="BI1560" t="s">
        <v>119</v>
      </c>
      <c r="BJ1560" t="s">
        <v>79</v>
      </c>
      <c r="BM1560">
        <v>1</v>
      </c>
      <c r="BN1560">
        <v>0</v>
      </c>
      <c r="BO1560">
        <v>1</v>
      </c>
      <c r="BP1560" t="s">
        <v>80</v>
      </c>
      <c r="BR1560">
        <v>0</v>
      </c>
      <c r="BS1560">
        <v>0</v>
      </c>
      <c r="BU1560">
        <v>96439</v>
      </c>
    </row>
    <row r="1561" spans="1:73" x14ac:dyDescent="0.3">
      <c r="A1561" t="s">
        <v>2786</v>
      </c>
      <c r="B1561">
        <v>1</v>
      </c>
      <c r="C1561">
        <v>393084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 s="1">
        <v>393084</v>
      </c>
      <c r="BD1561" t="s">
        <v>94</v>
      </c>
      <c r="BE1561" t="s">
        <v>2787</v>
      </c>
      <c r="BF1561" t="s">
        <v>2788</v>
      </c>
      <c r="BH1561" t="s">
        <v>97</v>
      </c>
      <c r="BI1561" t="s">
        <v>232</v>
      </c>
      <c r="BJ1561" t="s">
        <v>79</v>
      </c>
      <c r="BM1561">
        <v>0</v>
      </c>
      <c r="BN1561">
        <v>1</v>
      </c>
      <c r="BO1561">
        <v>1</v>
      </c>
      <c r="BP1561" t="s">
        <v>80</v>
      </c>
      <c r="BR1561">
        <v>0</v>
      </c>
      <c r="BS1561">
        <v>6</v>
      </c>
      <c r="BU1561">
        <v>393084</v>
      </c>
    </row>
    <row r="1562" spans="1:73" x14ac:dyDescent="0.3">
      <c r="A1562" t="s">
        <v>2805</v>
      </c>
      <c r="B1562">
        <v>0</v>
      </c>
      <c r="C1562">
        <v>0</v>
      </c>
      <c r="D1562">
        <v>10</v>
      </c>
      <c r="E1562">
        <v>2083645</v>
      </c>
      <c r="F1562">
        <v>0</v>
      </c>
      <c r="G1562">
        <v>0</v>
      </c>
      <c r="H1562">
        <v>20</v>
      </c>
      <c r="I1562">
        <v>427290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22</v>
      </c>
      <c r="BC1562" s="1">
        <v>4207290</v>
      </c>
      <c r="BD1562" t="s">
        <v>94</v>
      </c>
      <c r="BE1562" t="s">
        <v>2806</v>
      </c>
      <c r="BF1562" t="s">
        <v>2807</v>
      </c>
      <c r="BH1562" t="s">
        <v>97</v>
      </c>
      <c r="BI1562" t="s">
        <v>208</v>
      </c>
      <c r="BJ1562" t="s">
        <v>79</v>
      </c>
      <c r="BM1562">
        <v>0</v>
      </c>
      <c r="BN1562">
        <v>2</v>
      </c>
      <c r="BO1562">
        <v>2</v>
      </c>
      <c r="BP1562" t="s">
        <v>80</v>
      </c>
      <c r="BR1562">
        <v>0</v>
      </c>
      <c r="BS1562">
        <v>6</v>
      </c>
      <c r="BU1562">
        <v>2510935</v>
      </c>
    </row>
    <row r="1563" spans="1:73" x14ac:dyDescent="0.3">
      <c r="A1563" t="s">
        <v>2808</v>
      </c>
      <c r="B1563">
        <v>0</v>
      </c>
      <c r="C1563">
        <v>0</v>
      </c>
      <c r="D1563">
        <v>1</v>
      </c>
      <c r="E1563">
        <v>20000</v>
      </c>
      <c r="F1563">
        <v>0</v>
      </c>
      <c r="G1563">
        <v>0</v>
      </c>
      <c r="H1563">
        <v>2</v>
      </c>
      <c r="I1563">
        <v>40000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2</v>
      </c>
      <c r="BC1563" s="1">
        <v>40000</v>
      </c>
      <c r="BD1563" t="s">
        <v>94</v>
      </c>
      <c r="BE1563" t="s">
        <v>2809</v>
      </c>
      <c r="BF1563" t="s">
        <v>2810</v>
      </c>
      <c r="BH1563" t="s">
        <v>97</v>
      </c>
      <c r="BI1563" t="s">
        <v>559</v>
      </c>
      <c r="BJ1563" t="s">
        <v>79</v>
      </c>
      <c r="BM1563">
        <v>0</v>
      </c>
      <c r="BN1563">
        <v>2</v>
      </c>
      <c r="BO1563">
        <v>2</v>
      </c>
      <c r="BP1563" t="s">
        <v>80</v>
      </c>
      <c r="BR1563">
        <v>0</v>
      </c>
      <c r="BS1563">
        <v>6</v>
      </c>
      <c r="BU1563">
        <v>60000</v>
      </c>
    </row>
    <row r="1564" spans="1:73" x14ac:dyDescent="0.3">
      <c r="A1564" t="s">
        <v>2816</v>
      </c>
      <c r="B1564">
        <v>0</v>
      </c>
      <c r="C1564">
        <v>0</v>
      </c>
      <c r="D1564">
        <v>3</v>
      </c>
      <c r="E1564">
        <v>1640000</v>
      </c>
      <c r="F1564">
        <v>0</v>
      </c>
      <c r="G1564">
        <v>0</v>
      </c>
      <c r="H1564">
        <v>4</v>
      </c>
      <c r="I1564">
        <v>80000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6</v>
      </c>
      <c r="BC1564" s="1">
        <v>3280000</v>
      </c>
      <c r="BD1564" t="s">
        <v>94</v>
      </c>
      <c r="BE1564" t="s">
        <v>2817</v>
      </c>
      <c r="BF1564" t="s">
        <v>2818</v>
      </c>
      <c r="BH1564" t="s">
        <v>97</v>
      </c>
      <c r="BI1564" t="s">
        <v>119</v>
      </c>
      <c r="BJ1564" t="s">
        <v>79</v>
      </c>
      <c r="BM1564">
        <v>0</v>
      </c>
      <c r="BN1564">
        <v>2</v>
      </c>
      <c r="BO1564">
        <v>2</v>
      </c>
      <c r="BP1564" t="s">
        <v>80</v>
      </c>
      <c r="BR1564">
        <v>0</v>
      </c>
      <c r="BS1564">
        <v>6</v>
      </c>
      <c r="BU1564">
        <v>1720000</v>
      </c>
    </row>
    <row r="1565" spans="1:73" x14ac:dyDescent="0.3">
      <c r="A1565" t="s">
        <v>2822</v>
      </c>
      <c r="B1565">
        <v>0</v>
      </c>
      <c r="C1565">
        <v>0</v>
      </c>
      <c r="D1565">
        <v>9</v>
      </c>
      <c r="E1565">
        <v>4383551</v>
      </c>
      <c r="F1565">
        <v>0</v>
      </c>
      <c r="G1565">
        <v>0</v>
      </c>
      <c r="H1565">
        <v>14</v>
      </c>
      <c r="I1565">
        <v>367102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18</v>
      </c>
      <c r="BC1565" s="1">
        <v>8767102</v>
      </c>
      <c r="BD1565" t="s">
        <v>94</v>
      </c>
      <c r="BE1565" t="s">
        <v>2823</v>
      </c>
      <c r="BF1565" t="s">
        <v>664</v>
      </c>
      <c r="BH1565" t="s">
        <v>97</v>
      </c>
      <c r="BI1565" t="s">
        <v>119</v>
      </c>
      <c r="BJ1565" t="s">
        <v>79</v>
      </c>
      <c r="BM1565">
        <v>0</v>
      </c>
      <c r="BN1565">
        <v>2</v>
      </c>
      <c r="BO1565">
        <v>2</v>
      </c>
      <c r="BP1565" t="s">
        <v>80</v>
      </c>
      <c r="BR1565">
        <v>0</v>
      </c>
      <c r="BS1565">
        <v>6</v>
      </c>
      <c r="BU1565">
        <v>4750653</v>
      </c>
    </row>
    <row r="1566" spans="1:73" x14ac:dyDescent="0.3">
      <c r="A1566" t="s">
        <v>2824</v>
      </c>
      <c r="B1566">
        <v>0</v>
      </c>
      <c r="C1566">
        <v>0</v>
      </c>
      <c r="D1566">
        <v>6</v>
      </c>
      <c r="E1566">
        <v>1584279</v>
      </c>
      <c r="F1566">
        <v>0</v>
      </c>
      <c r="G1566">
        <v>0</v>
      </c>
      <c r="H1566">
        <v>10</v>
      </c>
      <c r="I1566">
        <v>668558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13</v>
      </c>
      <c r="BC1566" s="1">
        <v>4214778</v>
      </c>
      <c r="BD1566" t="s">
        <v>94</v>
      </c>
      <c r="BE1566" t="s">
        <v>2825</v>
      </c>
      <c r="BF1566" t="s">
        <v>2826</v>
      </c>
      <c r="BH1566" t="s">
        <v>97</v>
      </c>
      <c r="BI1566" t="s">
        <v>208</v>
      </c>
      <c r="BJ1566" t="s">
        <v>79</v>
      </c>
      <c r="BM1566">
        <v>0</v>
      </c>
      <c r="BN1566">
        <v>2</v>
      </c>
      <c r="BO1566">
        <v>2</v>
      </c>
      <c r="BP1566" t="s">
        <v>80</v>
      </c>
      <c r="BR1566">
        <v>0</v>
      </c>
      <c r="BS1566">
        <v>6</v>
      </c>
      <c r="BU1566">
        <v>2252837</v>
      </c>
    </row>
    <row r="1567" spans="1:73" x14ac:dyDescent="0.3">
      <c r="A1567" t="s">
        <v>2827</v>
      </c>
      <c r="B1567">
        <v>3</v>
      </c>
      <c r="C1567">
        <v>2700036</v>
      </c>
      <c r="D1567">
        <v>4</v>
      </c>
      <c r="E1567">
        <v>1940400</v>
      </c>
      <c r="F1567">
        <v>0</v>
      </c>
      <c r="G1567">
        <v>0</v>
      </c>
      <c r="H1567">
        <v>4</v>
      </c>
      <c r="I1567">
        <v>80800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11</v>
      </c>
      <c r="BC1567" s="1">
        <v>6580836</v>
      </c>
      <c r="BD1567" t="s">
        <v>94</v>
      </c>
      <c r="BE1567" t="s">
        <v>2828</v>
      </c>
      <c r="BF1567" t="s">
        <v>2829</v>
      </c>
      <c r="BH1567" t="s">
        <v>123</v>
      </c>
      <c r="BI1567" t="s">
        <v>124</v>
      </c>
      <c r="BJ1567" t="s">
        <v>125</v>
      </c>
      <c r="BM1567">
        <v>0</v>
      </c>
      <c r="BN1567">
        <v>3</v>
      </c>
      <c r="BO1567">
        <v>3</v>
      </c>
      <c r="BP1567" t="s">
        <v>80</v>
      </c>
      <c r="BR1567">
        <v>0</v>
      </c>
      <c r="BS1567">
        <v>6</v>
      </c>
      <c r="BU1567">
        <v>4721236</v>
      </c>
    </row>
    <row r="1568" spans="1:73" x14ac:dyDescent="0.3">
      <c r="A1568" t="s">
        <v>2830</v>
      </c>
      <c r="B1568">
        <v>1</v>
      </c>
      <c r="C1568">
        <v>739495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1</v>
      </c>
      <c r="BC1568" s="1">
        <v>739495</v>
      </c>
      <c r="BD1568" t="s">
        <v>94</v>
      </c>
      <c r="BE1568" t="s">
        <v>2831</v>
      </c>
      <c r="BF1568" t="s">
        <v>2832</v>
      </c>
      <c r="BH1568" t="s">
        <v>97</v>
      </c>
      <c r="BI1568" t="s">
        <v>680</v>
      </c>
      <c r="BJ1568" t="s">
        <v>79</v>
      </c>
      <c r="BM1568">
        <v>0</v>
      </c>
      <c r="BN1568">
        <v>1</v>
      </c>
      <c r="BO1568">
        <v>1</v>
      </c>
      <c r="BP1568" t="s">
        <v>80</v>
      </c>
      <c r="BR1568">
        <v>0</v>
      </c>
      <c r="BS1568">
        <v>6</v>
      </c>
      <c r="BU1568">
        <v>739495</v>
      </c>
    </row>
    <row r="1569" spans="1:73" x14ac:dyDescent="0.3">
      <c r="A1569" t="s">
        <v>2839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66676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 s="1">
        <v>66676</v>
      </c>
      <c r="BD1569" t="s">
        <v>94</v>
      </c>
      <c r="BE1569" t="s">
        <v>2840</v>
      </c>
      <c r="BF1569" t="s">
        <v>2841</v>
      </c>
      <c r="BH1569" t="s">
        <v>97</v>
      </c>
      <c r="BI1569" t="s">
        <v>98</v>
      </c>
      <c r="BJ1569" t="s">
        <v>79</v>
      </c>
      <c r="BM1569">
        <v>0</v>
      </c>
      <c r="BN1569">
        <v>1</v>
      </c>
      <c r="BO1569">
        <v>1</v>
      </c>
      <c r="BP1569" t="s">
        <v>514</v>
      </c>
      <c r="BR1569">
        <v>0</v>
      </c>
      <c r="BS1569">
        <v>6</v>
      </c>
      <c r="BU1569">
        <v>66676</v>
      </c>
    </row>
    <row r="1570" spans="1:73" x14ac:dyDescent="0.3">
      <c r="A1570" t="s">
        <v>2845</v>
      </c>
      <c r="B1570">
        <v>1</v>
      </c>
      <c r="C1570">
        <v>293756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1</v>
      </c>
      <c r="BC1570" s="1">
        <v>293756</v>
      </c>
      <c r="BD1570" t="s">
        <v>94</v>
      </c>
      <c r="BE1570" t="s">
        <v>2846</v>
      </c>
      <c r="BF1570" t="s">
        <v>2847</v>
      </c>
      <c r="BH1570" t="s">
        <v>97</v>
      </c>
      <c r="BI1570" t="s">
        <v>680</v>
      </c>
      <c r="BJ1570" t="s">
        <v>79</v>
      </c>
      <c r="BM1570">
        <v>0</v>
      </c>
      <c r="BN1570">
        <v>1</v>
      </c>
      <c r="BO1570">
        <v>1</v>
      </c>
      <c r="BP1570" t="s">
        <v>80</v>
      </c>
      <c r="BR1570">
        <v>0</v>
      </c>
      <c r="BS1570">
        <v>6</v>
      </c>
      <c r="BU1570">
        <v>293756</v>
      </c>
    </row>
    <row r="1571" spans="1:73" x14ac:dyDescent="0.3">
      <c r="A1571" t="s">
        <v>2848</v>
      </c>
      <c r="B1571">
        <v>3</v>
      </c>
      <c r="C1571">
        <v>460572</v>
      </c>
      <c r="D1571">
        <v>22</v>
      </c>
      <c r="E1571">
        <v>7576780</v>
      </c>
      <c r="F1571">
        <v>0</v>
      </c>
      <c r="G1571">
        <v>0</v>
      </c>
      <c r="H1571">
        <v>34</v>
      </c>
      <c r="I1571">
        <v>3158422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54</v>
      </c>
      <c r="BC1571" s="1">
        <v>17709138</v>
      </c>
      <c r="BD1571" t="s">
        <v>94</v>
      </c>
      <c r="BE1571" t="s">
        <v>2849</v>
      </c>
      <c r="BF1571" t="s">
        <v>2850</v>
      </c>
      <c r="BH1571" t="s">
        <v>123</v>
      </c>
      <c r="BI1571" t="s">
        <v>288</v>
      </c>
      <c r="BJ1571" t="s">
        <v>125</v>
      </c>
      <c r="BM1571">
        <v>0</v>
      </c>
      <c r="BN1571">
        <v>3</v>
      </c>
      <c r="BO1571">
        <v>3</v>
      </c>
      <c r="BP1571" t="s">
        <v>80</v>
      </c>
      <c r="BR1571">
        <v>0</v>
      </c>
      <c r="BS1571">
        <v>5</v>
      </c>
      <c r="BU1571">
        <v>11195774</v>
      </c>
    </row>
    <row r="1572" spans="1:73" x14ac:dyDescent="0.3">
      <c r="A1572" t="s">
        <v>2851</v>
      </c>
      <c r="B1572">
        <v>0</v>
      </c>
      <c r="C1572">
        <v>0</v>
      </c>
      <c r="D1572">
        <v>10</v>
      </c>
      <c r="E1572">
        <v>4315209</v>
      </c>
      <c r="F1572">
        <v>0</v>
      </c>
      <c r="G1572">
        <v>0</v>
      </c>
      <c r="H1572">
        <v>12</v>
      </c>
      <c r="I1572">
        <v>378328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43523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4394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409091</v>
      </c>
      <c r="AY1572">
        <v>0</v>
      </c>
      <c r="AZ1572">
        <v>0</v>
      </c>
      <c r="BA1572">
        <v>0</v>
      </c>
      <c r="BB1572">
        <v>28</v>
      </c>
      <c r="BC1572" s="1">
        <v>8586780</v>
      </c>
      <c r="BD1572" t="s">
        <v>94</v>
      </c>
      <c r="BE1572" t="s">
        <v>2852</v>
      </c>
      <c r="BF1572" t="s">
        <v>781</v>
      </c>
      <c r="BH1572" t="s">
        <v>97</v>
      </c>
      <c r="BI1572" t="s">
        <v>119</v>
      </c>
      <c r="BJ1572" t="s">
        <v>79</v>
      </c>
      <c r="BM1572">
        <v>2</v>
      </c>
      <c r="BN1572">
        <v>2</v>
      </c>
      <c r="BO1572">
        <v>4</v>
      </c>
      <c r="BP1572" t="s">
        <v>80</v>
      </c>
      <c r="BR1572">
        <v>0</v>
      </c>
      <c r="BS1572">
        <v>6</v>
      </c>
      <c r="BU1572">
        <v>5150545</v>
      </c>
    </row>
    <row r="1573" spans="1:73" x14ac:dyDescent="0.3">
      <c r="A1573" t="s">
        <v>2853</v>
      </c>
      <c r="B1573">
        <v>5</v>
      </c>
      <c r="C1573">
        <v>912075</v>
      </c>
      <c r="D1573">
        <v>11</v>
      </c>
      <c r="E1573">
        <v>4442316</v>
      </c>
      <c r="F1573">
        <v>0</v>
      </c>
      <c r="G1573">
        <v>0</v>
      </c>
      <c r="H1573">
        <v>18</v>
      </c>
      <c r="I1573">
        <v>1084632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73535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30</v>
      </c>
      <c r="BC1573" s="1">
        <v>9910242</v>
      </c>
      <c r="BD1573" t="s">
        <v>94</v>
      </c>
      <c r="BE1573" t="s">
        <v>2854</v>
      </c>
      <c r="BF1573" t="s">
        <v>1644</v>
      </c>
      <c r="BH1573" t="s">
        <v>123</v>
      </c>
      <c r="BI1573" t="s">
        <v>124</v>
      </c>
      <c r="BJ1573" t="s">
        <v>125</v>
      </c>
      <c r="BM1573">
        <v>1</v>
      </c>
      <c r="BN1573">
        <v>3</v>
      </c>
      <c r="BO1573">
        <v>4</v>
      </c>
      <c r="BP1573" t="s">
        <v>80</v>
      </c>
      <c r="BR1573">
        <v>0</v>
      </c>
      <c r="BS1573">
        <v>5</v>
      </c>
      <c r="BU1573">
        <v>6512558</v>
      </c>
    </row>
    <row r="1574" spans="1:73" x14ac:dyDescent="0.3">
      <c r="A1574" t="s">
        <v>2867</v>
      </c>
      <c r="B1574">
        <v>2</v>
      </c>
      <c r="C1574">
        <v>1084777</v>
      </c>
      <c r="D1574">
        <v>0</v>
      </c>
      <c r="E1574">
        <v>0</v>
      </c>
      <c r="F1574">
        <v>0</v>
      </c>
      <c r="G1574">
        <v>0</v>
      </c>
      <c r="H1574">
        <v>2</v>
      </c>
      <c r="I1574">
        <v>40000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4</v>
      </c>
      <c r="BC1574" s="1">
        <v>1124777</v>
      </c>
      <c r="BD1574" t="s">
        <v>94</v>
      </c>
      <c r="BE1574" t="s">
        <v>2868</v>
      </c>
      <c r="BF1574" t="s">
        <v>2869</v>
      </c>
      <c r="BH1574" t="s">
        <v>97</v>
      </c>
      <c r="BI1574" t="s">
        <v>119</v>
      </c>
      <c r="BJ1574" t="s">
        <v>79</v>
      </c>
      <c r="BM1574">
        <v>0</v>
      </c>
      <c r="BN1574">
        <v>2</v>
      </c>
      <c r="BO1574">
        <v>2</v>
      </c>
      <c r="BP1574" t="s">
        <v>80</v>
      </c>
      <c r="BR1574">
        <v>0</v>
      </c>
      <c r="BS1574">
        <v>6</v>
      </c>
      <c r="BU1574">
        <v>1124777</v>
      </c>
    </row>
    <row r="1575" spans="1:73" x14ac:dyDescent="0.3">
      <c r="A1575" t="s">
        <v>2870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25000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 s="1">
        <v>25000</v>
      </c>
      <c r="BD1575" t="s">
        <v>94</v>
      </c>
      <c r="BE1575" t="s">
        <v>2871</v>
      </c>
      <c r="BF1575" t="s">
        <v>2872</v>
      </c>
      <c r="BH1575" t="s">
        <v>97</v>
      </c>
      <c r="BI1575" t="s">
        <v>119</v>
      </c>
      <c r="BJ1575" t="s">
        <v>79</v>
      </c>
      <c r="BM1575">
        <v>0</v>
      </c>
      <c r="BN1575">
        <v>1</v>
      </c>
      <c r="BO1575">
        <v>1</v>
      </c>
      <c r="BP1575" t="s">
        <v>80</v>
      </c>
      <c r="BR1575">
        <v>0</v>
      </c>
      <c r="BS1575">
        <v>6</v>
      </c>
      <c r="BU1575">
        <v>25000</v>
      </c>
    </row>
    <row r="1576" spans="1:73" x14ac:dyDescent="0.3">
      <c r="A1576" t="s">
        <v>2873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82993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2</v>
      </c>
      <c r="BC1576" s="1">
        <v>165986</v>
      </c>
      <c r="BD1576" t="s">
        <v>94</v>
      </c>
      <c r="BE1576" t="s">
        <v>2874</v>
      </c>
      <c r="BF1576" t="s">
        <v>2875</v>
      </c>
      <c r="BH1576" t="s">
        <v>97</v>
      </c>
      <c r="BI1576" t="s">
        <v>208</v>
      </c>
      <c r="BJ1576" t="s">
        <v>79</v>
      </c>
      <c r="BM1576">
        <v>1</v>
      </c>
      <c r="BN1576">
        <v>0</v>
      </c>
      <c r="BO1576">
        <v>1</v>
      </c>
      <c r="BP1576" t="s">
        <v>80</v>
      </c>
      <c r="BR1576">
        <v>0</v>
      </c>
      <c r="BS1576">
        <v>6</v>
      </c>
      <c r="BU1576">
        <v>82993</v>
      </c>
    </row>
    <row r="1577" spans="1:73" x14ac:dyDescent="0.3">
      <c r="A1577" t="s">
        <v>2879</v>
      </c>
      <c r="B1577">
        <v>2</v>
      </c>
      <c r="C1577">
        <v>553846</v>
      </c>
      <c r="D1577">
        <v>14</v>
      </c>
      <c r="E1577">
        <v>3066783</v>
      </c>
      <c r="F1577">
        <v>0</v>
      </c>
      <c r="G1577">
        <v>0</v>
      </c>
      <c r="H1577">
        <v>18</v>
      </c>
      <c r="I1577">
        <v>423566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73535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28</v>
      </c>
      <c r="BC1577" s="1">
        <v>4179482</v>
      </c>
      <c r="BD1577" t="s">
        <v>94</v>
      </c>
      <c r="BE1577" t="s">
        <v>2880</v>
      </c>
      <c r="BF1577" t="s">
        <v>652</v>
      </c>
      <c r="BH1577" t="s">
        <v>97</v>
      </c>
      <c r="BI1577" t="s">
        <v>98</v>
      </c>
      <c r="BJ1577" t="s">
        <v>79</v>
      </c>
      <c r="BM1577">
        <v>1</v>
      </c>
      <c r="BN1577">
        <v>3</v>
      </c>
      <c r="BO1577">
        <v>4</v>
      </c>
      <c r="BP1577" t="s">
        <v>80</v>
      </c>
      <c r="BR1577">
        <v>0</v>
      </c>
      <c r="BS1577">
        <v>6</v>
      </c>
      <c r="BU1577">
        <v>4117730</v>
      </c>
    </row>
    <row r="1578" spans="1:73" x14ac:dyDescent="0.3">
      <c r="A1578" t="s">
        <v>2881</v>
      </c>
      <c r="B1578">
        <v>0</v>
      </c>
      <c r="C1578">
        <v>0</v>
      </c>
      <c r="D1578">
        <v>1</v>
      </c>
      <c r="E1578">
        <v>20520</v>
      </c>
      <c r="F1578">
        <v>0</v>
      </c>
      <c r="G1578">
        <v>0</v>
      </c>
      <c r="H1578">
        <v>2</v>
      </c>
      <c r="I1578">
        <v>41040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2</v>
      </c>
      <c r="BC1578" s="1">
        <v>41040</v>
      </c>
      <c r="BD1578" t="s">
        <v>94</v>
      </c>
      <c r="BE1578" t="s">
        <v>2882</v>
      </c>
      <c r="BF1578" t="s">
        <v>2883</v>
      </c>
      <c r="BH1578" t="s">
        <v>97</v>
      </c>
      <c r="BI1578" t="s">
        <v>208</v>
      </c>
      <c r="BJ1578" t="s">
        <v>79</v>
      </c>
      <c r="BM1578">
        <v>0</v>
      </c>
      <c r="BN1578">
        <v>2</v>
      </c>
      <c r="BO1578">
        <v>2</v>
      </c>
      <c r="BP1578" t="s">
        <v>80</v>
      </c>
      <c r="BR1578">
        <v>0</v>
      </c>
      <c r="BS1578">
        <v>6</v>
      </c>
      <c r="BU1578">
        <v>61560</v>
      </c>
    </row>
    <row r="1579" spans="1:73" x14ac:dyDescent="0.3">
      <c r="A1579" t="s">
        <v>2890</v>
      </c>
      <c r="B1579">
        <v>0</v>
      </c>
      <c r="C1579">
        <v>0</v>
      </c>
      <c r="D1579">
        <v>4</v>
      </c>
      <c r="E1579">
        <v>812867</v>
      </c>
      <c r="F1579">
        <v>0</v>
      </c>
      <c r="G1579">
        <v>0</v>
      </c>
      <c r="H1579">
        <v>4</v>
      </c>
      <c r="I1579">
        <v>134304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</v>
      </c>
      <c r="Z1579">
        <v>152120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</v>
      </c>
      <c r="AL1579">
        <v>39584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14</v>
      </c>
      <c r="BC1579" s="1">
        <v>1923296</v>
      </c>
      <c r="BD1579" t="s">
        <v>94</v>
      </c>
      <c r="BE1579" t="s">
        <v>2891</v>
      </c>
      <c r="BF1579" t="s">
        <v>2892</v>
      </c>
      <c r="BH1579" t="s">
        <v>97</v>
      </c>
      <c r="BI1579" t="s">
        <v>119</v>
      </c>
      <c r="BJ1579" t="s">
        <v>79</v>
      </c>
      <c r="BM1579">
        <v>2</v>
      </c>
      <c r="BN1579">
        <v>2</v>
      </c>
      <c r="BO1579">
        <v>4</v>
      </c>
      <c r="BP1579" t="s">
        <v>80</v>
      </c>
      <c r="BR1579">
        <v>0</v>
      </c>
      <c r="BS1579">
        <v>6</v>
      </c>
      <c r="BU1579">
        <v>1138875</v>
      </c>
    </row>
    <row r="1580" spans="1:73" x14ac:dyDescent="0.3">
      <c r="A1580" t="s">
        <v>2902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73535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3</v>
      </c>
      <c r="BC1580" s="1">
        <v>154986</v>
      </c>
      <c r="BD1580" t="s">
        <v>94</v>
      </c>
      <c r="BE1580" t="s">
        <v>2903</v>
      </c>
      <c r="BF1580" t="s">
        <v>2904</v>
      </c>
      <c r="BH1580" t="s">
        <v>97</v>
      </c>
      <c r="BI1580" t="s">
        <v>119</v>
      </c>
      <c r="BJ1580" t="s">
        <v>79</v>
      </c>
      <c r="BM1580">
        <v>1</v>
      </c>
      <c r="BN1580">
        <v>0</v>
      </c>
      <c r="BO1580">
        <v>1</v>
      </c>
      <c r="BP1580" t="s">
        <v>80</v>
      </c>
      <c r="BR1580">
        <v>0</v>
      </c>
      <c r="BS1580">
        <v>6</v>
      </c>
      <c r="BU1580">
        <v>73535</v>
      </c>
    </row>
    <row r="1581" spans="1:73" x14ac:dyDescent="0.3">
      <c r="A1581" t="s">
        <v>2905</v>
      </c>
      <c r="B1581">
        <v>1</v>
      </c>
      <c r="C1581">
        <v>229219</v>
      </c>
      <c r="D1581">
        <v>4</v>
      </c>
      <c r="E1581">
        <v>2063348</v>
      </c>
      <c r="F1581">
        <v>0</v>
      </c>
      <c r="G1581">
        <v>0</v>
      </c>
      <c r="H1581">
        <v>4</v>
      </c>
      <c r="I1581">
        <v>90334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8334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10</v>
      </c>
      <c r="BC1581" s="1">
        <v>4364249</v>
      </c>
      <c r="BD1581" t="s">
        <v>94</v>
      </c>
      <c r="BE1581" t="s">
        <v>2906</v>
      </c>
      <c r="BF1581" t="s">
        <v>649</v>
      </c>
      <c r="BH1581" t="s">
        <v>97</v>
      </c>
      <c r="BI1581" t="s">
        <v>119</v>
      </c>
      <c r="BJ1581" t="s">
        <v>79</v>
      </c>
      <c r="BM1581">
        <v>1</v>
      </c>
      <c r="BN1581">
        <v>3</v>
      </c>
      <c r="BO1581">
        <v>4</v>
      </c>
      <c r="BP1581" t="s">
        <v>80</v>
      </c>
      <c r="BR1581">
        <v>0</v>
      </c>
      <c r="BS1581">
        <v>6</v>
      </c>
      <c r="BU1581">
        <v>2391235</v>
      </c>
    </row>
    <row r="1582" spans="1:73" x14ac:dyDescent="0.3">
      <c r="A1582" t="s">
        <v>2910</v>
      </c>
      <c r="B1582">
        <v>0</v>
      </c>
      <c r="C1582">
        <v>0</v>
      </c>
      <c r="D1582">
        <v>4</v>
      </c>
      <c r="E1582">
        <v>2124456</v>
      </c>
      <c r="F1582">
        <v>0</v>
      </c>
      <c r="G1582">
        <v>0</v>
      </c>
      <c r="H1582">
        <v>6</v>
      </c>
      <c r="I1582">
        <v>248912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8</v>
      </c>
      <c r="BC1582" s="1">
        <v>4248912</v>
      </c>
      <c r="BD1582" t="s">
        <v>94</v>
      </c>
      <c r="BE1582" t="s">
        <v>2911</v>
      </c>
      <c r="BF1582" t="s">
        <v>2912</v>
      </c>
      <c r="BH1582" t="s">
        <v>97</v>
      </c>
      <c r="BI1582" t="s">
        <v>265</v>
      </c>
      <c r="BJ1582" t="s">
        <v>79</v>
      </c>
      <c r="BM1582">
        <v>0</v>
      </c>
      <c r="BN1582">
        <v>2</v>
      </c>
      <c r="BO1582">
        <v>2</v>
      </c>
      <c r="BP1582" t="s">
        <v>80</v>
      </c>
      <c r="BR1582">
        <v>0</v>
      </c>
      <c r="BS1582">
        <v>6</v>
      </c>
      <c r="BU1582">
        <v>2373368</v>
      </c>
    </row>
    <row r="1583" spans="1:73" x14ac:dyDescent="0.3">
      <c r="A1583" t="s">
        <v>2933</v>
      </c>
      <c r="B1583">
        <v>1</v>
      </c>
      <c r="C1583">
        <v>308988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 s="1">
        <v>308988</v>
      </c>
      <c r="BD1583" t="s">
        <v>94</v>
      </c>
      <c r="BE1583" t="s">
        <v>2934</v>
      </c>
      <c r="BF1583" t="s">
        <v>2935</v>
      </c>
      <c r="BH1583" t="s">
        <v>97</v>
      </c>
      <c r="BI1583" t="s">
        <v>107</v>
      </c>
      <c r="BJ1583" t="s">
        <v>79</v>
      </c>
      <c r="BM1583">
        <v>0</v>
      </c>
      <c r="BN1583">
        <v>1</v>
      </c>
      <c r="BO1583">
        <v>1</v>
      </c>
      <c r="BP1583" t="s">
        <v>80</v>
      </c>
      <c r="BR1583">
        <v>0</v>
      </c>
      <c r="BS1583">
        <v>0</v>
      </c>
      <c r="BU1583">
        <v>308988</v>
      </c>
    </row>
    <row r="1584" spans="1:73" x14ac:dyDescent="0.3">
      <c r="A1584" t="s">
        <v>2936</v>
      </c>
      <c r="B1584">
        <v>0</v>
      </c>
      <c r="C1584">
        <v>0</v>
      </c>
      <c r="D1584">
        <v>8</v>
      </c>
      <c r="E1584">
        <v>3892168</v>
      </c>
      <c r="F1584">
        <v>0</v>
      </c>
      <c r="G1584">
        <v>0</v>
      </c>
      <c r="H1584">
        <v>12</v>
      </c>
      <c r="I1584">
        <v>311608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333334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18</v>
      </c>
      <c r="BC1584" s="1">
        <v>8451004</v>
      </c>
      <c r="BD1584" t="s">
        <v>94</v>
      </c>
      <c r="BE1584" t="s">
        <v>2937</v>
      </c>
      <c r="BF1584" t="s">
        <v>1943</v>
      </c>
      <c r="BH1584" t="s">
        <v>97</v>
      </c>
      <c r="BI1584" t="s">
        <v>119</v>
      </c>
      <c r="BJ1584" t="s">
        <v>79</v>
      </c>
      <c r="BM1584">
        <v>1</v>
      </c>
      <c r="BN1584">
        <v>2</v>
      </c>
      <c r="BO1584">
        <v>3</v>
      </c>
      <c r="BP1584" t="s">
        <v>80</v>
      </c>
      <c r="BR1584">
        <v>0</v>
      </c>
      <c r="BS1584">
        <v>6</v>
      </c>
      <c r="BU1584">
        <v>4537110</v>
      </c>
    </row>
    <row r="1585" spans="1:73" x14ac:dyDescent="0.3">
      <c r="A1585" t="s">
        <v>2953</v>
      </c>
      <c r="B1585">
        <v>1</v>
      </c>
      <c r="C1585">
        <v>176363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 s="1">
        <v>176363</v>
      </c>
      <c r="BD1585" t="s">
        <v>94</v>
      </c>
      <c r="BE1585" t="s">
        <v>2954</v>
      </c>
      <c r="BF1585" t="s">
        <v>2955</v>
      </c>
      <c r="BM1585">
        <v>0</v>
      </c>
      <c r="BN1585">
        <v>1</v>
      </c>
      <c r="BO1585">
        <v>1</v>
      </c>
      <c r="BP1585" t="s">
        <v>80</v>
      </c>
      <c r="BR1585">
        <v>0</v>
      </c>
      <c r="BS1585">
        <v>6</v>
      </c>
      <c r="BU1585">
        <v>176363</v>
      </c>
    </row>
    <row r="1586" spans="1:73" x14ac:dyDescent="0.3">
      <c r="A1586" t="s">
        <v>2976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78585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8000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2</v>
      </c>
      <c r="BC1586" s="1">
        <v>86585</v>
      </c>
      <c r="BD1586" t="s">
        <v>94</v>
      </c>
      <c r="BE1586" t="s">
        <v>2977</v>
      </c>
      <c r="BF1586" t="s">
        <v>2167</v>
      </c>
      <c r="BH1586" t="s">
        <v>97</v>
      </c>
      <c r="BI1586" t="s">
        <v>265</v>
      </c>
      <c r="BJ1586" t="s">
        <v>79</v>
      </c>
      <c r="BM1586">
        <v>2</v>
      </c>
      <c r="BN1586">
        <v>0</v>
      </c>
      <c r="BO1586">
        <v>2</v>
      </c>
      <c r="BP1586" t="s">
        <v>80</v>
      </c>
      <c r="BR1586">
        <v>0</v>
      </c>
      <c r="BS1586">
        <v>0</v>
      </c>
      <c r="BU1586">
        <v>86585</v>
      </c>
    </row>
    <row r="1587" spans="1:73" x14ac:dyDescent="0.3">
      <c r="A1587" t="s">
        <v>2978</v>
      </c>
      <c r="B1587">
        <v>0</v>
      </c>
      <c r="C1587">
        <v>0</v>
      </c>
      <c r="D1587">
        <v>2</v>
      </c>
      <c r="E1587">
        <v>614400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73535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7</v>
      </c>
      <c r="BC1587" s="1">
        <v>1804441</v>
      </c>
      <c r="BD1587" t="s">
        <v>94</v>
      </c>
      <c r="BE1587" t="s">
        <v>2979</v>
      </c>
      <c r="BF1587" t="s">
        <v>2980</v>
      </c>
      <c r="BH1587" t="s">
        <v>97</v>
      </c>
      <c r="BI1587" t="s">
        <v>265</v>
      </c>
      <c r="BJ1587" t="s">
        <v>79</v>
      </c>
      <c r="BM1587">
        <v>1</v>
      </c>
      <c r="BN1587">
        <v>1</v>
      </c>
      <c r="BO1587">
        <v>2</v>
      </c>
      <c r="BP1587" t="s">
        <v>80</v>
      </c>
      <c r="BR1587">
        <v>0</v>
      </c>
      <c r="BS1587">
        <v>6</v>
      </c>
      <c r="BU1587">
        <v>687935</v>
      </c>
    </row>
    <row r="1588" spans="1:73" x14ac:dyDescent="0.3">
      <c r="A1588" t="s">
        <v>2981</v>
      </c>
      <c r="B1588">
        <v>0</v>
      </c>
      <c r="C1588">
        <v>0</v>
      </c>
      <c r="D1588">
        <v>1</v>
      </c>
      <c r="E1588">
        <v>1371428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 s="1">
        <v>1371428</v>
      </c>
      <c r="BD1588" t="s">
        <v>94</v>
      </c>
      <c r="BE1588" t="s">
        <v>2982</v>
      </c>
      <c r="BF1588" t="s">
        <v>297</v>
      </c>
      <c r="BH1588" t="s">
        <v>97</v>
      </c>
      <c r="BI1588" t="s">
        <v>119</v>
      </c>
      <c r="BJ1588" t="s">
        <v>79</v>
      </c>
      <c r="BM1588">
        <v>0</v>
      </c>
      <c r="BN1588">
        <v>1</v>
      </c>
      <c r="BO1588">
        <v>1</v>
      </c>
      <c r="BP1588" t="s">
        <v>80</v>
      </c>
      <c r="BR1588">
        <v>0</v>
      </c>
      <c r="BS1588">
        <v>6</v>
      </c>
      <c r="BU1588">
        <v>1371428</v>
      </c>
    </row>
    <row r="1589" spans="1:73" x14ac:dyDescent="0.3">
      <c r="A1589" t="s">
        <v>2986</v>
      </c>
      <c r="B1589">
        <v>0</v>
      </c>
      <c r="C1589">
        <v>0</v>
      </c>
      <c r="D1589">
        <v>1</v>
      </c>
      <c r="E1589">
        <v>20000</v>
      </c>
      <c r="F1589">
        <v>0</v>
      </c>
      <c r="G1589">
        <v>0</v>
      </c>
      <c r="H1589">
        <v>2</v>
      </c>
      <c r="I1589">
        <v>40000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2</v>
      </c>
      <c r="BC1589" s="1">
        <v>40000</v>
      </c>
      <c r="BD1589" t="s">
        <v>94</v>
      </c>
      <c r="BE1589" t="s">
        <v>2987</v>
      </c>
      <c r="BF1589" t="s">
        <v>2988</v>
      </c>
      <c r="BH1589" t="s">
        <v>97</v>
      </c>
      <c r="BI1589" t="s">
        <v>242</v>
      </c>
      <c r="BJ1589" t="s">
        <v>79</v>
      </c>
      <c r="BM1589">
        <v>0</v>
      </c>
      <c r="BN1589">
        <v>2</v>
      </c>
      <c r="BO1589">
        <v>2</v>
      </c>
      <c r="BP1589" t="s">
        <v>80</v>
      </c>
      <c r="BR1589">
        <v>0</v>
      </c>
      <c r="BS1589">
        <v>6</v>
      </c>
      <c r="BU1589">
        <v>60000</v>
      </c>
    </row>
    <row r="1590" spans="1:73" x14ac:dyDescent="0.3">
      <c r="A1590" t="s">
        <v>2989</v>
      </c>
      <c r="B1590">
        <v>0</v>
      </c>
      <c r="C1590">
        <v>0</v>
      </c>
      <c r="D1590">
        <v>1</v>
      </c>
      <c r="E1590">
        <v>500000</v>
      </c>
      <c r="F1590">
        <v>0</v>
      </c>
      <c r="G1590">
        <v>0</v>
      </c>
      <c r="H1590">
        <v>1</v>
      </c>
      <c r="I1590">
        <v>37716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2</v>
      </c>
      <c r="BC1590" s="1">
        <v>537716</v>
      </c>
      <c r="BD1590" t="s">
        <v>94</v>
      </c>
      <c r="BE1590" t="s">
        <v>2990</v>
      </c>
      <c r="BF1590" t="s">
        <v>1349</v>
      </c>
      <c r="BH1590" t="s">
        <v>97</v>
      </c>
      <c r="BI1590" t="s">
        <v>98</v>
      </c>
      <c r="BJ1590" t="s">
        <v>79</v>
      </c>
      <c r="BM1590">
        <v>0</v>
      </c>
      <c r="BN1590">
        <v>2</v>
      </c>
      <c r="BO1590">
        <v>2</v>
      </c>
      <c r="BP1590" t="s">
        <v>514</v>
      </c>
      <c r="BR1590">
        <v>0</v>
      </c>
      <c r="BS1590">
        <v>6</v>
      </c>
      <c r="BU1590">
        <v>537716</v>
      </c>
    </row>
    <row r="1591" spans="1:73" x14ac:dyDescent="0.3">
      <c r="A1591" t="s">
        <v>2991</v>
      </c>
      <c r="B1591">
        <v>4</v>
      </c>
      <c r="C1591">
        <v>1251938</v>
      </c>
      <c r="D1591">
        <v>7</v>
      </c>
      <c r="E1591">
        <v>7280000</v>
      </c>
      <c r="F1591">
        <v>0</v>
      </c>
      <c r="G1591">
        <v>0</v>
      </c>
      <c r="H1591">
        <v>12</v>
      </c>
      <c r="I1591">
        <v>240000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24</v>
      </c>
      <c r="BC1591" s="1">
        <v>15931938</v>
      </c>
      <c r="BD1591" t="s">
        <v>94</v>
      </c>
      <c r="BE1591" t="s">
        <v>2992</v>
      </c>
      <c r="BF1591" t="s">
        <v>2993</v>
      </c>
      <c r="BH1591" t="s">
        <v>97</v>
      </c>
      <c r="BI1591" t="s">
        <v>103</v>
      </c>
      <c r="BJ1591" t="s">
        <v>79</v>
      </c>
      <c r="BM1591">
        <v>0</v>
      </c>
      <c r="BN1591">
        <v>3</v>
      </c>
      <c r="BO1591">
        <v>3</v>
      </c>
      <c r="BP1591" t="s">
        <v>80</v>
      </c>
      <c r="BR1591">
        <v>0</v>
      </c>
      <c r="BS1591">
        <v>5</v>
      </c>
      <c r="BU1591">
        <v>8771938</v>
      </c>
    </row>
    <row r="1592" spans="1:73" x14ac:dyDescent="0.3">
      <c r="A1592" t="s">
        <v>2994</v>
      </c>
      <c r="B1592">
        <v>2</v>
      </c>
      <c r="C1592">
        <v>155421</v>
      </c>
      <c r="D1592">
        <v>2</v>
      </c>
      <c r="E1592">
        <v>135364</v>
      </c>
      <c r="F1592">
        <v>0</v>
      </c>
      <c r="G1592">
        <v>0</v>
      </c>
      <c r="H1592">
        <v>4</v>
      </c>
      <c r="I1592">
        <v>94545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35999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9</v>
      </c>
      <c r="BC1592" s="1">
        <v>421329</v>
      </c>
      <c r="BD1592" t="s">
        <v>94</v>
      </c>
      <c r="BE1592" t="s">
        <v>2995</v>
      </c>
      <c r="BF1592" t="s">
        <v>2996</v>
      </c>
      <c r="BH1592" t="s">
        <v>97</v>
      </c>
      <c r="BI1592" t="s">
        <v>119</v>
      </c>
      <c r="BJ1592" t="s">
        <v>79</v>
      </c>
      <c r="BM1592">
        <v>0</v>
      </c>
      <c r="BN1592">
        <v>4</v>
      </c>
      <c r="BO1592">
        <v>4</v>
      </c>
      <c r="BP1592" t="s">
        <v>80</v>
      </c>
      <c r="BR1592">
        <v>0</v>
      </c>
      <c r="BS1592">
        <v>6</v>
      </c>
      <c r="BU1592">
        <v>421329</v>
      </c>
    </row>
    <row r="1593" spans="1:73" x14ac:dyDescent="0.3">
      <c r="A1593" t="s">
        <v>3000</v>
      </c>
      <c r="B1593">
        <v>2</v>
      </c>
      <c r="C1593">
        <v>705303</v>
      </c>
      <c r="D1593">
        <v>5</v>
      </c>
      <c r="E1593">
        <v>2081759</v>
      </c>
      <c r="F1593">
        <v>0</v>
      </c>
      <c r="G1593">
        <v>0</v>
      </c>
      <c r="H1593">
        <v>8</v>
      </c>
      <c r="I1593">
        <v>163518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12</v>
      </c>
      <c r="BC1593" s="1">
        <v>4868821</v>
      </c>
      <c r="BD1593" t="s">
        <v>94</v>
      </c>
      <c r="BE1593" t="s">
        <v>3001</v>
      </c>
      <c r="BF1593" t="s">
        <v>3002</v>
      </c>
      <c r="BH1593" t="s">
        <v>123</v>
      </c>
      <c r="BI1593" t="s">
        <v>288</v>
      </c>
      <c r="BJ1593" t="s">
        <v>125</v>
      </c>
      <c r="BM1593">
        <v>0</v>
      </c>
      <c r="BN1593">
        <v>3</v>
      </c>
      <c r="BO1593">
        <v>3</v>
      </c>
      <c r="BP1593" t="s">
        <v>80</v>
      </c>
      <c r="BR1593">
        <v>0</v>
      </c>
      <c r="BS1593">
        <v>6</v>
      </c>
      <c r="BU1593">
        <v>2950580</v>
      </c>
    </row>
    <row r="1594" spans="1:73" x14ac:dyDescent="0.3">
      <c r="A1594" t="s">
        <v>3003</v>
      </c>
      <c r="B1594">
        <v>0</v>
      </c>
      <c r="C1594">
        <v>0</v>
      </c>
      <c r="D1594">
        <v>8</v>
      </c>
      <c r="E1594">
        <v>2642158</v>
      </c>
      <c r="F1594">
        <v>0</v>
      </c>
      <c r="G1594">
        <v>0</v>
      </c>
      <c r="H1594">
        <v>10</v>
      </c>
      <c r="I1594">
        <v>375816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18</v>
      </c>
      <c r="BC1594" s="1">
        <v>5324316</v>
      </c>
      <c r="BD1594" t="s">
        <v>94</v>
      </c>
      <c r="BE1594" t="s">
        <v>3004</v>
      </c>
      <c r="BF1594" t="s">
        <v>1926</v>
      </c>
      <c r="BH1594" t="s">
        <v>97</v>
      </c>
      <c r="BI1594" t="s">
        <v>98</v>
      </c>
      <c r="BJ1594" t="s">
        <v>79</v>
      </c>
      <c r="BM1594">
        <v>0</v>
      </c>
      <c r="BN1594">
        <v>2</v>
      </c>
      <c r="BO1594">
        <v>2</v>
      </c>
      <c r="BP1594" t="s">
        <v>80</v>
      </c>
      <c r="BR1594">
        <v>0</v>
      </c>
      <c r="BS1594">
        <v>6</v>
      </c>
      <c r="BU1594">
        <v>3017974</v>
      </c>
    </row>
    <row r="1595" spans="1:73" x14ac:dyDescent="0.3">
      <c r="A1595" t="s">
        <v>3008</v>
      </c>
      <c r="B1595">
        <v>0</v>
      </c>
      <c r="C1595">
        <v>0</v>
      </c>
      <c r="D1595">
        <v>6</v>
      </c>
      <c r="E1595">
        <v>4217276</v>
      </c>
      <c r="F1595">
        <v>0</v>
      </c>
      <c r="G1595">
        <v>0</v>
      </c>
      <c r="H1595">
        <v>10</v>
      </c>
      <c r="I1595">
        <v>2834552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12</v>
      </c>
      <c r="BC1595" s="1">
        <v>8434552</v>
      </c>
      <c r="BD1595" t="s">
        <v>94</v>
      </c>
      <c r="BE1595" t="s">
        <v>3009</v>
      </c>
      <c r="BF1595" t="s">
        <v>3010</v>
      </c>
      <c r="BH1595" t="s">
        <v>97</v>
      </c>
      <c r="BI1595" t="s">
        <v>265</v>
      </c>
      <c r="BJ1595" t="s">
        <v>79</v>
      </c>
      <c r="BM1595">
        <v>0</v>
      </c>
      <c r="BN1595">
        <v>2</v>
      </c>
      <c r="BO1595">
        <v>2</v>
      </c>
      <c r="BP1595" t="s">
        <v>80</v>
      </c>
      <c r="BR1595">
        <v>0</v>
      </c>
      <c r="BS1595">
        <v>6</v>
      </c>
      <c r="BU1595">
        <v>7051828</v>
      </c>
    </row>
    <row r="1596" spans="1:73" x14ac:dyDescent="0.3">
      <c r="A1596" t="s">
        <v>3019</v>
      </c>
      <c r="B1596">
        <v>1</v>
      </c>
      <c r="C1596">
        <v>304730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</v>
      </c>
      <c r="BC1596" s="1">
        <v>304730</v>
      </c>
      <c r="BD1596" t="s">
        <v>94</v>
      </c>
      <c r="BE1596" t="s">
        <v>3020</v>
      </c>
      <c r="BF1596" t="s">
        <v>3021</v>
      </c>
      <c r="BH1596" t="s">
        <v>97</v>
      </c>
      <c r="BI1596" t="s">
        <v>680</v>
      </c>
      <c r="BJ1596" t="s">
        <v>79</v>
      </c>
      <c r="BM1596">
        <v>0</v>
      </c>
      <c r="BN1596">
        <v>1</v>
      </c>
      <c r="BO1596">
        <v>1</v>
      </c>
      <c r="BP1596" t="s">
        <v>80</v>
      </c>
      <c r="BR1596">
        <v>0</v>
      </c>
      <c r="BS1596">
        <v>6</v>
      </c>
      <c r="BU1596">
        <v>304730</v>
      </c>
    </row>
    <row r="1597" spans="1:73" x14ac:dyDescent="0.3">
      <c r="A1597" t="s">
        <v>3025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2</v>
      </c>
      <c r="I1597">
        <v>53030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2</v>
      </c>
      <c r="BC1597" s="1">
        <v>53030</v>
      </c>
      <c r="BD1597" t="s">
        <v>94</v>
      </c>
      <c r="BE1597" t="s">
        <v>3026</v>
      </c>
      <c r="BF1597" t="s">
        <v>3027</v>
      </c>
      <c r="BH1597" t="s">
        <v>97</v>
      </c>
      <c r="BI1597" t="s">
        <v>119</v>
      </c>
      <c r="BJ1597" t="s">
        <v>79</v>
      </c>
      <c r="BM1597">
        <v>0</v>
      </c>
      <c r="BN1597">
        <v>1</v>
      </c>
      <c r="BO1597">
        <v>1</v>
      </c>
      <c r="BP1597" t="s">
        <v>80</v>
      </c>
      <c r="BR1597">
        <v>0</v>
      </c>
      <c r="BS1597">
        <v>6</v>
      </c>
      <c r="BU1597">
        <v>53030</v>
      </c>
    </row>
    <row r="1598" spans="1:73" x14ac:dyDescent="0.3">
      <c r="A1598" t="s">
        <v>3048</v>
      </c>
      <c r="B1598">
        <v>1</v>
      </c>
      <c r="C1598">
        <v>185540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 s="1">
        <v>185540</v>
      </c>
      <c r="BD1598" t="s">
        <v>94</v>
      </c>
      <c r="BE1598" t="s">
        <v>3049</v>
      </c>
      <c r="BF1598" t="s">
        <v>3050</v>
      </c>
      <c r="BH1598" t="s">
        <v>97</v>
      </c>
      <c r="BI1598" t="s">
        <v>2462</v>
      </c>
      <c r="BJ1598" t="s">
        <v>79</v>
      </c>
      <c r="BM1598">
        <v>0</v>
      </c>
      <c r="BN1598">
        <v>1</v>
      </c>
      <c r="BO1598">
        <v>1</v>
      </c>
      <c r="BP1598" t="s">
        <v>80</v>
      </c>
      <c r="BR1598">
        <v>0</v>
      </c>
      <c r="BS1598">
        <v>6</v>
      </c>
      <c r="BU1598">
        <v>185540</v>
      </c>
    </row>
    <row r="1599" spans="1:73" x14ac:dyDescent="0.3">
      <c r="A1599" t="s">
        <v>3054</v>
      </c>
      <c r="B1599">
        <v>0</v>
      </c>
      <c r="C1599">
        <v>0</v>
      </c>
      <c r="D1599">
        <v>3</v>
      </c>
      <c r="E1599">
        <v>1313739</v>
      </c>
      <c r="F1599">
        <v>0</v>
      </c>
      <c r="G1599">
        <v>0</v>
      </c>
      <c r="H1599">
        <v>5</v>
      </c>
      <c r="I1599">
        <v>247478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7</v>
      </c>
      <c r="BC1599" s="1">
        <v>3161760</v>
      </c>
      <c r="BD1599" t="s">
        <v>94</v>
      </c>
      <c r="BE1599" t="s">
        <v>3055</v>
      </c>
      <c r="BF1599" t="s">
        <v>1943</v>
      </c>
      <c r="BH1599" t="s">
        <v>97</v>
      </c>
      <c r="BI1599" t="s">
        <v>107</v>
      </c>
      <c r="BJ1599" t="s">
        <v>79</v>
      </c>
      <c r="BM1599">
        <v>0</v>
      </c>
      <c r="BN1599">
        <v>2</v>
      </c>
      <c r="BO1599">
        <v>2</v>
      </c>
      <c r="BP1599" t="s">
        <v>80</v>
      </c>
      <c r="BR1599">
        <v>0</v>
      </c>
      <c r="BS1599">
        <v>6</v>
      </c>
      <c r="BU1599">
        <v>1561217</v>
      </c>
    </row>
    <row r="1600" spans="1:73" x14ac:dyDescent="0.3">
      <c r="A1600" t="s">
        <v>3058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20000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 s="1">
        <v>20000</v>
      </c>
      <c r="BD1600" t="s">
        <v>94</v>
      </c>
      <c r="BE1600" t="s">
        <v>3059</v>
      </c>
      <c r="BF1600" t="s">
        <v>3060</v>
      </c>
      <c r="BH1600" t="s">
        <v>97</v>
      </c>
      <c r="BI1600" t="s">
        <v>107</v>
      </c>
      <c r="BJ1600" t="s">
        <v>79</v>
      </c>
      <c r="BM1600">
        <v>1</v>
      </c>
      <c r="BN1600">
        <v>0</v>
      </c>
      <c r="BO1600">
        <v>1</v>
      </c>
      <c r="BP1600" t="s">
        <v>80</v>
      </c>
      <c r="BR1600">
        <v>0</v>
      </c>
      <c r="BS1600">
        <v>0</v>
      </c>
      <c r="BU1600">
        <v>20000</v>
      </c>
    </row>
    <row r="1601" spans="1:73" x14ac:dyDescent="0.3">
      <c r="A1601" t="s">
        <v>3076</v>
      </c>
      <c r="B1601">
        <v>0</v>
      </c>
      <c r="C1601">
        <v>0</v>
      </c>
      <c r="D1601">
        <v>1</v>
      </c>
      <c r="E1601">
        <v>230400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2</v>
      </c>
      <c r="BC1601" s="1">
        <v>460800</v>
      </c>
      <c r="BD1601" t="s">
        <v>94</v>
      </c>
      <c r="BE1601" t="s">
        <v>3077</v>
      </c>
      <c r="BF1601" t="s">
        <v>3078</v>
      </c>
      <c r="BH1601" t="s">
        <v>97</v>
      </c>
      <c r="BI1601" t="s">
        <v>119</v>
      </c>
      <c r="BJ1601" t="s">
        <v>79</v>
      </c>
      <c r="BM1601">
        <v>0</v>
      </c>
      <c r="BN1601">
        <v>1</v>
      </c>
      <c r="BO1601">
        <v>1</v>
      </c>
      <c r="BP1601" t="s">
        <v>80</v>
      </c>
      <c r="BR1601">
        <v>0</v>
      </c>
      <c r="BS1601">
        <v>6</v>
      </c>
      <c r="BU1601">
        <v>230400</v>
      </c>
    </row>
    <row r="1602" spans="1:73" x14ac:dyDescent="0.3">
      <c r="A1602" t="s">
        <v>3079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73535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2</v>
      </c>
      <c r="BC1602" s="1">
        <v>147070</v>
      </c>
      <c r="BD1602" t="s">
        <v>94</v>
      </c>
      <c r="BE1602" t="s">
        <v>3080</v>
      </c>
      <c r="BF1602" t="s">
        <v>3081</v>
      </c>
      <c r="BH1602" t="s">
        <v>97</v>
      </c>
      <c r="BI1602" t="s">
        <v>119</v>
      </c>
      <c r="BJ1602" t="s">
        <v>79</v>
      </c>
      <c r="BM1602">
        <v>1</v>
      </c>
      <c r="BN1602">
        <v>0</v>
      </c>
      <c r="BO1602">
        <v>1</v>
      </c>
      <c r="BP1602" t="s">
        <v>80</v>
      </c>
      <c r="BR1602">
        <v>0</v>
      </c>
      <c r="BS1602">
        <v>6</v>
      </c>
      <c r="BU1602">
        <v>73535</v>
      </c>
    </row>
    <row r="1603" spans="1:73" x14ac:dyDescent="0.3">
      <c r="A1603" t="s">
        <v>3086</v>
      </c>
      <c r="B1603">
        <v>1</v>
      </c>
      <c r="C1603">
        <v>167044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 s="1">
        <v>167044</v>
      </c>
      <c r="BD1603" t="s">
        <v>94</v>
      </c>
      <c r="BE1603" t="s">
        <v>3087</v>
      </c>
      <c r="BF1603" t="s">
        <v>3088</v>
      </c>
      <c r="BH1603" t="s">
        <v>97</v>
      </c>
      <c r="BI1603" t="s">
        <v>680</v>
      </c>
      <c r="BJ1603" t="s">
        <v>79</v>
      </c>
      <c r="BM1603">
        <v>0</v>
      </c>
      <c r="BN1603">
        <v>1</v>
      </c>
      <c r="BO1603">
        <v>1</v>
      </c>
      <c r="BP1603" t="s">
        <v>80</v>
      </c>
      <c r="BR1603">
        <v>0</v>
      </c>
      <c r="BS1603">
        <v>6</v>
      </c>
      <c r="BU1603">
        <v>167044</v>
      </c>
    </row>
    <row r="1604" spans="1:73" x14ac:dyDescent="0.3">
      <c r="A1604" t="s">
        <v>3089</v>
      </c>
      <c r="B1604">
        <v>0</v>
      </c>
      <c r="C1604">
        <v>0</v>
      </c>
      <c r="D1604">
        <v>18</v>
      </c>
      <c r="E1604">
        <v>15382353</v>
      </c>
      <c r="F1604">
        <v>0</v>
      </c>
      <c r="G1604">
        <v>0</v>
      </c>
      <c r="H1604">
        <v>28</v>
      </c>
      <c r="I1604">
        <v>1004706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78585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38</v>
      </c>
      <c r="BC1604" s="1">
        <v>30921876</v>
      </c>
      <c r="BD1604" t="s">
        <v>94</v>
      </c>
      <c r="BE1604" t="s">
        <v>3090</v>
      </c>
      <c r="BF1604" t="s">
        <v>1943</v>
      </c>
      <c r="BH1604" t="s">
        <v>97</v>
      </c>
      <c r="BI1604" t="s">
        <v>119</v>
      </c>
      <c r="BJ1604" t="s">
        <v>79</v>
      </c>
      <c r="BM1604">
        <v>1</v>
      </c>
      <c r="BN1604">
        <v>2</v>
      </c>
      <c r="BO1604">
        <v>3</v>
      </c>
      <c r="BP1604" t="s">
        <v>80</v>
      </c>
      <c r="BR1604">
        <v>0</v>
      </c>
      <c r="BS1604">
        <v>4</v>
      </c>
      <c r="BU1604">
        <v>16465644</v>
      </c>
    </row>
    <row r="1605" spans="1:73" x14ac:dyDescent="0.3">
      <c r="A1605" t="s">
        <v>3091</v>
      </c>
      <c r="B1605">
        <v>0</v>
      </c>
      <c r="C1605">
        <v>0</v>
      </c>
      <c r="D1605">
        <v>2</v>
      </c>
      <c r="E1605">
        <v>220000</v>
      </c>
      <c r="F1605">
        <v>0</v>
      </c>
      <c r="G1605">
        <v>0</v>
      </c>
      <c r="H1605">
        <v>2</v>
      </c>
      <c r="I1605">
        <v>40000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4</v>
      </c>
      <c r="BC1605" s="1">
        <v>440000</v>
      </c>
      <c r="BD1605" t="s">
        <v>94</v>
      </c>
      <c r="BE1605" t="s">
        <v>3092</v>
      </c>
      <c r="BF1605" t="s">
        <v>3093</v>
      </c>
      <c r="BH1605" t="s">
        <v>97</v>
      </c>
      <c r="BI1605" t="s">
        <v>119</v>
      </c>
      <c r="BJ1605" t="s">
        <v>79</v>
      </c>
      <c r="BM1605">
        <v>0</v>
      </c>
      <c r="BN1605">
        <v>2</v>
      </c>
      <c r="BO1605">
        <v>2</v>
      </c>
      <c r="BP1605" t="s">
        <v>80</v>
      </c>
      <c r="BR1605">
        <v>0</v>
      </c>
      <c r="BS1605">
        <v>6</v>
      </c>
      <c r="BU1605">
        <v>260000</v>
      </c>
    </row>
    <row r="1606" spans="1:73" x14ac:dyDescent="0.3">
      <c r="A1606" t="s">
        <v>3094</v>
      </c>
      <c r="B1606">
        <v>1</v>
      </c>
      <c r="C1606">
        <v>217467</v>
      </c>
      <c r="D1606">
        <v>5</v>
      </c>
      <c r="E1606">
        <v>1695897</v>
      </c>
      <c r="F1606">
        <v>0</v>
      </c>
      <c r="G1606">
        <v>0</v>
      </c>
      <c r="H1606">
        <v>6</v>
      </c>
      <c r="I1606">
        <v>130994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11</v>
      </c>
      <c r="BC1606" s="1">
        <v>3609261</v>
      </c>
      <c r="BD1606" t="s">
        <v>94</v>
      </c>
      <c r="BE1606" t="s">
        <v>3095</v>
      </c>
      <c r="BF1606" t="s">
        <v>3096</v>
      </c>
      <c r="BH1606" t="s">
        <v>123</v>
      </c>
      <c r="BI1606" t="s">
        <v>124</v>
      </c>
      <c r="BJ1606" t="s">
        <v>125</v>
      </c>
      <c r="BM1606">
        <v>0</v>
      </c>
      <c r="BN1606">
        <v>3</v>
      </c>
      <c r="BO1606">
        <v>3</v>
      </c>
      <c r="BP1606" t="s">
        <v>80</v>
      </c>
      <c r="BR1606">
        <v>0</v>
      </c>
      <c r="BS1606">
        <v>6</v>
      </c>
      <c r="BU1606">
        <v>2044358</v>
      </c>
    </row>
    <row r="1607" spans="1:73" x14ac:dyDescent="0.3">
      <c r="A1607" t="s">
        <v>3097</v>
      </c>
      <c r="B1607">
        <v>3</v>
      </c>
      <c r="C1607">
        <v>1003470</v>
      </c>
      <c r="D1607">
        <v>15</v>
      </c>
      <c r="E1607">
        <v>2016630</v>
      </c>
      <c r="F1607">
        <v>0</v>
      </c>
      <c r="G1607">
        <v>0</v>
      </c>
      <c r="H1607">
        <v>28</v>
      </c>
      <c r="I1607">
        <v>753260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33</v>
      </c>
      <c r="BC1607" s="1">
        <v>5036730</v>
      </c>
      <c r="BD1607" t="s">
        <v>94</v>
      </c>
      <c r="BE1607" t="s">
        <v>3098</v>
      </c>
      <c r="BF1607" t="s">
        <v>3099</v>
      </c>
      <c r="BH1607" t="s">
        <v>97</v>
      </c>
      <c r="BI1607" t="s">
        <v>265</v>
      </c>
      <c r="BJ1607" t="s">
        <v>79</v>
      </c>
      <c r="BM1607">
        <v>0</v>
      </c>
      <c r="BN1607">
        <v>3</v>
      </c>
      <c r="BO1607">
        <v>3</v>
      </c>
      <c r="BP1607" t="s">
        <v>80</v>
      </c>
      <c r="BR1607">
        <v>0</v>
      </c>
      <c r="BS1607">
        <v>6</v>
      </c>
      <c r="BU1607">
        <v>3773360</v>
      </c>
    </row>
    <row r="1608" spans="1:73" x14ac:dyDescent="0.3">
      <c r="A1608" t="s">
        <v>3100</v>
      </c>
      <c r="B1608">
        <v>1</v>
      </c>
      <c r="C1608">
        <v>545744</v>
      </c>
      <c r="D1608">
        <v>1</v>
      </c>
      <c r="E1608">
        <v>645455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</v>
      </c>
      <c r="BC1608" s="1">
        <v>1191199</v>
      </c>
      <c r="BD1608" t="s">
        <v>94</v>
      </c>
      <c r="BE1608" t="s">
        <v>3101</v>
      </c>
      <c r="BF1608" t="s">
        <v>649</v>
      </c>
      <c r="BH1608" t="s">
        <v>97</v>
      </c>
      <c r="BI1608" t="s">
        <v>208</v>
      </c>
      <c r="BJ1608" t="s">
        <v>79</v>
      </c>
      <c r="BM1608">
        <v>0</v>
      </c>
      <c r="BN1608">
        <v>2</v>
      </c>
      <c r="BO1608">
        <v>2</v>
      </c>
      <c r="BP1608" t="s">
        <v>80</v>
      </c>
      <c r="BR1608">
        <v>0</v>
      </c>
      <c r="BS1608">
        <v>6</v>
      </c>
      <c r="BU1608">
        <v>1191199</v>
      </c>
    </row>
    <row r="1609" spans="1:73" x14ac:dyDescent="0.3">
      <c r="A1609" t="s">
        <v>3102</v>
      </c>
      <c r="B1609">
        <v>2</v>
      </c>
      <c r="C1609">
        <v>487120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2</v>
      </c>
      <c r="BC1609" s="1">
        <v>487120</v>
      </c>
      <c r="BD1609" t="s">
        <v>94</v>
      </c>
      <c r="BE1609" t="s">
        <v>3103</v>
      </c>
      <c r="BF1609" t="s">
        <v>3104</v>
      </c>
      <c r="BH1609" t="s">
        <v>97</v>
      </c>
      <c r="BI1609" t="s">
        <v>680</v>
      </c>
      <c r="BJ1609" t="s">
        <v>79</v>
      </c>
      <c r="BM1609">
        <v>0</v>
      </c>
      <c r="BN1609">
        <v>1</v>
      </c>
      <c r="BO1609">
        <v>1</v>
      </c>
      <c r="BP1609" t="s">
        <v>80</v>
      </c>
      <c r="BR1609">
        <v>0</v>
      </c>
      <c r="BS1609">
        <v>6</v>
      </c>
      <c r="BU1609">
        <v>487120</v>
      </c>
    </row>
    <row r="1610" spans="1:73" x14ac:dyDescent="0.3">
      <c r="A1610" t="s">
        <v>3122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73535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2</v>
      </c>
      <c r="BC1610" s="1">
        <v>147070</v>
      </c>
      <c r="BD1610" t="s">
        <v>94</v>
      </c>
      <c r="BE1610" t="s">
        <v>3123</v>
      </c>
      <c r="BF1610" t="s">
        <v>3124</v>
      </c>
      <c r="BH1610" t="s">
        <v>97</v>
      </c>
      <c r="BI1610" t="s">
        <v>160</v>
      </c>
      <c r="BJ1610" t="s">
        <v>79</v>
      </c>
      <c r="BM1610">
        <v>1</v>
      </c>
      <c r="BN1610">
        <v>0</v>
      </c>
      <c r="BO1610">
        <v>1</v>
      </c>
      <c r="BP1610" t="s">
        <v>80</v>
      </c>
      <c r="BR1610">
        <v>0</v>
      </c>
      <c r="BS1610">
        <v>0</v>
      </c>
      <c r="BU1610">
        <v>73535</v>
      </c>
    </row>
    <row r="1611" spans="1:73" x14ac:dyDescent="0.3">
      <c r="A1611" t="s">
        <v>3125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73535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2</v>
      </c>
      <c r="BC1611" s="1">
        <v>147070</v>
      </c>
      <c r="BD1611" t="s">
        <v>94</v>
      </c>
      <c r="BE1611" t="s">
        <v>3126</v>
      </c>
      <c r="BF1611" t="s">
        <v>3127</v>
      </c>
      <c r="BH1611" t="s">
        <v>97</v>
      </c>
      <c r="BI1611" t="s">
        <v>119</v>
      </c>
      <c r="BJ1611" t="s">
        <v>79</v>
      </c>
      <c r="BM1611">
        <v>1</v>
      </c>
      <c r="BN1611">
        <v>0</v>
      </c>
      <c r="BO1611">
        <v>1</v>
      </c>
      <c r="BP1611" t="s">
        <v>80</v>
      </c>
      <c r="BR1611">
        <v>0</v>
      </c>
      <c r="BS1611">
        <v>6</v>
      </c>
      <c r="BU1611">
        <v>73535</v>
      </c>
    </row>
    <row r="1612" spans="1:73" x14ac:dyDescent="0.3">
      <c r="A1612" t="s">
        <v>3128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147070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3</v>
      </c>
      <c r="BC1612" s="1">
        <v>220605</v>
      </c>
      <c r="BD1612" t="s">
        <v>94</v>
      </c>
      <c r="BE1612" t="s">
        <v>3129</v>
      </c>
      <c r="BF1612" t="s">
        <v>3130</v>
      </c>
      <c r="BH1612" t="s">
        <v>97</v>
      </c>
      <c r="BI1612" t="s">
        <v>119</v>
      </c>
      <c r="BJ1612" t="s">
        <v>79</v>
      </c>
      <c r="BM1612">
        <v>1</v>
      </c>
      <c r="BN1612">
        <v>0</v>
      </c>
      <c r="BO1612">
        <v>1</v>
      </c>
      <c r="BP1612" t="s">
        <v>80</v>
      </c>
      <c r="BR1612">
        <v>0</v>
      </c>
      <c r="BS1612">
        <v>0</v>
      </c>
      <c r="BU1612">
        <v>147070</v>
      </c>
    </row>
    <row r="1613" spans="1:73" x14ac:dyDescent="0.3">
      <c r="A1613" t="s">
        <v>3140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31165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1</v>
      </c>
      <c r="BC1613" s="1">
        <v>31165</v>
      </c>
      <c r="BD1613" t="s">
        <v>94</v>
      </c>
      <c r="BE1613" t="s">
        <v>3141</v>
      </c>
      <c r="BF1613" t="s">
        <v>3142</v>
      </c>
      <c r="BH1613" t="s">
        <v>97</v>
      </c>
      <c r="BI1613" t="s">
        <v>119</v>
      </c>
      <c r="BJ1613" t="s">
        <v>79</v>
      </c>
      <c r="BM1613">
        <v>0</v>
      </c>
      <c r="BN1613">
        <v>1</v>
      </c>
      <c r="BO1613">
        <v>1</v>
      </c>
      <c r="BP1613" t="s">
        <v>80</v>
      </c>
      <c r="BR1613">
        <v>0</v>
      </c>
      <c r="BS1613">
        <v>6</v>
      </c>
      <c r="BU1613">
        <v>31165</v>
      </c>
    </row>
    <row r="1614" spans="1:73" x14ac:dyDescent="0.3">
      <c r="A1614" t="s">
        <v>3154</v>
      </c>
      <c r="B1614">
        <v>2</v>
      </c>
      <c r="C1614">
        <v>658658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2</v>
      </c>
      <c r="BC1614" s="1">
        <v>658658</v>
      </c>
      <c r="BD1614" t="s">
        <v>94</v>
      </c>
      <c r="BE1614" t="s">
        <v>3155</v>
      </c>
      <c r="BF1614" t="s">
        <v>3156</v>
      </c>
      <c r="BH1614" t="s">
        <v>97</v>
      </c>
      <c r="BI1614" t="s">
        <v>680</v>
      </c>
      <c r="BJ1614" t="s">
        <v>79</v>
      </c>
      <c r="BM1614">
        <v>0</v>
      </c>
      <c r="BN1614">
        <v>1</v>
      </c>
      <c r="BO1614">
        <v>1</v>
      </c>
      <c r="BP1614" t="s">
        <v>80</v>
      </c>
      <c r="BR1614">
        <v>0</v>
      </c>
      <c r="BS1614">
        <v>6</v>
      </c>
      <c r="BU1614">
        <v>658658</v>
      </c>
    </row>
    <row r="1615" spans="1:73" x14ac:dyDescent="0.3">
      <c r="A1615" t="s">
        <v>3163</v>
      </c>
      <c r="B1615">
        <v>0</v>
      </c>
      <c r="C1615">
        <v>0</v>
      </c>
      <c r="D1615">
        <v>4</v>
      </c>
      <c r="E1615">
        <v>705455</v>
      </c>
      <c r="F1615">
        <v>0</v>
      </c>
      <c r="G1615">
        <v>0</v>
      </c>
      <c r="H1615">
        <v>6</v>
      </c>
      <c r="I1615">
        <v>120000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8</v>
      </c>
      <c r="BC1615" s="1">
        <v>1410910</v>
      </c>
      <c r="BD1615" t="s">
        <v>94</v>
      </c>
      <c r="BE1615" t="s">
        <v>3164</v>
      </c>
      <c r="BF1615" t="s">
        <v>3165</v>
      </c>
      <c r="BH1615" t="s">
        <v>97</v>
      </c>
      <c r="BI1615" t="s">
        <v>119</v>
      </c>
      <c r="BJ1615" t="s">
        <v>79</v>
      </c>
      <c r="BM1615">
        <v>0</v>
      </c>
      <c r="BN1615">
        <v>2</v>
      </c>
      <c r="BO1615">
        <v>2</v>
      </c>
      <c r="BP1615" t="s">
        <v>80</v>
      </c>
      <c r="BR1615">
        <v>0</v>
      </c>
      <c r="BS1615">
        <v>6</v>
      </c>
      <c r="BU1615">
        <v>825455</v>
      </c>
    </row>
    <row r="1616" spans="1:73" x14ac:dyDescent="0.3">
      <c r="A1616" t="s">
        <v>3172</v>
      </c>
      <c r="B1616">
        <v>0</v>
      </c>
      <c r="C1616">
        <v>0</v>
      </c>
      <c r="D1616">
        <v>27</v>
      </c>
      <c r="E1616">
        <v>8000000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43</v>
      </c>
      <c r="BC1616" s="1">
        <v>13177786</v>
      </c>
      <c r="BD1616" t="s">
        <v>94</v>
      </c>
      <c r="BE1616" t="s">
        <v>3173</v>
      </c>
      <c r="BF1616" t="s">
        <v>3174</v>
      </c>
      <c r="BH1616" t="s">
        <v>97</v>
      </c>
      <c r="BI1616" t="s">
        <v>119</v>
      </c>
      <c r="BJ1616" t="s">
        <v>79</v>
      </c>
      <c r="BM1616">
        <v>0</v>
      </c>
      <c r="BN1616">
        <v>1</v>
      </c>
      <c r="BO1616">
        <v>1</v>
      </c>
      <c r="BP1616" t="s">
        <v>80</v>
      </c>
      <c r="BR1616">
        <v>0</v>
      </c>
      <c r="BS1616">
        <v>5</v>
      </c>
      <c r="BU1616">
        <v>8000000</v>
      </c>
    </row>
    <row r="1617" spans="1:73" x14ac:dyDescent="0.3">
      <c r="A1617" t="s">
        <v>3175</v>
      </c>
      <c r="B1617">
        <v>3</v>
      </c>
      <c r="C1617">
        <v>725822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3</v>
      </c>
      <c r="BC1617" s="1">
        <v>725822</v>
      </c>
      <c r="BD1617" t="s">
        <v>94</v>
      </c>
      <c r="BE1617" t="s">
        <v>3176</v>
      </c>
      <c r="BF1617" t="s">
        <v>3177</v>
      </c>
      <c r="BM1617">
        <v>0</v>
      </c>
      <c r="BN1617">
        <v>1</v>
      </c>
      <c r="BO1617">
        <v>1</v>
      </c>
      <c r="BP1617" t="s">
        <v>80</v>
      </c>
      <c r="BR1617">
        <v>0</v>
      </c>
      <c r="BS1617">
        <v>6</v>
      </c>
      <c r="BU1617">
        <v>725822</v>
      </c>
    </row>
    <row r="1618" spans="1:73" x14ac:dyDescent="0.3">
      <c r="A1618" t="s">
        <v>3178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2</v>
      </c>
      <c r="I1618">
        <v>40000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2</v>
      </c>
      <c r="BC1618" s="1">
        <v>40000</v>
      </c>
      <c r="BD1618" t="s">
        <v>94</v>
      </c>
      <c r="BE1618" t="s">
        <v>3179</v>
      </c>
      <c r="BF1618" t="s">
        <v>3180</v>
      </c>
      <c r="BH1618" t="s">
        <v>97</v>
      </c>
      <c r="BI1618" t="s">
        <v>119</v>
      </c>
      <c r="BJ1618" t="s">
        <v>79</v>
      </c>
      <c r="BM1618">
        <v>0</v>
      </c>
      <c r="BN1618">
        <v>1</v>
      </c>
      <c r="BO1618">
        <v>1</v>
      </c>
      <c r="BP1618" t="s">
        <v>80</v>
      </c>
      <c r="BR1618">
        <v>0</v>
      </c>
      <c r="BS1618">
        <v>6</v>
      </c>
      <c r="BU1618">
        <v>40000</v>
      </c>
    </row>
    <row r="1619" spans="1:73" x14ac:dyDescent="0.3">
      <c r="A1619" t="s">
        <v>3181</v>
      </c>
      <c r="B1619">
        <v>16</v>
      </c>
      <c r="C1619">
        <v>4204670</v>
      </c>
      <c r="D1619">
        <v>2</v>
      </c>
      <c r="E1619">
        <v>1800000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9</v>
      </c>
      <c r="Z1619">
        <v>592017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38</v>
      </c>
      <c r="BC1619" s="1">
        <v>7440922</v>
      </c>
      <c r="BD1619" t="s">
        <v>94</v>
      </c>
      <c r="BE1619" t="s">
        <v>3182</v>
      </c>
      <c r="BF1619" t="s">
        <v>1492</v>
      </c>
      <c r="BH1619" t="s">
        <v>97</v>
      </c>
      <c r="BI1619" t="s">
        <v>103</v>
      </c>
      <c r="BJ1619" t="s">
        <v>79</v>
      </c>
      <c r="BM1619">
        <v>1</v>
      </c>
      <c r="BN1619">
        <v>2</v>
      </c>
      <c r="BO1619">
        <v>3</v>
      </c>
      <c r="BP1619" t="s">
        <v>80</v>
      </c>
      <c r="BR1619">
        <v>0</v>
      </c>
      <c r="BS1619">
        <v>6</v>
      </c>
      <c r="BU1619">
        <v>6596687</v>
      </c>
    </row>
    <row r="1620" spans="1:73" x14ac:dyDescent="0.3">
      <c r="A1620" t="s">
        <v>3186</v>
      </c>
      <c r="B1620">
        <v>0</v>
      </c>
      <c r="C1620">
        <v>0</v>
      </c>
      <c r="D1620">
        <v>3</v>
      </c>
      <c r="E1620">
        <v>528000</v>
      </c>
      <c r="F1620">
        <v>0</v>
      </c>
      <c r="G1620">
        <v>0</v>
      </c>
      <c r="H1620">
        <v>4</v>
      </c>
      <c r="I1620">
        <v>82886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78585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10</v>
      </c>
      <c r="BC1620" s="1">
        <v>994641</v>
      </c>
      <c r="BD1620" t="s">
        <v>94</v>
      </c>
      <c r="BE1620" t="s">
        <v>3187</v>
      </c>
      <c r="BF1620" t="s">
        <v>3188</v>
      </c>
      <c r="BH1620" t="s">
        <v>97</v>
      </c>
      <c r="BI1620" t="s">
        <v>208</v>
      </c>
      <c r="BJ1620" t="s">
        <v>79</v>
      </c>
      <c r="BM1620">
        <v>1</v>
      </c>
      <c r="BN1620">
        <v>2</v>
      </c>
      <c r="BO1620">
        <v>3</v>
      </c>
      <c r="BP1620" t="s">
        <v>80</v>
      </c>
      <c r="BR1620">
        <v>0</v>
      </c>
      <c r="BS1620">
        <v>6</v>
      </c>
      <c r="BU1620">
        <v>689471</v>
      </c>
    </row>
    <row r="1621" spans="1:73" x14ac:dyDescent="0.3">
      <c r="A1621" t="s">
        <v>3193</v>
      </c>
      <c r="B1621">
        <v>0</v>
      </c>
      <c r="C1621">
        <v>0</v>
      </c>
      <c r="D1621">
        <v>5</v>
      </c>
      <c r="E1621">
        <v>1480000</v>
      </c>
      <c r="F1621">
        <v>0</v>
      </c>
      <c r="G1621">
        <v>0</v>
      </c>
      <c r="H1621">
        <v>8</v>
      </c>
      <c r="I1621">
        <v>160000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73535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12</v>
      </c>
      <c r="BC1621" s="1">
        <v>3107070</v>
      </c>
      <c r="BD1621" t="s">
        <v>94</v>
      </c>
      <c r="BE1621" t="s">
        <v>3194</v>
      </c>
      <c r="BF1621" t="s">
        <v>3195</v>
      </c>
      <c r="BH1621" t="s">
        <v>97</v>
      </c>
      <c r="BI1621" t="s">
        <v>265</v>
      </c>
      <c r="BJ1621" t="s">
        <v>79</v>
      </c>
      <c r="BM1621">
        <v>1</v>
      </c>
      <c r="BN1621">
        <v>2</v>
      </c>
      <c r="BO1621">
        <v>3</v>
      </c>
      <c r="BP1621" t="s">
        <v>80</v>
      </c>
      <c r="BR1621">
        <v>0</v>
      </c>
      <c r="BS1621">
        <v>6</v>
      </c>
      <c r="BU1621">
        <v>1713535</v>
      </c>
    </row>
    <row r="1622" spans="1:73" x14ac:dyDescent="0.3">
      <c r="A1622" t="s">
        <v>3199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82993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2</v>
      </c>
      <c r="BC1622" s="1">
        <v>165986</v>
      </c>
      <c r="BD1622" t="s">
        <v>94</v>
      </c>
      <c r="BE1622" t="s">
        <v>3200</v>
      </c>
      <c r="BF1622" t="s">
        <v>3201</v>
      </c>
      <c r="BH1622" t="s">
        <v>97</v>
      </c>
      <c r="BI1622" t="s">
        <v>98</v>
      </c>
      <c r="BJ1622" t="s">
        <v>79</v>
      </c>
      <c r="BM1622">
        <v>1</v>
      </c>
      <c r="BN1622">
        <v>0</v>
      </c>
      <c r="BO1622">
        <v>1</v>
      </c>
      <c r="BP1622" t="s">
        <v>80</v>
      </c>
      <c r="BR1622">
        <v>0</v>
      </c>
      <c r="BS1622">
        <v>6</v>
      </c>
      <c r="BU1622">
        <v>82993</v>
      </c>
    </row>
    <row r="1623" spans="1:73" x14ac:dyDescent="0.3">
      <c r="A1623" t="s">
        <v>3202</v>
      </c>
      <c r="B1623">
        <v>9</v>
      </c>
      <c r="C1623">
        <v>1701797</v>
      </c>
      <c r="D1623">
        <v>5</v>
      </c>
      <c r="E1623">
        <v>1395419</v>
      </c>
      <c r="F1623">
        <v>0</v>
      </c>
      <c r="G1623">
        <v>0</v>
      </c>
      <c r="H1623">
        <v>8</v>
      </c>
      <c r="I1623">
        <v>165838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19792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20</v>
      </c>
      <c r="BC1623" s="1">
        <v>4512427</v>
      </c>
      <c r="BD1623" t="s">
        <v>94</v>
      </c>
      <c r="BE1623" t="s">
        <v>3203</v>
      </c>
      <c r="BF1623" t="s">
        <v>664</v>
      </c>
      <c r="BH1623" t="s">
        <v>123</v>
      </c>
      <c r="BI1623" t="s">
        <v>124</v>
      </c>
      <c r="BJ1623" t="s">
        <v>125</v>
      </c>
      <c r="BM1623">
        <v>1</v>
      </c>
      <c r="BN1623">
        <v>3</v>
      </c>
      <c r="BO1623">
        <v>4</v>
      </c>
      <c r="BP1623" t="s">
        <v>80</v>
      </c>
      <c r="BR1623">
        <v>0</v>
      </c>
      <c r="BS1623">
        <v>6</v>
      </c>
      <c r="BU1623">
        <v>3282846</v>
      </c>
    </row>
    <row r="1624" spans="1:73" x14ac:dyDescent="0.3">
      <c r="A1624" t="s">
        <v>3210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2</v>
      </c>
      <c r="I1624">
        <v>40000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2</v>
      </c>
      <c r="BC1624" s="1">
        <v>40000</v>
      </c>
      <c r="BD1624" t="s">
        <v>94</v>
      </c>
      <c r="BE1624" t="s">
        <v>3211</v>
      </c>
      <c r="BF1624" t="s">
        <v>3212</v>
      </c>
      <c r="BH1624" t="s">
        <v>123</v>
      </c>
      <c r="BI1624" t="s">
        <v>3213</v>
      </c>
      <c r="BJ1624" t="s">
        <v>125</v>
      </c>
      <c r="BM1624">
        <v>0</v>
      </c>
      <c r="BN1624">
        <v>1</v>
      </c>
      <c r="BO1624">
        <v>1</v>
      </c>
      <c r="BP1624" t="s">
        <v>514</v>
      </c>
      <c r="BR1624">
        <v>0</v>
      </c>
      <c r="BS1624">
        <v>6</v>
      </c>
      <c r="BU1624">
        <v>40000</v>
      </c>
    </row>
    <row r="1625" spans="1:73" x14ac:dyDescent="0.3">
      <c r="A1625" t="s">
        <v>3217</v>
      </c>
      <c r="B1625">
        <v>1</v>
      </c>
      <c r="C1625">
        <v>286150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</v>
      </c>
      <c r="BC1625" s="1">
        <v>286150</v>
      </c>
      <c r="BD1625" t="s">
        <v>94</v>
      </c>
      <c r="BE1625" t="s">
        <v>3218</v>
      </c>
      <c r="BF1625" t="s">
        <v>3219</v>
      </c>
      <c r="BH1625" t="s">
        <v>77</v>
      </c>
      <c r="BI1625" t="s">
        <v>92</v>
      </c>
      <c r="BJ1625" t="s">
        <v>79</v>
      </c>
      <c r="BM1625">
        <v>0</v>
      </c>
      <c r="BN1625">
        <v>1</v>
      </c>
      <c r="BO1625">
        <v>1</v>
      </c>
      <c r="BP1625" t="s">
        <v>80</v>
      </c>
      <c r="BR1625">
        <v>0</v>
      </c>
      <c r="BS1625">
        <v>6</v>
      </c>
      <c r="BU1625">
        <v>286150</v>
      </c>
    </row>
    <row r="1626" spans="1:73" x14ac:dyDescent="0.3">
      <c r="A1626" t="s">
        <v>3220</v>
      </c>
      <c r="B1626">
        <v>0</v>
      </c>
      <c r="C1626">
        <v>0</v>
      </c>
      <c r="D1626">
        <v>4</v>
      </c>
      <c r="E1626">
        <v>1680981</v>
      </c>
      <c r="F1626">
        <v>0</v>
      </c>
      <c r="G1626">
        <v>0</v>
      </c>
      <c r="H1626">
        <v>6</v>
      </c>
      <c r="I1626">
        <v>161962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8</v>
      </c>
      <c r="BC1626" s="1">
        <v>3361962</v>
      </c>
      <c r="BD1626" t="s">
        <v>94</v>
      </c>
      <c r="BE1626" t="s">
        <v>3221</v>
      </c>
      <c r="BF1626" t="s">
        <v>2130</v>
      </c>
      <c r="BH1626" t="s">
        <v>97</v>
      </c>
      <c r="BI1626" t="s">
        <v>107</v>
      </c>
      <c r="BJ1626" t="s">
        <v>79</v>
      </c>
      <c r="BM1626">
        <v>0</v>
      </c>
      <c r="BN1626">
        <v>2</v>
      </c>
      <c r="BO1626">
        <v>2</v>
      </c>
      <c r="BP1626" t="s">
        <v>80</v>
      </c>
      <c r="BR1626">
        <v>0</v>
      </c>
      <c r="BS1626">
        <v>6</v>
      </c>
      <c r="BU1626">
        <v>1842943</v>
      </c>
    </row>
    <row r="1627" spans="1:73" x14ac:dyDescent="0.3">
      <c r="A1627" t="s">
        <v>3230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2</v>
      </c>
      <c r="I1627">
        <v>40000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47916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4</v>
      </c>
      <c r="BC1627" s="1">
        <v>166501</v>
      </c>
      <c r="BD1627" t="s">
        <v>94</v>
      </c>
      <c r="BE1627" t="s">
        <v>3231</v>
      </c>
      <c r="BF1627" t="s">
        <v>3232</v>
      </c>
      <c r="BH1627" t="s">
        <v>97</v>
      </c>
      <c r="BI1627" t="s">
        <v>119</v>
      </c>
      <c r="BJ1627" t="s">
        <v>79</v>
      </c>
      <c r="BM1627">
        <v>1</v>
      </c>
      <c r="BN1627">
        <v>1</v>
      </c>
      <c r="BO1627">
        <v>2</v>
      </c>
      <c r="BP1627" t="s">
        <v>80</v>
      </c>
      <c r="BR1627">
        <v>0</v>
      </c>
      <c r="BS1627">
        <v>6</v>
      </c>
      <c r="BU1627">
        <v>87916</v>
      </c>
    </row>
    <row r="1628" spans="1:73" x14ac:dyDescent="0.3">
      <c r="A1628" t="s">
        <v>3233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73535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</v>
      </c>
      <c r="BC1628" s="1">
        <v>152120</v>
      </c>
      <c r="BD1628" t="s">
        <v>94</v>
      </c>
      <c r="BE1628" t="s">
        <v>3234</v>
      </c>
      <c r="BF1628" t="s">
        <v>3235</v>
      </c>
      <c r="BH1628" t="s">
        <v>97</v>
      </c>
      <c r="BI1628" t="s">
        <v>265</v>
      </c>
      <c r="BJ1628" t="s">
        <v>79</v>
      </c>
      <c r="BM1628">
        <v>1</v>
      </c>
      <c r="BN1628">
        <v>0</v>
      </c>
      <c r="BO1628">
        <v>1</v>
      </c>
      <c r="BP1628" t="s">
        <v>80</v>
      </c>
      <c r="BR1628">
        <v>0</v>
      </c>
      <c r="BS1628">
        <v>0</v>
      </c>
      <c r="BU1628">
        <v>73535</v>
      </c>
    </row>
    <row r="1629" spans="1:73" x14ac:dyDescent="0.3">
      <c r="A1629" t="s">
        <v>3250</v>
      </c>
      <c r="B1629">
        <v>0</v>
      </c>
      <c r="C1629">
        <v>0</v>
      </c>
      <c r="D1629">
        <v>1</v>
      </c>
      <c r="E1629">
        <v>170000</v>
      </c>
      <c r="F1629">
        <v>0</v>
      </c>
      <c r="G1629">
        <v>0</v>
      </c>
      <c r="H1629">
        <v>1</v>
      </c>
      <c r="I1629">
        <v>20000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73535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5</v>
      </c>
      <c r="BC1629" s="1">
        <v>361912</v>
      </c>
      <c r="BD1629" t="s">
        <v>94</v>
      </c>
      <c r="BE1629" t="s">
        <v>3251</v>
      </c>
      <c r="BF1629" t="s">
        <v>3252</v>
      </c>
      <c r="BH1629" t="s">
        <v>97</v>
      </c>
      <c r="BI1629" t="s">
        <v>208</v>
      </c>
      <c r="BJ1629" t="s">
        <v>79</v>
      </c>
      <c r="BM1629">
        <v>1</v>
      </c>
      <c r="BN1629">
        <v>2</v>
      </c>
      <c r="BO1629">
        <v>3</v>
      </c>
      <c r="BP1629" t="s">
        <v>80</v>
      </c>
      <c r="BR1629">
        <v>0</v>
      </c>
      <c r="BS1629">
        <v>6</v>
      </c>
      <c r="BU1629">
        <v>263535</v>
      </c>
    </row>
    <row r="1630" spans="1:73" x14ac:dyDescent="0.3">
      <c r="A1630" t="s">
        <v>3253</v>
      </c>
      <c r="B1630">
        <v>0</v>
      </c>
      <c r="C1630">
        <v>0</v>
      </c>
      <c r="D1630">
        <v>1</v>
      </c>
      <c r="E1630">
        <v>85500</v>
      </c>
      <c r="F1630">
        <v>0</v>
      </c>
      <c r="G1630">
        <v>0</v>
      </c>
      <c r="H1630">
        <v>2</v>
      </c>
      <c r="I1630">
        <v>45000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27000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11111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6</v>
      </c>
      <c r="BC1630" s="1">
        <v>179722</v>
      </c>
      <c r="BD1630" t="s">
        <v>94</v>
      </c>
      <c r="BE1630" t="s">
        <v>3254</v>
      </c>
      <c r="BF1630" t="s">
        <v>3255</v>
      </c>
      <c r="BH1630" t="s">
        <v>97</v>
      </c>
      <c r="BI1630" t="s">
        <v>119</v>
      </c>
      <c r="BJ1630" t="s">
        <v>79</v>
      </c>
      <c r="BM1630">
        <v>1</v>
      </c>
      <c r="BN1630">
        <v>3</v>
      </c>
      <c r="BO1630">
        <v>4</v>
      </c>
      <c r="BP1630" t="s">
        <v>80</v>
      </c>
      <c r="BR1630">
        <v>0</v>
      </c>
      <c r="BS1630">
        <v>6</v>
      </c>
      <c r="BU1630">
        <v>168611</v>
      </c>
    </row>
    <row r="1631" spans="1:73" x14ac:dyDescent="0.3">
      <c r="A1631" t="s">
        <v>3259</v>
      </c>
      <c r="B1631">
        <v>0</v>
      </c>
      <c r="C1631">
        <v>0</v>
      </c>
      <c r="D1631">
        <v>9</v>
      </c>
      <c r="E1631">
        <v>10516418</v>
      </c>
      <c r="F1631">
        <v>0</v>
      </c>
      <c r="G1631">
        <v>0</v>
      </c>
      <c r="H1631">
        <v>10</v>
      </c>
      <c r="I1631">
        <v>232836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1450000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3</v>
      </c>
      <c r="Z1631">
        <v>485454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27</v>
      </c>
      <c r="BC1631" s="1">
        <v>23853744</v>
      </c>
      <c r="BD1631" t="s">
        <v>94</v>
      </c>
      <c r="BE1631" t="s">
        <v>3260</v>
      </c>
      <c r="BF1631" t="s">
        <v>676</v>
      </c>
      <c r="BH1631" t="s">
        <v>97</v>
      </c>
      <c r="BI1631" t="s">
        <v>98</v>
      </c>
      <c r="BJ1631" t="s">
        <v>79</v>
      </c>
      <c r="BM1631">
        <v>2</v>
      </c>
      <c r="BN1631">
        <v>2</v>
      </c>
      <c r="BO1631">
        <v>4</v>
      </c>
      <c r="BP1631" t="s">
        <v>80</v>
      </c>
      <c r="BR1631">
        <v>0</v>
      </c>
      <c r="BS1631">
        <v>4</v>
      </c>
      <c r="BU1631">
        <v>12684708</v>
      </c>
    </row>
    <row r="1632" spans="1:73" x14ac:dyDescent="0.3">
      <c r="A1632" t="s">
        <v>3264</v>
      </c>
      <c r="B1632">
        <v>1</v>
      </c>
      <c r="C1632">
        <v>335573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 s="1">
        <v>335573</v>
      </c>
      <c r="BD1632" t="s">
        <v>94</v>
      </c>
      <c r="BE1632" t="s">
        <v>3265</v>
      </c>
      <c r="BF1632" t="s">
        <v>3266</v>
      </c>
      <c r="BH1632" t="s">
        <v>97</v>
      </c>
      <c r="BI1632" t="s">
        <v>208</v>
      </c>
      <c r="BJ1632" t="s">
        <v>79</v>
      </c>
      <c r="BM1632">
        <v>0</v>
      </c>
      <c r="BN1632">
        <v>1</v>
      </c>
      <c r="BO1632">
        <v>1</v>
      </c>
      <c r="BP1632" t="s">
        <v>80</v>
      </c>
      <c r="BR1632">
        <v>0</v>
      </c>
      <c r="BS1632">
        <v>6</v>
      </c>
      <c r="BU1632">
        <v>335573</v>
      </c>
    </row>
    <row r="1633" spans="1:73" x14ac:dyDescent="0.3">
      <c r="A1633" t="s">
        <v>3273</v>
      </c>
      <c r="B1633">
        <v>0</v>
      </c>
      <c r="C1633">
        <v>0</v>
      </c>
      <c r="D1633">
        <v>9</v>
      </c>
      <c r="E1633">
        <v>3553411</v>
      </c>
      <c r="F1633">
        <v>0</v>
      </c>
      <c r="G1633">
        <v>0</v>
      </c>
      <c r="H1633">
        <v>16</v>
      </c>
      <c r="I1633">
        <v>546822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18</v>
      </c>
      <c r="BC1633" s="1">
        <v>7106822</v>
      </c>
      <c r="BD1633" t="s">
        <v>94</v>
      </c>
      <c r="BE1633" t="s">
        <v>3274</v>
      </c>
      <c r="BF1633" t="s">
        <v>3275</v>
      </c>
      <c r="BH1633" t="s">
        <v>97</v>
      </c>
      <c r="BI1633" t="s">
        <v>265</v>
      </c>
      <c r="BJ1633" t="s">
        <v>79</v>
      </c>
      <c r="BM1633">
        <v>0</v>
      </c>
      <c r="BN1633">
        <v>2</v>
      </c>
      <c r="BO1633">
        <v>2</v>
      </c>
      <c r="BP1633" t="s">
        <v>80</v>
      </c>
      <c r="BR1633">
        <v>0</v>
      </c>
      <c r="BS1633">
        <v>6</v>
      </c>
      <c r="BU1633">
        <v>4100233</v>
      </c>
    </row>
    <row r="1634" spans="1:73" x14ac:dyDescent="0.3">
      <c r="A1634" t="s">
        <v>3278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2667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73535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4</v>
      </c>
      <c r="BC1634" s="1">
        <v>1006880</v>
      </c>
      <c r="BD1634" t="s">
        <v>94</v>
      </c>
      <c r="BE1634" t="s">
        <v>3279</v>
      </c>
      <c r="BF1634" t="s">
        <v>3280</v>
      </c>
      <c r="BH1634" t="s">
        <v>97</v>
      </c>
      <c r="BI1634" t="s">
        <v>242</v>
      </c>
      <c r="BJ1634" t="s">
        <v>79</v>
      </c>
      <c r="BM1634">
        <v>1</v>
      </c>
      <c r="BN1634">
        <v>1</v>
      </c>
      <c r="BO1634">
        <v>2</v>
      </c>
      <c r="BP1634" t="s">
        <v>80</v>
      </c>
      <c r="BR1634">
        <v>0</v>
      </c>
      <c r="BS1634">
        <v>6</v>
      </c>
      <c r="BU1634">
        <v>76202</v>
      </c>
    </row>
    <row r="1635" spans="1:73" x14ac:dyDescent="0.3">
      <c r="A1635" t="s">
        <v>3281</v>
      </c>
      <c r="B1635">
        <v>1</v>
      </c>
      <c r="C1635">
        <v>406492</v>
      </c>
      <c r="D1635">
        <v>7</v>
      </c>
      <c r="E1635">
        <v>4130000</v>
      </c>
      <c r="F1635">
        <v>0</v>
      </c>
      <c r="G1635">
        <v>0</v>
      </c>
      <c r="H1635">
        <v>8</v>
      </c>
      <c r="I1635">
        <v>160000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15</v>
      </c>
      <c r="BC1635" s="1">
        <v>8666492</v>
      </c>
      <c r="BD1635" t="s">
        <v>94</v>
      </c>
      <c r="BE1635" t="s">
        <v>3282</v>
      </c>
      <c r="BF1635" t="s">
        <v>1245</v>
      </c>
      <c r="BH1635" t="s">
        <v>97</v>
      </c>
      <c r="BI1635" t="s">
        <v>98</v>
      </c>
      <c r="BJ1635" t="s">
        <v>79</v>
      </c>
      <c r="BM1635">
        <v>0</v>
      </c>
      <c r="BN1635">
        <v>3</v>
      </c>
      <c r="BO1635">
        <v>3</v>
      </c>
      <c r="BP1635" t="s">
        <v>80</v>
      </c>
      <c r="BR1635">
        <v>0</v>
      </c>
      <c r="BS1635">
        <v>6</v>
      </c>
      <c r="BU1635">
        <v>4696492</v>
      </c>
    </row>
    <row r="1636" spans="1:73" x14ac:dyDescent="0.3">
      <c r="A1636" t="s">
        <v>3283</v>
      </c>
      <c r="B1636">
        <v>0</v>
      </c>
      <c r="C1636">
        <v>0</v>
      </c>
      <c r="D1636">
        <v>8</v>
      </c>
      <c r="E1636">
        <v>1864693</v>
      </c>
      <c r="F1636">
        <v>0</v>
      </c>
      <c r="G1636">
        <v>0</v>
      </c>
      <c r="H1636">
        <v>12</v>
      </c>
      <c r="I1636">
        <v>249386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16</v>
      </c>
      <c r="BC1636" s="1">
        <v>3729386</v>
      </c>
      <c r="BD1636" t="s">
        <v>94</v>
      </c>
      <c r="BE1636" t="s">
        <v>3284</v>
      </c>
      <c r="BF1636" t="s">
        <v>3285</v>
      </c>
      <c r="BH1636" t="s">
        <v>97</v>
      </c>
      <c r="BI1636" t="s">
        <v>265</v>
      </c>
      <c r="BJ1636" t="s">
        <v>79</v>
      </c>
      <c r="BM1636">
        <v>0</v>
      </c>
      <c r="BN1636">
        <v>2</v>
      </c>
      <c r="BO1636">
        <v>2</v>
      </c>
      <c r="BP1636" t="s">
        <v>80</v>
      </c>
      <c r="BR1636">
        <v>0</v>
      </c>
      <c r="BS1636">
        <v>6</v>
      </c>
      <c r="BU1636">
        <v>2114079</v>
      </c>
    </row>
    <row r="1637" spans="1:73" x14ac:dyDescent="0.3">
      <c r="A1637" t="s">
        <v>3289</v>
      </c>
      <c r="B1637">
        <v>1</v>
      </c>
      <c r="C1637">
        <v>115386</v>
      </c>
      <c r="D1637">
        <v>0</v>
      </c>
      <c r="E1637">
        <v>0</v>
      </c>
      <c r="F1637">
        <v>0</v>
      </c>
      <c r="G1637">
        <v>0</v>
      </c>
      <c r="H1637">
        <v>2</v>
      </c>
      <c r="I1637">
        <v>50000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</v>
      </c>
      <c r="BC1637" s="1">
        <v>165386</v>
      </c>
      <c r="BD1637" t="s">
        <v>94</v>
      </c>
      <c r="BE1637" t="s">
        <v>3290</v>
      </c>
      <c r="BF1637" t="s">
        <v>3291</v>
      </c>
      <c r="BH1637" t="s">
        <v>97</v>
      </c>
      <c r="BI1637" t="s">
        <v>208</v>
      </c>
      <c r="BJ1637" t="s">
        <v>79</v>
      </c>
      <c r="BM1637">
        <v>0</v>
      </c>
      <c r="BN1637">
        <v>2</v>
      </c>
      <c r="BO1637">
        <v>2</v>
      </c>
      <c r="BP1637" t="s">
        <v>80</v>
      </c>
      <c r="BR1637">
        <v>0</v>
      </c>
      <c r="BS1637">
        <v>6</v>
      </c>
      <c r="BU1637">
        <v>165386</v>
      </c>
    </row>
    <row r="1638" spans="1:73" x14ac:dyDescent="0.3">
      <c r="A1638" t="s">
        <v>3295</v>
      </c>
      <c r="B1638">
        <v>0</v>
      </c>
      <c r="C1638">
        <v>0</v>
      </c>
      <c r="D1638">
        <v>7</v>
      </c>
      <c r="E1638">
        <v>1753542</v>
      </c>
      <c r="F1638">
        <v>0</v>
      </c>
      <c r="G1638">
        <v>0</v>
      </c>
      <c r="H1638">
        <v>12</v>
      </c>
      <c r="I1638">
        <v>307084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14</v>
      </c>
      <c r="BC1638" s="1">
        <v>3507084</v>
      </c>
      <c r="BD1638" t="s">
        <v>94</v>
      </c>
      <c r="BE1638" t="s">
        <v>3296</v>
      </c>
      <c r="BF1638" t="s">
        <v>3297</v>
      </c>
      <c r="BH1638" t="s">
        <v>97</v>
      </c>
      <c r="BI1638" t="s">
        <v>119</v>
      </c>
      <c r="BJ1638" t="s">
        <v>79</v>
      </c>
      <c r="BM1638">
        <v>0</v>
      </c>
      <c r="BN1638">
        <v>2</v>
      </c>
      <c r="BO1638">
        <v>2</v>
      </c>
      <c r="BP1638" t="s">
        <v>80</v>
      </c>
      <c r="BR1638">
        <v>0</v>
      </c>
      <c r="BS1638">
        <v>6</v>
      </c>
      <c r="BU1638">
        <v>2060626</v>
      </c>
    </row>
    <row r="1639" spans="1:73" x14ac:dyDescent="0.3">
      <c r="A1639" t="s">
        <v>3301</v>
      </c>
      <c r="B1639">
        <v>0</v>
      </c>
      <c r="C1639">
        <v>0</v>
      </c>
      <c r="D1639">
        <v>9</v>
      </c>
      <c r="E1639">
        <v>6662624</v>
      </c>
      <c r="F1639">
        <v>0</v>
      </c>
      <c r="G1639">
        <v>0</v>
      </c>
      <c r="H1639">
        <v>12</v>
      </c>
      <c r="I1639">
        <v>343430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73535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20</v>
      </c>
      <c r="BC1639" s="1">
        <v>13472318</v>
      </c>
      <c r="BD1639" t="s">
        <v>94</v>
      </c>
      <c r="BE1639" t="s">
        <v>3302</v>
      </c>
      <c r="BF1639" t="s">
        <v>1868</v>
      </c>
      <c r="BH1639" t="s">
        <v>97</v>
      </c>
      <c r="BI1639" t="s">
        <v>119</v>
      </c>
      <c r="BJ1639" t="s">
        <v>79</v>
      </c>
      <c r="BM1639">
        <v>1</v>
      </c>
      <c r="BN1639">
        <v>2</v>
      </c>
      <c r="BO1639">
        <v>3</v>
      </c>
      <c r="BP1639" t="s">
        <v>80</v>
      </c>
      <c r="BR1639">
        <v>0</v>
      </c>
      <c r="BS1639">
        <v>5</v>
      </c>
      <c r="BU1639">
        <v>7079589</v>
      </c>
    </row>
    <row r="1640" spans="1:73" x14ac:dyDescent="0.3">
      <c r="A1640" t="s">
        <v>3311</v>
      </c>
      <c r="B1640">
        <v>0</v>
      </c>
      <c r="C1640">
        <v>0</v>
      </c>
      <c r="D1640">
        <v>2</v>
      </c>
      <c r="E1640">
        <v>891364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3</v>
      </c>
      <c r="BC1640" s="1">
        <v>1407728</v>
      </c>
      <c r="BD1640" t="s">
        <v>94</v>
      </c>
      <c r="BE1640" t="s">
        <v>3312</v>
      </c>
      <c r="BF1640" t="s">
        <v>3313</v>
      </c>
      <c r="BH1640" t="s">
        <v>476</v>
      </c>
      <c r="BI1640" t="s">
        <v>1037</v>
      </c>
      <c r="BJ1640" t="s">
        <v>125</v>
      </c>
      <c r="BM1640">
        <v>0</v>
      </c>
      <c r="BN1640">
        <v>1</v>
      </c>
      <c r="BO1640">
        <v>1</v>
      </c>
      <c r="BP1640" t="s">
        <v>80</v>
      </c>
      <c r="BR1640">
        <v>0</v>
      </c>
      <c r="BS1640">
        <v>6</v>
      </c>
      <c r="BU1640">
        <v>891364</v>
      </c>
    </row>
    <row r="1641" spans="1:73" x14ac:dyDescent="0.3">
      <c r="A1641" t="s">
        <v>3322</v>
      </c>
      <c r="B1641">
        <v>1</v>
      </c>
      <c r="C1641">
        <v>485001</v>
      </c>
      <c r="D1641">
        <v>71</v>
      </c>
      <c r="E1641">
        <v>25835220</v>
      </c>
      <c r="F1641">
        <v>0</v>
      </c>
      <c r="G1641">
        <v>0</v>
      </c>
      <c r="H1641">
        <v>15</v>
      </c>
      <c r="I1641">
        <v>473316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4</v>
      </c>
      <c r="Q1641">
        <v>280000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152</v>
      </c>
      <c r="BC1641" s="1">
        <v>47185537</v>
      </c>
      <c r="BD1641" t="s">
        <v>94</v>
      </c>
      <c r="BE1641" t="s">
        <v>3323</v>
      </c>
      <c r="BF1641" t="s">
        <v>3324</v>
      </c>
      <c r="BH1641" t="s">
        <v>97</v>
      </c>
      <c r="BI1641" t="s">
        <v>208</v>
      </c>
      <c r="BJ1641" t="s">
        <v>79</v>
      </c>
      <c r="BM1641">
        <v>0</v>
      </c>
      <c r="BN1641">
        <v>4</v>
      </c>
      <c r="BO1641">
        <v>4</v>
      </c>
      <c r="BP1641" t="s">
        <v>514</v>
      </c>
      <c r="BR1641">
        <v>0</v>
      </c>
      <c r="BS1641">
        <v>4</v>
      </c>
      <c r="BU1641">
        <v>27073537</v>
      </c>
    </row>
    <row r="1642" spans="1:73" x14ac:dyDescent="0.3">
      <c r="A1642" t="s">
        <v>3325</v>
      </c>
      <c r="B1642">
        <v>0</v>
      </c>
      <c r="C1642">
        <v>0</v>
      </c>
      <c r="D1642">
        <v>1</v>
      </c>
      <c r="E1642">
        <v>1600000</v>
      </c>
      <c r="F1642">
        <v>0</v>
      </c>
      <c r="G1642">
        <v>0</v>
      </c>
      <c r="H1642">
        <v>2</v>
      </c>
      <c r="I1642">
        <v>66957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3</v>
      </c>
      <c r="BC1642" s="1">
        <v>1666957</v>
      </c>
      <c r="BD1642" t="s">
        <v>94</v>
      </c>
      <c r="BE1642" t="s">
        <v>3326</v>
      </c>
      <c r="BF1642" t="s">
        <v>3327</v>
      </c>
      <c r="BH1642" t="s">
        <v>97</v>
      </c>
      <c r="BI1642" t="s">
        <v>119</v>
      </c>
      <c r="BJ1642" t="s">
        <v>79</v>
      </c>
      <c r="BM1642">
        <v>0</v>
      </c>
      <c r="BN1642">
        <v>2</v>
      </c>
      <c r="BO1642">
        <v>2</v>
      </c>
      <c r="BP1642" t="s">
        <v>80</v>
      </c>
      <c r="BR1642">
        <v>0</v>
      </c>
      <c r="BS1642">
        <v>6</v>
      </c>
      <c r="BU1642">
        <v>1666957</v>
      </c>
    </row>
    <row r="1643" spans="1:73" x14ac:dyDescent="0.3">
      <c r="A1643" t="s">
        <v>3328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39584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3</v>
      </c>
      <c r="BC1643" s="1">
        <v>59376</v>
      </c>
      <c r="BD1643" t="s">
        <v>94</v>
      </c>
      <c r="BE1643" t="s">
        <v>3329</v>
      </c>
      <c r="BF1643" t="s">
        <v>3330</v>
      </c>
      <c r="BH1643" t="s">
        <v>97</v>
      </c>
      <c r="BI1643" t="s">
        <v>119</v>
      </c>
      <c r="BJ1643" t="s">
        <v>79</v>
      </c>
      <c r="BM1643">
        <v>1</v>
      </c>
      <c r="BN1643">
        <v>0</v>
      </c>
      <c r="BO1643">
        <v>1</v>
      </c>
      <c r="BP1643" t="s">
        <v>80</v>
      </c>
      <c r="BR1643">
        <v>0</v>
      </c>
      <c r="BS1643">
        <v>6</v>
      </c>
      <c r="BU1643">
        <v>39584</v>
      </c>
    </row>
    <row r="1644" spans="1:73" x14ac:dyDescent="0.3">
      <c r="A1644" t="s">
        <v>3331</v>
      </c>
      <c r="B1644">
        <v>2</v>
      </c>
      <c r="C1644">
        <v>3454622</v>
      </c>
      <c r="D1644">
        <v>4</v>
      </c>
      <c r="E1644">
        <v>247878</v>
      </c>
      <c r="F1644">
        <v>0</v>
      </c>
      <c r="G1644">
        <v>0</v>
      </c>
      <c r="H1644">
        <v>6</v>
      </c>
      <c r="I1644">
        <v>153938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33334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11</v>
      </c>
      <c r="BC1644" s="1">
        <v>3983712</v>
      </c>
      <c r="BD1644" t="s">
        <v>94</v>
      </c>
      <c r="BE1644" t="s">
        <v>3332</v>
      </c>
      <c r="BF1644" t="s">
        <v>3333</v>
      </c>
      <c r="BH1644" t="s">
        <v>97</v>
      </c>
      <c r="BI1644" t="s">
        <v>119</v>
      </c>
      <c r="BJ1644" t="s">
        <v>79</v>
      </c>
      <c r="BM1644">
        <v>1</v>
      </c>
      <c r="BN1644">
        <v>3</v>
      </c>
      <c r="BO1644">
        <v>4</v>
      </c>
      <c r="BP1644" t="s">
        <v>80</v>
      </c>
      <c r="BR1644">
        <v>0</v>
      </c>
      <c r="BS1644">
        <v>6</v>
      </c>
      <c r="BU1644">
        <v>3889772</v>
      </c>
    </row>
    <row r="1645" spans="1:73" x14ac:dyDescent="0.3">
      <c r="A1645" t="s">
        <v>3334</v>
      </c>
      <c r="B1645">
        <v>0</v>
      </c>
      <c r="C1645">
        <v>0</v>
      </c>
      <c r="D1645">
        <v>6</v>
      </c>
      <c r="E1645">
        <v>1561229</v>
      </c>
      <c r="F1645">
        <v>0</v>
      </c>
      <c r="G1645">
        <v>0</v>
      </c>
      <c r="H1645">
        <v>10</v>
      </c>
      <c r="I1645">
        <v>242458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2</v>
      </c>
      <c r="Z1645">
        <v>147070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17</v>
      </c>
      <c r="BC1645" s="1">
        <v>3490133</v>
      </c>
      <c r="BD1645" t="s">
        <v>94</v>
      </c>
      <c r="BE1645" t="s">
        <v>3335</v>
      </c>
      <c r="BF1645" t="s">
        <v>3336</v>
      </c>
      <c r="BH1645" t="s">
        <v>97</v>
      </c>
      <c r="BI1645" t="s">
        <v>265</v>
      </c>
      <c r="BJ1645" t="s">
        <v>79</v>
      </c>
      <c r="BM1645">
        <v>1</v>
      </c>
      <c r="BN1645">
        <v>2</v>
      </c>
      <c r="BO1645">
        <v>3</v>
      </c>
      <c r="BP1645" t="s">
        <v>80</v>
      </c>
      <c r="BR1645">
        <v>0</v>
      </c>
      <c r="BS1645">
        <v>6</v>
      </c>
      <c r="BU1645">
        <v>1950757</v>
      </c>
    </row>
    <row r="1646" spans="1:73" x14ac:dyDescent="0.3">
      <c r="A1646" t="s">
        <v>3337</v>
      </c>
      <c r="B1646">
        <v>0</v>
      </c>
      <c r="C1646">
        <v>0</v>
      </c>
      <c r="D1646">
        <v>5</v>
      </c>
      <c r="E1646">
        <v>1233062</v>
      </c>
      <c r="F1646">
        <v>0</v>
      </c>
      <c r="G1646">
        <v>0</v>
      </c>
      <c r="H1646">
        <v>8</v>
      </c>
      <c r="I1646">
        <v>216124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10</v>
      </c>
      <c r="BC1646" s="1">
        <v>2466124</v>
      </c>
      <c r="BD1646" t="s">
        <v>94</v>
      </c>
      <c r="BE1646" t="s">
        <v>3338</v>
      </c>
      <c r="BF1646" t="s">
        <v>3339</v>
      </c>
      <c r="BH1646" t="s">
        <v>97</v>
      </c>
      <c r="BI1646" t="s">
        <v>265</v>
      </c>
      <c r="BJ1646" t="s">
        <v>79</v>
      </c>
      <c r="BM1646">
        <v>0</v>
      </c>
      <c r="BN1646">
        <v>2</v>
      </c>
      <c r="BO1646">
        <v>2</v>
      </c>
      <c r="BP1646" t="s">
        <v>80</v>
      </c>
      <c r="BR1646">
        <v>0</v>
      </c>
      <c r="BS1646">
        <v>6</v>
      </c>
      <c r="BU1646">
        <v>1449186</v>
      </c>
    </row>
    <row r="1647" spans="1:73" x14ac:dyDescent="0.3">
      <c r="A1647" t="s">
        <v>3340</v>
      </c>
      <c r="B1647">
        <v>0</v>
      </c>
      <c r="C1647">
        <v>0</v>
      </c>
      <c r="D1647">
        <v>1</v>
      </c>
      <c r="E1647">
        <v>193200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</v>
      </c>
      <c r="BC1647" s="1">
        <v>386400</v>
      </c>
      <c r="BD1647" t="s">
        <v>94</v>
      </c>
      <c r="BE1647" t="s">
        <v>3341</v>
      </c>
      <c r="BF1647" t="s">
        <v>3342</v>
      </c>
      <c r="BH1647" t="s">
        <v>97</v>
      </c>
      <c r="BI1647" t="s">
        <v>1006</v>
      </c>
      <c r="BJ1647" t="s">
        <v>79</v>
      </c>
      <c r="BM1647">
        <v>0</v>
      </c>
      <c r="BN1647">
        <v>1</v>
      </c>
      <c r="BO1647">
        <v>1</v>
      </c>
      <c r="BP1647" t="s">
        <v>80</v>
      </c>
      <c r="BR1647">
        <v>0</v>
      </c>
      <c r="BS1647">
        <v>6</v>
      </c>
      <c r="BU1647">
        <v>193200</v>
      </c>
    </row>
    <row r="1648" spans="1:73" x14ac:dyDescent="0.3">
      <c r="A1648" t="s">
        <v>3343</v>
      </c>
      <c r="B1648">
        <v>6</v>
      </c>
      <c r="C1648">
        <v>2360744</v>
      </c>
      <c r="D1648">
        <v>9</v>
      </c>
      <c r="E1648">
        <v>2235712</v>
      </c>
      <c r="F1648">
        <v>0</v>
      </c>
      <c r="G1648">
        <v>0</v>
      </c>
      <c r="H1648">
        <v>12</v>
      </c>
      <c r="I1648">
        <v>515062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24</v>
      </c>
      <c r="BC1648" s="1">
        <v>6832168</v>
      </c>
      <c r="BD1648" t="s">
        <v>94</v>
      </c>
      <c r="BE1648" t="s">
        <v>3344</v>
      </c>
      <c r="BF1648" t="s">
        <v>3345</v>
      </c>
      <c r="BH1648" t="s">
        <v>123</v>
      </c>
      <c r="BI1648" t="s">
        <v>325</v>
      </c>
      <c r="BJ1648" t="s">
        <v>125</v>
      </c>
      <c r="BM1648">
        <v>0</v>
      </c>
      <c r="BN1648">
        <v>3</v>
      </c>
      <c r="BO1648">
        <v>3</v>
      </c>
      <c r="BP1648" t="s">
        <v>80</v>
      </c>
      <c r="BR1648">
        <v>0</v>
      </c>
      <c r="BS1648">
        <v>6</v>
      </c>
      <c r="BU1648">
        <v>5111518</v>
      </c>
    </row>
    <row r="1649" spans="1:73" x14ac:dyDescent="0.3">
      <c r="A1649" t="s">
        <v>3352</v>
      </c>
      <c r="B1649">
        <v>0</v>
      </c>
      <c r="C1649">
        <v>0</v>
      </c>
      <c r="D1649">
        <v>2</v>
      </c>
      <c r="E1649">
        <v>480000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4</v>
      </c>
      <c r="BC1649" s="1">
        <v>960000</v>
      </c>
      <c r="BD1649" t="s">
        <v>94</v>
      </c>
      <c r="BE1649" t="s">
        <v>3353</v>
      </c>
      <c r="BF1649" t="s">
        <v>987</v>
      </c>
      <c r="BH1649" t="s">
        <v>97</v>
      </c>
      <c r="BI1649" t="s">
        <v>98</v>
      </c>
      <c r="BJ1649" t="s">
        <v>79</v>
      </c>
      <c r="BM1649">
        <v>0</v>
      </c>
      <c r="BN1649">
        <v>1</v>
      </c>
      <c r="BO1649">
        <v>1</v>
      </c>
      <c r="BP1649" t="s">
        <v>514</v>
      </c>
      <c r="BR1649">
        <v>0</v>
      </c>
      <c r="BS1649">
        <v>6</v>
      </c>
      <c r="BU1649">
        <v>480000</v>
      </c>
    </row>
    <row r="1650" spans="1:73" x14ac:dyDescent="0.3">
      <c r="A1650" t="s">
        <v>3369</v>
      </c>
      <c r="B1650">
        <v>2</v>
      </c>
      <c r="C1650">
        <v>379910</v>
      </c>
      <c r="D1650">
        <v>4</v>
      </c>
      <c r="E1650">
        <v>835232</v>
      </c>
      <c r="F1650">
        <v>0</v>
      </c>
      <c r="G1650">
        <v>0</v>
      </c>
      <c r="H1650">
        <v>4</v>
      </c>
      <c r="I1650">
        <v>82464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9</v>
      </c>
      <c r="BC1650" s="1">
        <v>1906374</v>
      </c>
      <c r="BD1650" t="s">
        <v>94</v>
      </c>
      <c r="BE1650" t="s">
        <v>3370</v>
      </c>
      <c r="BF1650" t="s">
        <v>3371</v>
      </c>
      <c r="BH1650" t="s">
        <v>97</v>
      </c>
      <c r="BI1650" t="s">
        <v>107</v>
      </c>
      <c r="BJ1650" t="s">
        <v>79</v>
      </c>
      <c r="BM1650">
        <v>0</v>
      </c>
      <c r="BN1650">
        <v>3</v>
      </c>
      <c r="BO1650">
        <v>3</v>
      </c>
      <c r="BP1650" t="s">
        <v>80</v>
      </c>
      <c r="BR1650">
        <v>0</v>
      </c>
      <c r="BS1650">
        <v>6</v>
      </c>
      <c r="BU1650">
        <v>1297606</v>
      </c>
    </row>
    <row r="1651" spans="1:73" x14ac:dyDescent="0.3">
      <c r="A1651" t="s">
        <v>3372</v>
      </c>
      <c r="B1651">
        <v>1</v>
      </c>
      <c r="C1651">
        <v>268221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 s="1">
        <v>268221</v>
      </c>
      <c r="BD1651" t="s">
        <v>94</v>
      </c>
      <c r="BE1651" t="s">
        <v>3373</v>
      </c>
      <c r="BF1651" t="s">
        <v>3374</v>
      </c>
      <c r="BH1651" t="s">
        <v>97</v>
      </c>
      <c r="BI1651" t="s">
        <v>208</v>
      </c>
      <c r="BJ1651" t="s">
        <v>79</v>
      </c>
      <c r="BM1651">
        <v>0</v>
      </c>
      <c r="BN1651">
        <v>1</v>
      </c>
      <c r="BO1651">
        <v>1</v>
      </c>
      <c r="BP1651" t="s">
        <v>80</v>
      </c>
      <c r="BR1651">
        <v>0</v>
      </c>
      <c r="BS1651">
        <v>6</v>
      </c>
      <c r="BU1651">
        <v>268221</v>
      </c>
    </row>
    <row r="1652" spans="1:73" x14ac:dyDescent="0.3">
      <c r="A1652" t="s">
        <v>3386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73535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20000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2</v>
      </c>
      <c r="BC1652" s="1">
        <v>93535</v>
      </c>
      <c r="BD1652" t="s">
        <v>94</v>
      </c>
      <c r="BE1652" t="s">
        <v>3387</v>
      </c>
      <c r="BF1652" t="s">
        <v>3388</v>
      </c>
      <c r="BH1652" t="s">
        <v>97</v>
      </c>
      <c r="BI1652" t="s">
        <v>265</v>
      </c>
      <c r="BJ1652" t="s">
        <v>79</v>
      </c>
      <c r="BM1652">
        <v>2</v>
      </c>
      <c r="BN1652">
        <v>0</v>
      </c>
      <c r="BO1652">
        <v>2</v>
      </c>
      <c r="BP1652" t="s">
        <v>80</v>
      </c>
      <c r="BR1652">
        <v>0</v>
      </c>
      <c r="BS1652">
        <v>0</v>
      </c>
      <c r="BU1652">
        <v>93535</v>
      </c>
    </row>
    <row r="1653" spans="1:73" x14ac:dyDescent="0.3">
      <c r="A1653" t="s">
        <v>3389</v>
      </c>
      <c r="B1653">
        <v>0</v>
      </c>
      <c r="C1653">
        <v>0</v>
      </c>
      <c r="D1653">
        <v>4</v>
      </c>
      <c r="E1653">
        <v>323425</v>
      </c>
      <c r="F1653">
        <v>0</v>
      </c>
      <c r="G1653">
        <v>0</v>
      </c>
      <c r="H1653">
        <v>6</v>
      </c>
      <c r="I1653">
        <v>310850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8</v>
      </c>
      <c r="BC1653" s="1">
        <v>646850</v>
      </c>
      <c r="BD1653" t="s">
        <v>94</v>
      </c>
      <c r="BE1653" t="s">
        <v>3390</v>
      </c>
      <c r="BF1653" t="s">
        <v>649</v>
      </c>
      <c r="BH1653" t="s">
        <v>97</v>
      </c>
      <c r="BI1653" t="s">
        <v>119</v>
      </c>
      <c r="BJ1653" t="s">
        <v>79</v>
      </c>
      <c r="BM1653">
        <v>0</v>
      </c>
      <c r="BN1653">
        <v>2</v>
      </c>
      <c r="BO1653">
        <v>2</v>
      </c>
      <c r="BP1653" t="s">
        <v>80</v>
      </c>
      <c r="BR1653">
        <v>0</v>
      </c>
      <c r="BS1653">
        <v>6</v>
      </c>
      <c r="BU1653">
        <v>634275</v>
      </c>
    </row>
    <row r="1654" spans="1:73" x14ac:dyDescent="0.3">
      <c r="A1654" t="s">
        <v>3391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67878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2</v>
      </c>
      <c r="BC1654" s="1">
        <v>135756</v>
      </c>
      <c r="BD1654" t="s">
        <v>94</v>
      </c>
      <c r="BE1654" t="s">
        <v>3392</v>
      </c>
      <c r="BF1654" t="s">
        <v>3393</v>
      </c>
      <c r="BH1654" t="s">
        <v>97</v>
      </c>
      <c r="BI1654" t="s">
        <v>107</v>
      </c>
      <c r="BJ1654" t="s">
        <v>79</v>
      </c>
      <c r="BM1654">
        <v>1</v>
      </c>
      <c r="BN1654">
        <v>0</v>
      </c>
      <c r="BO1654">
        <v>1</v>
      </c>
      <c r="BP1654" t="s">
        <v>80</v>
      </c>
      <c r="BR1654">
        <v>0</v>
      </c>
      <c r="BS1654">
        <v>6</v>
      </c>
      <c r="BU1654">
        <v>67878</v>
      </c>
    </row>
    <row r="1655" spans="1:73" x14ac:dyDescent="0.3">
      <c r="A1655" t="s">
        <v>3394</v>
      </c>
      <c r="B1655">
        <v>1</v>
      </c>
      <c r="C1655">
        <v>405907</v>
      </c>
      <c r="D1655">
        <v>1</v>
      </c>
      <c r="E1655">
        <v>150000</v>
      </c>
      <c r="F1655">
        <v>0</v>
      </c>
      <c r="G1655">
        <v>0</v>
      </c>
      <c r="H1655">
        <v>2</v>
      </c>
      <c r="I1655">
        <v>40000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5</v>
      </c>
      <c r="BC1655" s="1">
        <v>745907</v>
      </c>
      <c r="BD1655" t="s">
        <v>94</v>
      </c>
      <c r="BE1655" t="s">
        <v>3395</v>
      </c>
      <c r="BF1655" t="s">
        <v>3396</v>
      </c>
      <c r="BH1655" t="s">
        <v>97</v>
      </c>
      <c r="BI1655" t="s">
        <v>119</v>
      </c>
      <c r="BJ1655" t="s">
        <v>79</v>
      </c>
      <c r="BM1655">
        <v>0</v>
      </c>
      <c r="BN1655">
        <v>3</v>
      </c>
      <c r="BO1655">
        <v>3</v>
      </c>
      <c r="BP1655" t="s">
        <v>80</v>
      </c>
      <c r="BR1655">
        <v>0</v>
      </c>
      <c r="BS1655">
        <v>6</v>
      </c>
      <c r="BU1655">
        <v>595907</v>
      </c>
    </row>
    <row r="1656" spans="1:73" x14ac:dyDescent="0.3">
      <c r="A1656" t="s">
        <v>3397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73535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2</v>
      </c>
      <c r="BC1656" s="1">
        <v>147070</v>
      </c>
      <c r="BD1656" t="s">
        <v>94</v>
      </c>
      <c r="BE1656" t="s">
        <v>3398</v>
      </c>
      <c r="BF1656" t="s">
        <v>3399</v>
      </c>
      <c r="BH1656" t="s">
        <v>97</v>
      </c>
      <c r="BI1656" t="s">
        <v>265</v>
      </c>
      <c r="BJ1656" t="s">
        <v>79</v>
      </c>
      <c r="BM1656">
        <v>1</v>
      </c>
      <c r="BN1656">
        <v>0</v>
      </c>
      <c r="BO1656">
        <v>1</v>
      </c>
      <c r="BP1656" t="s">
        <v>80</v>
      </c>
      <c r="BR1656">
        <v>0</v>
      </c>
      <c r="BS1656">
        <v>0</v>
      </c>
      <c r="BU1656">
        <v>73535</v>
      </c>
    </row>
    <row r="1657" spans="1:73" x14ac:dyDescent="0.3">
      <c r="A1657" t="s">
        <v>3403</v>
      </c>
      <c r="B1657">
        <v>0</v>
      </c>
      <c r="C1657">
        <v>0</v>
      </c>
      <c r="D1657">
        <v>1</v>
      </c>
      <c r="E1657">
        <v>261818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2</v>
      </c>
      <c r="BC1657" s="1">
        <v>523636</v>
      </c>
      <c r="BD1657" t="s">
        <v>94</v>
      </c>
      <c r="BE1657" t="s">
        <v>3404</v>
      </c>
      <c r="BF1657" t="s">
        <v>3405</v>
      </c>
      <c r="BH1657" t="s">
        <v>97</v>
      </c>
      <c r="BI1657" t="s">
        <v>265</v>
      </c>
      <c r="BJ1657" t="s">
        <v>79</v>
      </c>
      <c r="BM1657">
        <v>0</v>
      </c>
      <c r="BN1657">
        <v>1</v>
      </c>
      <c r="BO1657">
        <v>1</v>
      </c>
      <c r="BP1657" t="s">
        <v>80</v>
      </c>
      <c r="BR1657">
        <v>0</v>
      </c>
      <c r="BS1657">
        <v>6</v>
      </c>
      <c r="BU1657">
        <v>261818</v>
      </c>
    </row>
    <row r="1658" spans="1:73" x14ac:dyDescent="0.3">
      <c r="A1658" t="s">
        <v>3409</v>
      </c>
      <c r="B1658">
        <v>1</v>
      </c>
      <c r="C1658">
        <v>178343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1</v>
      </c>
      <c r="BC1658" s="1">
        <v>178343</v>
      </c>
      <c r="BD1658" t="s">
        <v>94</v>
      </c>
      <c r="BE1658" t="s">
        <v>3410</v>
      </c>
      <c r="BF1658" t="s">
        <v>3411</v>
      </c>
      <c r="BH1658" t="s">
        <v>77</v>
      </c>
      <c r="BI1658" t="s">
        <v>92</v>
      </c>
      <c r="BJ1658" t="s">
        <v>79</v>
      </c>
      <c r="BM1658">
        <v>0</v>
      </c>
      <c r="BN1658">
        <v>1</v>
      </c>
      <c r="BO1658">
        <v>1</v>
      </c>
      <c r="BP1658" t="s">
        <v>80</v>
      </c>
      <c r="BR1658">
        <v>0</v>
      </c>
      <c r="BS1658">
        <v>0</v>
      </c>
      <c r="BU1658">
        <v>178343</v>
      </c>
    </row>
    <row r="1659" spans="1:73" x14ac:dyDescent="0.3">
      <c r="A1659" t="s">
        <v>3415</v>
      </c>
      <c r="B1659">
        <v>0</v>
      </c>
      <c r="C1659">
        <v>0</v>
      </c>
      <c r="D1659">
        <v>1</v>
      </c>
      <c r="E1659">
        <v>765000</v>
      </c>
      <c r="F1659">
        <v>0</v>
      </c>
      <c r="G1659">
        <v>0</v>
      </c>
      <c r="H1659">
        <v>2</v>
      </c>
      <c r="I1659">
        <v>40000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4</v>
      </c>
      <c r="BC1659" s="1">
        <v>1570000</v>
      </c>
      <c r="BD1659" t="s">
        <v>94</v>
      </c>
      <c r="BE1659" t="s">
        <v>3416</v>
      </c>
      <c r="BF1659" t="s">
        <v>3417</v>
      </c>
      <c r="BH1659" t="s">
        <v>97</v>
      </c>
      <c r="BI1659" t="s">
        <v>119</v>
      </c>
      <c r="BJ1659" t="s">
        <v>79</v>
      </c>
      <c r="BM1659">
        <v>0</v>
      </c>
      <c r="BN1659">
        <v>2</v>
      </c>
      <c r="BO1659">
        <v>2</v>
      </c>
      <c r="BP1659" t="s">
        <v>80</v>
      </c>
      <c r="BR1659">
        <v>0</v>
      </c>
      <c r="BS1659">
        <v>6</v>
      </c>
      <c r="BU1659">
        <v>805000</v>
      </c>
    </row>
    <row r="1660" spans="1:73" x14ac:dyDescent="0.3">
      <c r="A1660" t="s">
        <v>3427</v>
      </c>
      <c r="B1660">
        <v>1</v>
      </c>
      <c r="C1660">
        <v>368523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 s="1">
        <v>368523</v>
      </c>
      <c r="BD1660" t="s">
        <v>94</v>
      </c>
      <c r="BE1660" t="s">
        <v>3428</v>
      </c>
      <c r="BF1660" t="s">
        <v>3429</v>
      </c>
      <c r="BH1660" t="s">
        <v>97</v>
      </c>
      <c r="BI1660" t="s">
        <v>680</v>
      </c>
      <c r="BJ1660" t="s">
        <v>79</v>
      </c>
      <c r="BM1660">
        <v>0</v>
      </c>
      <c r="BN1660">
        <v>1</v>
      </c>
      <c r="BO1660">
        <v>1</v>
      </c>
      <c r="BP1660" t="s">
        <v>80</v>
      </c>
      <c r="BR1660">
        <v>0</v>
      </c>
      <c r="BS1660">
        <v>6</v>
      </c>
      <c r="BU1660">
        <v>368523</v>
      </c>
    </row>
    <row r="1661" spans="1:73" x14ac:dyDescent="0.3">
      <c r="A1661" t="s">
        <v>3469</v>
      </c>
      <c r="B1661">
        <v>3</v>
      </c>
      <c r="C1661">
        <v>798119</v>
      </c>
      <c r="D1661">
        <v>1</v>
      </c>
      <c r="E1661">
        <v>184000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5</v>
      </c>
      <c r="BC1661" s="1">
        <v>1166119</v>
      </c>
      <c r="BD1661" t="s">
        <v>94</v>
      </c>
      <c r="BE1661" t="s">
        <v>3470</v>
      </c>
      <c r="BF1661" t="s">
        <v>3471</v>
      </c>
      <c r="BH1661" t="s">
        <v>77</v>
      </c>
      <c r="BI1661" t="s">
        <v>92</v>
      </c>
      <c r="BJ1661" t="s">
        <v>79</v>
      </c>
      <c r="BM1661">
        <v>0</v>
      </c>
      <c r="BN1661">
        <v>2</v>
      </c>
      <c r="BO1661">
        <v>2</v>
      </c>
      <c r="BP1661" t="s">
        <v>80</v>
      </c>
      <c r="BR1661">
        <v>0</v>
      </c>
      <c r="BS1661">
        <v>6</v>
      </c>
      <c r="BU1661">
        <v>982119</v>
      </c>
    </row>
    <row r="1662" spans="1:73" x14ac:dyDescent="0.3">
      <c r="A1662" t="s">
        <v>3472</v>
      </c>
      <c r="B1662">
        <v>0</v>
      </c>
      <c r="C1662">
        <v>527273</v>
      </c>
      <c r="D1662">
        <v>4</v>
      </c>
      <c r="E1662">
        <v>231666</v>
      </c>
      <c r="F1662">
        <v>0</v>
      </c>
      <c r="G1662">
        <v>0</v>
      </c>
      <c r="H1662">
        <v>6</v>
      </c>
      <c r="I1662">
        <v>121514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7</v>
      </c>
      <c r="BC1662" s="1">
        <v>819696</v>
      </c>
      <c r="BD1662" t="s">
        <v>94</v>
      </c>
      <c r="BE1662" t="s">
        <v>3473</v>
      </c>
      <c r="BF1662" t="s">
        <v>3474</v>
      </c>
      <c r="BH1662" t="s">
        <v>97</v>
      </c>
      <c r="BI1662" t="s">
        <v>119</v>
      </c>
      <c r="BJ1662" t="s">
        <v>79</v>
      </c>
      <c r="BM1662">
        <v>0</v>
      </c>
      <c r="BN1662">
        <v>2</v>
      </c>
      <c r="BO1662">
        <v>2</v>
      </c>
      <c r="BP1662" t="s">
        <v>80</v>
      </c>
      <c r="BR1662">
        <v>0</v>
      </c>
      <c r="BS1662">
        <v>6</v>
      </c>
      <c r="BU1662">
        <v>880453</v>
      </c>
    </row>
    <row r="1663" spans="1:73" x14ac:dyDescent="0.3">
      <c r="A1663" t="s">
        <v>3475</v>
      </c>
      <c r="B1663">
        <v>2</v>
      </c>
      <c r="C1663">
        <v>446534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2</v>
      </c>
      <c r="BC1663" s="1">
        <v>446534</v>
      </c>
      <c r="BD1663" t="s">
        <v>94</v>
      </c>
      <c r="BE1663" t="s">
        <v>3476</v>
      </c>
      <c r="BF1663" t="s">
        <v>3477</v>
      </c>
      <c r="BH1663" t="s">
        <v>77</v>
      </c>
      <c r="BI1663" t="s">
        <v>228</v>
      </c>
      <c r="BJ1663" t="s">
        <v>79</v>
      </c>
      <c r="BM1663">
        <v>0</v>
      </c>
      <c r="BN1663">
        <v>1</v>
      </c>
      <c r="BO1663">
        <v>1</v>
      </c>
      <c r="BP1663" t="s">
        <v>80</v>
      </c>
      <c r="BR1663">
        <v>0</v>
      </c>
      <c r="BS1663">
        <v>6</v>
      </c>
      <c r="BU1663">
        <v>446534</v>
      </c>
    </row>
    <row r="1664" spans="1:73" x14ac:dyDescent="0.3">
      <c r="A1664" t="s">
        <v>3493</v>
      </c>
      <c r="B1664">
        <v>0</v>
      </c>
      <c r="C1664">
        <v>0</v>
      </c>
      <c r="D1664">
        <v>9</v>
      </c>
      <c r="E1664">
        <v>4714781</v>
      </c>
      <c r="F1664">
        <v>0</v>
      </c>
      <c r="G1664">
        <v>0</v>
      </c>
      <c r="H1664">
        <v>12</v>
      </c>
      <c r="I1664">
        <v>405562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78585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35</v>
      </c>
      <c r="BC1664" s="1">
        <v>12591343</v>
      </c>
      <c r="BD1664" t="s">
        <v>94</v>
      </c>
      <c r="BE1664" t="s">
        <v>3494</v>
      </c>
      <c r="BF1664" t="s">
        <v>828</v>
      </c>
      <c r="BH1664" t="s">
        <v>97</v>
      </c>
      <c r="BI1664" t="s">
        <v>119</v>
      </c>
      <c r="BJ1664" t="s">
        <v>79</v>
      </c>
      <c r="BM1664">
        <v>1</v>
      </c>
      <c r="BN1664">
        <v>2</v>
      </c>
      <c r="BO1664">
        <v>3</v>
      </c>
      <c r="BP1664" t="s">
        <v>80</v>
      </c>
      <c r="BR1664">
        <v>0</v>
      </c>
      <c r="BS1664">
        <v>6</v>
      </c>
      <c r="BU1664">
        <v>5198928</v>
      </c>
    </row>
    <row r="1665" spans="1:73" x14ac:dyDescent="0.3">
      <c r="A1665" t="s">
        <v>3495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67878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</v>
      </c>
      <c r="BC1665" s="1">
        <v>135756</v>
      </c>
      <c r="BD1665" t="s">
        <v>94</v>
      </c>
      <c r="BE1665" t="s">
        <v>3496</v>
      </c>
      <c r="BF1665" t="s">
        <v>3497</v>
      </c>
      <c r="BH1665" t="s">
        <v>97</v>
      </c>
      <c r="BI1665" t="s">
        <v>98</v>
      </c>
      <c r="BJ1665" t="s">
        <v>79</v>
      </c>
      <c r="BM1665">
        <v>1</v>
      </c>
      <c r="BN1665">
        <v>0</v>
      </c>
      <c r="BO1665">
        <v>1</v>
      </c>
      <c r="BP1665" t="s">
        <v>80</v>
      </c>
      <c r="BR1665">
        <v>0</v>
      </c>
      <c r="BS1665">
        <v>6</v>
      </c>
      <c r="BU1665">
        <v>67878</v>
      </c>
    </row>
    <row r="1666" spans="1:73" x14ac:dyDescent="0.3">
      <c r="A1666" t="s">
        <v>3512</v>
      </c>
      <c r="B1666">
        <v>1</v>
      </c>
      <c r="C1666">
        <v>513607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</v>
      </c>
      <c r="BC1666" s="1">
        <v>513607</v>
      </c>
      <c r="BD1666" t="s">
        <v>94</v>
      </c>
      <c r="BE1666" t="s">
        <v>3513</v>
      </c>
      <c r="BF1666" t="s">
        <v>3514</v>
      </c>
      <c r="BH1666" t="s">
        <v>97</v>
      </c>
      <c r="BI1666" t="s">
        <v>680</v>
      </c>
      <c r="BJ1666" t="s">
        <v>79</v>
      </c>
      <c r="BM1666">
        <v>0</v>
      </c>
      <c r="BN1666">
        <v>1</v>
      </c>
      <c r="BO1666">
        <v>1</v>
      </c>
      <c r="BP1666" t="s">
        <v>80</v>
      </c>
      <c r="BR1666">
        <v>0</v>
      </c>
      <c r="BS1666">
        <v>0</v>
      </c>
      <c r="BU1666">
        <v>513607</v>
      </c>
    </row>
    <row r="1667" spans="1:73" x14ac:dyDescent="0.3">
      <c r="A1667" t="s">
        <v>3525</v>
      </c>
      <c r="B1667">
        <v>0</v>
      </c>
      <c r="C1667">
        <v>0</v>
      </c>
      <c r="D1667">
        <v>1</v>
      </c>
      <c r="E1667">
        <v>771428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2</v>
      </c>
      <c r="BC1667" s="1">
        <v>1542856</v>
      </c>
      <c r="BD1667" t="s">
        <v>94</v>
      </c>
      <c r="BE1667" t="s">
        <v>3526</v>
      </c>
      <c r="BF1667" t="s">
        <v>3527</v>
      </c>
      <c r="BH1667" t="s">
        <v>97</v>
      </c>
      <c r="BI1667" t="s">
        <v>119</v>
      </c>
      <c r="BJ1667" t="s">
        <v>79</v>
      </c>
      <c r="BM1667">
        <v>0</v>
      </c>
      <c r="BN1667">
        <v>1</v>
      </c>
      <c r="BO1667">
        <v>1</v>
      </c>
      <c r="BP1667" t="s">
        <v>80</v>
      </c>
      <c r="BR1667">
        <v>0</v>
      </c>
      <c r="BS1667">
        <v>6</v>
      </c>
      <c r="BU1667">
        <v>771428</v>
      </c>
    </row>
    <row r="1668" spans="1:73" x14ac:dyDescent="0.3">
      <c r="A1668" t="s">
        <v>3528</v>
      </c>
      <c r="B1668">
        <v>0</v>
      </c>
      <c r="C1668">
        <v>0</v>
      </c>
      <c r="D1668">
        <v>3</v>
      </c>
      <c r="E1668">
        <v>2810000</v>
      </c>
      <c r="F1668">
        <v>0</v>
      </c>
      <c r="G1668">
        <v>0</v>
      </c>
      <c r="H1668">
        <v>3</v>
      </c>
      <c r="I1668">
        <v>60000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9</v>
      </c>
      <c r="BC1668" s="1">
        <v>5975064</v>
      </c>
      <c r="BD1668" t="s">
        <v>94</v>
      </c>
      <c r="BE1668" t="s">
        <v>3529</v>
      </c>
      <c r="BF1668" t="s">
        <v>3530</v>
      </c>
      <c r="BH1668" t="s">
        <v>97</v>
      </c>
      <c r="BI1668" t="s">
        <v>98</v>
      </c>
      <c r="BJ1668" t="s">
        <v>79</v>
      </c>
      <c r="BM1668">
        <v>0</v>
      </c>
      <c r="BN1668">
        <v>2</v>
      </c>
      <c r="BO1668">
        <v>2</v>
      </c>
      <c r="BP1668" t="s">
        <v>80</v>
      </c>
      <c r="BR1668">
        <v>0</v>
      </c>
      <c r="BS1668">
        <v>6</v>
      </c>
      <c r="BU1668">
        <v>2870000</v>
      </c>
    </row>
    <row r="1669" spans="1:73" x14ac:dyDescent="0.3">
      <c r="A1669" t="s">
        <v>3534</v>
      </c>
      <c r="B1669">
        <v>4</v>
      </c>
      <c r="C1669">
        <v>778182</v>
      </c>
      <c r="D1669">
        <v>1</v>
      </c>
      <c r="E1669">
        <v>20000</v>
      </c>
      <c r="F1669">
        <v>0</v>
      </c>
      <c r="G1669">
        <v>0</v>
      </c>
      <c r="H1669">
        <v>2</v>
      </c>
      <c r="I1669">
        <v>40000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6</v>
      </c>
      <c r="BC1669" s="1">
        <v>818182</v>
      </c>
      <c r="BD1669" t="s">
        <v>94</v>
      </c>
      <c r="BE1669" t="s">
        <v>3535</v>
      </c>
      <c r="BF1669" t="s">
        <v>3536</v>
      </c>
      <c r="BH1669" t="s">
        <v>123</v>
      </c>
      <c r="BI1669" t="s">
        <v>124</v>
      </c>
      <c r="BJ1669" t="s">
        <v>125</v>
      </c>
      <c r="BM1669">
        <v>0</v>
      </c>
      <c r="BN1669">
        <v>3</v>
      </c>
      <c r="BO1669">
        <v>3</v>
      </c>
      <c r="BP1669" t="s">
        <v>80</v>
      </c>
      <c r="BR1669">
        <v>0</v>
      </c>
      <c r="BS1669">
        <v>6</v>
      </c>
      <c r="BU1669">
        <v>838182</v>
      </c>
    </row>
    <row r="1670" spans="1:73" x14ac:dyDescent="0.3">
      <c r="A1670" t="s">
        <v>3543</v>
      </c>
      <c r="B1670">
        <v>0</v>
      </c>
      <c r="C1670">
        <v>0</v>
      </c>
      <c r="D1670">
        <v>3</v>
      </c>
      <c r="E1670">
        <v>1289658</v>
      </c>
      <c r="F1670">
        <v>0</v>
      </c>
      <c r="G1670">
        <v>0</v>
      </c>
      <c r="H1670">
        <v>4</v>
      </c>
      <c r="I1670">
        <v>179316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113333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9</v>
      </c>
      <c r="BC1670" s="1">
        <v>2700982</v>
      </c>
      <c r="BD1670" t="s">
        <v>94</v>
      </c>
      <c r="BE1670" t="s">
        <v>3544</v>
      </c>
      <c r="BF1670" t="s">
        <v>3545</v>
      </c>
      <c r="BH1670" t="s">
        <v>97</v>
      </c>
      <c r="BI1670" t="s">
        <v>119</v>
      </c>
      <c r="BJ1670" t="s">
        <v>79</v>
      </c>
      <c r="BM1670">
        <v>1</v>
      </c>
      <c r="BN1670">
        <v>2</v>
      </c>
      <c r="BO1670">
        <v>3</v>
      </c>
      <c r="BP1670" t="s">
        <v>80</v>
      </c>
      <c r="BR1670">
        <v>0</v>
      </c>
      <c r="BS1670">
        <v>6</v>
      </c>
      <c r="BU1670">
        <v>1582307</v>
      </c>
    </row>
    <row r="1671" spans="1:73" x14ac:dyDescent="0.3">
      <c r="A1671" t="s">
        <v>3549</v>
      </c>
      <c r="B1671">
        <v>0</v>
      </c>
      <c r="C1671">
        <v>0</v>
      </c>
      <c r="D1671">
        <v>6</v>
      </c>
      <c r="E1671">
        <v>2859104</v>
      </c>
      <c r="F1671">
        <v>0</v>
      </c>
      <c r="G1671">
        <v>0</v>
      </c>
      <c r="H1671">
        <v>8</v>
      </c>
      <c r="I1671">
        <v>218208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12</v>
      </c>
      <c r="BC1671" s="1">
        <v>5718208</v>
      </c>
      <c r="BD1671" t="s">
        <v>94</v>
      </c>
      <c r="BE1671" t="s">
        <v>3550</v>
      </c>
      <c r="BF1671" t="s">
        <v>2086</v>
      </c>
      <c r="BH1671" t="s">
        <v>97</v>
      </c>
      <c r="BI1671" t="s">
        <v>119</v>
      </c>
      <c r="BJ1671" t="s">
        <v>79</v>
      </c>
      <c r="BM1671">
        <v>0</v>
      </c>
      <c r="BN1671">
        <v>2</v>
      </c>
      <c r="BO1671">
        <v>2</v>
      </c>
      <c r="BP1671" t="s">
        <v>80</v>
      </c>
      <c r="BR1671">
        <v>0</v>
      </c>
      <c r="BS1671">
        <v>6</v>
      </c>
      <c r="BU1671">
        <v>3077312</v>
      </c>
    </row>
    <row r="1672" spans="1:73" x14ac:dyDescent="0.3">
      <c r="A1672" t="s">
        <v>3551</v>
      </c>
      <c r="B1672">
        <v>0</v>
      </c>
      <c r="C1672">
        <v>0</v>
      </c>
      <c r="D1672">
        <v>6</v>
      </c>
      <c r="E1672">
        <v>1312727</v>
      </c>
      <c r="F1672">
        <v>0</v>
      </c>
      <c r="G1672">
        <v>0</v>
      </c>
      <c r="H1672">
        <v>8</v>
      </c>
      <c r="I1672">
        <v>160000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75693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73535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15</v>
      </c>
      <c r="BC1672" s="1">
        <v>2850375</v>
      </c>
      <c r="BD1672" t="s">
        <v>94</v>
      </c>
      <c r="BE1672" t="s">
        <v>3552</v>
      </c>
      <c r="BF1672" t="s">
        <v>3553</v>
      </c>
      <c r="BH1672" t="s">
        <v>97</v>
      </c>
      <c r="BI1672" t="s">
        <v>265</v>
      </c>
      <c r="BJ1672" t="s">
        <v>79</v>
      </c>
      <c r="BM1672">
        <v>1</v>
      </c>
      <c r="BN1672">
        <v>3</v>
      </c>
      <c r="BO1672">
        <v>4</v>
      </c>
      <c r="BP1672" t="s">
        <v>80</v>
      </c>
      <c r="BR1672">
        <v>0</v>
      </c>
      <c r="BS1672">
        <v>6</v>
      </c>
      <c r="BU1672">
        <v>1621955</v>
      </c>
    </row>
    <row r="1673" spans="1:73" x14ac:dyDescent="0.3">
      <c r="A1673" t="s">
        <v>3563</v>
      </c>
      <c r="B1673">
        <v>49</v>
      </c>
      <c r="C1673">
        <v>28466354</v>
      </c>
      <c r="D1673">
        <v>2</v>
      </c>
      <c r="E1673">
        <v>423848</v>
      </c>
      <c r="F1673">
        <v>0</v>
      </c>
      <c r="G1673">
        <v>0</v>
      </c>
      <c r="H1673">
        <v>49</v>
      </c>
      <c r="I1673">
        <v>10520996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333334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117</v>
      </c>
      <c r="BC1673" s="1">
        <v>43017655</v>
      </c>
      <c r="BD1673" t="s">
        <v>94</v>
      </c>
      <c r="BE1673" t="s">
        <v>3564</v>
      </c>
      <c r="BF1673" t="s">
        <v>3565</v>
      </c>
      <c r="BH1673" t="s">
        <v>97</v>
      </c>
      <c r="BI1673" t="s">
        <v>119</v>
      </c>
      <c r="BJ1673" t="s">
        <v>79</v>
      </c>
      <c r="BM1673">
        <v>1</v>
      </c>
      <c r="BN1673">
        <v>3</v>
      </c>
      <c r="BO1673">
        <v>4</v>
      </c>
      <c r="BP1673" t="s">
        <v>80</v>
      </c>
      <c r="BR1673">
        <v>0</v>
      </c>
      <c r="BS1673">
        <v>3</v>
      </c>
      <c r="BU1673">
        <v>39744532</v>
      </c>
    </row>
    <row r="1674" spans="1:73" x14ac:dyDescent="0.3">
      <c r="A1674" t="s">
        <v>3566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73535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19792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3</v>
      </c>
      <c r="BC1674" s="1">
        <v>166862</v>
      </c>
      <c r="BD1674" t="s">
        <v>94</v>
      </c>
      <c r="BE1674" t="s">
        <v>3567</v>
      </c>
      <c r="BF1674" t="s">
        <v>3568</v>
      </c>
      <c r="BH1674" t="s">
        <v>97</v>
      </c>
      <c r="BI1674" t="s">
        <v>119</v>
      </c>
      <c r="BJ1674" t="s">
        <v>79</v>
      </c>
      <c r="BM1674">
        <v>2</v>
      </c>
      <c r="BN1674">
        <v>0</v>
      </c>
      <c r="BO1674">
        <v>2</v>
      </c>
      <c r="BP1674" t="s">
        <v>80</v>
      </c>
      <c r="BR1674">
        <v>0</v>
      </c>
      <c r="BS1674">
        <v>0</v>
      </c>
      <c r="BU1674">
        <v>93327</v>
      </c>
    </row>
    <row r="1675" spans="1:73" x14ac:dyDescent="0.3">
      <c r="A1675" t="s">
        <v>3577</v>
      </c>
      <c r="B1675">
        <v>0</v>
      </c>
      <c r="C1675">
        <v>0</v>
      </c>
      <c r="D1675">
        <v>1</v>
      </c>
      <c r="E1675">
        <v>230000</v>
      </c>
      <c r="F1675">
        <v>0</v>
      </c>
      <c r="G1675">
        <v>0</v>
      </c>
      <c r="H1675">
        <v>1</v>
      </c>
      <c r="I1675">
        <v>23238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2</v>
      </c>
      <c r="BC1675" s="1">
        <v>253238</v>
      </c>
      <c r="BD1675" t="s">
        <v>94</v>
      </c>
      <c r="BE1675" t="s">
        <v>3578</v>
      </c>
      <c r="BF1675" t="s">
        <v>3579</v>
      </c>
      <c r="BH1675" t="s">
        <v>97</v>
      </c>
      <c r="BI1675" t="s">
        <v>208</v>
      </c>
      <c r="BJ1675" t="s">
        <v>79</v>
      </c>
      <c r="BM1675">
        <v>0</v>
      </c>
      <c r="BN1675">
        <v>2</v>
      </c>
      <c r="BO1675">
        <v>2</v>
      </c>
      <c r="BP1675" t="s">
        <v>80</v>
      </c>
      <c r="BR1675">
        <v>0</v>
      </c>
      <c r="BS1675">
        <v>6</v>
      </c>
      <c r="BU1675">
        <v>253238</v>
      </c>
    </row>
    <row r="1676" spans="1:73" x14ac:dyDescent="0.3">
      <c r="A1676" t="s">
        <v>3580</v>
      </c>
      <c r="B1676">
        <v>0</v>
      </c>
      <c r="C1676">
        <v>0</v>
      </c>
      <c r="D1676">
        <v>7</v>
      </c>
      <c r="E1676">
        <v>1865376</v>
      </c>
      <c r="F1676">
        <v>0</v>
      </c>
      <c r="G1676">
        <v>0</v>
      </c>
      <c r="H1676">
        <v>6</v>
      </c>
      <c r="I1676">
        <v>151090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10</v>
      </c>
      <c r="BC1676" s="1">
        <v>5410571</v>
      </c>
      <c r="BD1676" t="s">
        <v>94</v>
      </c>
      <c r="BE1676" t="s">
        <v>3581</v>
      </c>
      <c r="BF1676" t="s">
        <v>3582</v>
      </c>
      <c r="BH1676" t="s">
        <v>97</v>
      </c>
      <c r="BI1676" t="s">
        <v>119</v>
      </c>
      <c r="BJ1676" t="s">
        <v>79</v>
      </c>
      <c r="BM1676">
        <v>0</v>
      </c>
      <c r="BN1676">
        <v>2</v>
      </c>
      <c r="BO1676">
        <v>2</v>
      </c>
      <c r="BP1676" t="s">
        <v>80</v>
      </c>
      <c r="BR1676">
        <v>0</v>
      </c>
      <c r="BS1676">
        <v>6</v>
      </c>
      <c r="BU1676">
        <v>2016466</v>
      </c>
    </row>
    <row r="1677" spans="1:73" x14ac:dyDescent="0.3">
      <c r="A1677" t="s">
        <v>3585</v>
      </c>
      <c r="B1677">
        <v>4</v>
      </c>
      <c r="C1677">
        <v>1154613</v>
      </c>
      <c r="D1677">
        <v>3</v>
      </c>
      <c r="E1677">
        <v>2465780</v>
      </c>
      <c r="F1677">
        <v>0</v>
      </c>
      <c r="G1677">
        <v>0</v>
      </c>
      <c r="H1677">
        <v>4</v>
      </c>
      <c r="I1677">
        <v>302990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73535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12</v>
      </c>
      <c r="BC1677" s="1">
        <v>6233243</v>
      </c>
      <c r="BD1677" t="s">
        <v>94</v>
      </c>
      <c r="BE1677" t="s">
        <v>3586</v>
      </c>
      <c r="BF1677" t="s">
        <v>1773</v>
      </c>
      <c r="BH1677" t="s">
        <v>97</v>
      </c>
      <c r="BI1677" t="s">
        <v>119</v>
      </c>
      <c r="BJ1677" t="s">
        <v>79</v>
      </c>
      <c r="BM1677">
        <v>1</v>
      </c>
      <c r="BN1677">
        <v>3</v>
      </c>
      <c r="BO1677">
        <v>4</v>
      </c>
      <c r="BP1677" t="s">
        <v>80</v>
      </c>
      <c r="BR1677">
        <v>0</v>
      </c>
      <c r="BS1677">
        <v>6</v>
      </c>
      <c r="BU1677">
        <v>3996918</v>
      </c>
    </row>
    <row r="1678" spans="1:73" x14ac:dyDescent="0.3">
      <c r="A1678" t="s">
        <v>3587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68334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</v>
      </c>
      <c r="BC1678" s="1">
        <v>68334</v>
      </c>
      <c r="BD1678" t="s">
        <v>94</v>
      </c>
      <c r="BE1678" t="s">
        <v>3588</v>
      </c>
      <c r="BF1678" t="s">
        <v>2130</v>
      </c>
      <c r="BH1678" t="s">
        <v>97</v>
      </c>
      <c r="BI1678" t="s">
        <v>119</v>
      </c>
      <c r="BJ1678" t="s">
        <v>79</v>
      </c>
      <c r="BM1678">
        <v>1</v>
      </c>
      <c r="BN1678">
        <v>0</v>
      </c>
      <c r="BO1678">
        <v>1</v>
      </c>
      <c r="BP1678" t="s">
        <v>80</v>
      </c>
      <c r="BR1678">
        <v>0</v>
      </c>
      <c r="BS1678">
        <v>0</v>
      </c>
      <c r="BU1678">
        <v>68334</v>
      </c>
    </row>
    <row r="1679" spans="1:73" x14ac:dyDescent="0.3">
      <c r="A1679" t="s">
        <v>3598</v>
      </c>
      <c r="B1679">
        <v>0</v>
      </c>
      <c r="C1679">
        <v>0</v>
      </c>
      <c r="D1679">
        <v>2</v>
      </c>
      <c r="E1679">
        <v>510000</v>
      </c>
      <c r="F1679">
        <v>0</v>
      </c>
      <c r="G1679">
        <v>0</v>
      </c>
      <c r="H1679">
        <v>1</v>
      </c>
      <c r="I1679">
        <v>20000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3</v>
      </c>
      <c r="BC1679" s="1">
        <v>530000</v>
      </c>
      <c r="BD1679" t="s">
        <v>94</v>
      </c>
      <c r="BE1679" t="s">
        <v>3599</v>
      </c>
      <c r="BF1679" t="s">
        <v>3600</v>
      </c>
      <c r="BH1679" t="s">
        <v>97</v>
      </c>
      <c r="BI1679" t="s">
        <v>242</v>
      </c>
      <c r="BJ1679" t="s">
        <v>79</v>
      </c>
      <c r="BM1679">
        <v>0</v>
      </c>
      <c r="BN1679">
        <v>2</v>
      </c>
      <c r="BO1679">
        <v>2</v>
      </c>
      <c r="BP1679" t="s">
        <v>80</v>
      </c>
      <c r="BR1679">
        <v>0</v>
      </c>
      <c r="BS1679">
        <v>6</v>
      </c>
      <c r="BU1679">
        <v>530000</v>
      </c>
    </row>
    <row r="1680" spans="1:73" x14ac:dyDescent="0.3">
      <c r="A1680" t="s">
        <v>3610</v>
      </c>
      <c r="B1680">
        <v>1</v>
      </c>
      <c r="C1680">
        <v>541559</v>
      </c>
      <c r="D1680">
        <v>1</v>
      </c>
      <c r="E1680">
        <v>320000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2</v>
      </c>
      <c r="BC1680" s="1">
        <v>861559</v>
      </c>
      <c r="BD1680" t="s">
        <v>94</v>
      </c>
      <c r="BE1680" t="s">
        <v>3611</v>
      </c>
      <c r="BF1680" t="s">
        <v>3612</v>
      </c>
      <c r="BH1680" t="s">
        <v>114</v>
      </c>
      <c r="BI1680" t="s">
        <v>3613</v>
      </c>
      <c r="BJ1680" t="s">
        <v>79</v>
      </c>
      <c r="BM1680">
        <v>0</v>
      </c>
      <c r="BN1680">
        <v>2</v>
      </c>
      <c r="BO1680">
        <v>2</v>
      </c>
      <c r="BP1680" t="s">
        <v>80</v>
      </c>
      <c r="BR1680">
        <v>0</v>
      </c>
      <c r="BS1680">
        <v>6</v>
      </c>
      <c r="BU1680">
        <v>861559</v>
      </c>
    </row>
    <row r="1681" spans="1:73" x14ac:dyDescent="0.3">
      <c r="A1681" t="s">
        <v>3621</v>
      </c>
      <c r="B1681">
        <v>0</v>
      </c>
      <c r="C1681">
        <v>0</v>
      </c>
      <c r="D1681">
        <v>1</v>
      </c>
      <c r="E1681">
        <v>677420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2</v>
      </c>
      <c r="BC1681" s="1">
        <v>1354840</v>
      </c>
      <c r="BD1681" t="s">
        <v>94</v>
      </c>
      <c r="BE1681" t="s">
        <v>3622</v>
      </c>
      <c r="BF1681" t="s">
        <v>3623</v>
      </c>
      <c r="BH1681" t="s">
        <v>97</v>
      </c>
      <c r="BI1681" t="s">
        <v>208</v>
      </c>
      <c r="BJ1681" t="s">
        <v>79</v>
      </c>
      <c r="BM1681">
        <v>0</v>
      </c>
      <c r="BN1681">
        <v>1</v>
      </c>
      <c r="BO1681">
        <v>1</v>
      </c>
      <c r="BP1681" t="s">
        <v>80</v>
      </c>
      <c r="BR1681">
        <v>0</v>
      </c>
      <c r="BS1681">
        <v>6</v>
      </c>
      <c r="BU1681">
        <v>677420</v>
      </c>
    </row>
    <row r="1682" spans="1:73" x14ac:dyDescent="0.3">
      <c r="A1682" t="s">
        <v>3624</v>
      </c>
      <c r="B1682">
        <v>1</v>
      </c>
      <c r="C1682">
        <v>189344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 s="1">
        <v>189344</v>
      </c>
      <c r="BD1682" t="s">
        <v>94</v>
      </c>
      <c r="BE1682" t="s">
        <v>3625</v>
      </c>
      <c r="BF1682" t="s">
        <v>3626</v>
      </c>
      <c r="BH1682" t="s">
        <v>97</v>
      </c>
      <c r="BI1682" t="s">
        <v>208</v>
      </c>
      <c r="BJ1682" t="s">
        <v>79</v>
      </c>
      <c r="BM1682">
        <v>0</v>
      </c>
      <c r="BN1682">
        <v>1</v>
      </c>
      <c r="BO1682">
        <v>1</v>
      </c>
      <c r="BP1682" t="s">
        <v>80</v>
      </c>
      <c r="BR1682">
        <v>0</v>
      </c>
      <c r="BS1682">
        <v>6</v>
      </c>
      <c r="BU1682">
        <v>189344</v>
      </c>
    </row>
    <row r="1683" spans="1:73" x14ac:dyDescent="0.3">
      <c r="A1683" t="s">
        <v>3627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78585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1</v>
      </c>
      <c r="BC1683" s="1">
        <v>78585</v>
      </c>
      <c r="BD1683" t="s">
        <v>94</v>
      </c>
      <c r="BE1683" t="s">
        <v>3628</v>
      </c>
      <c r="BF1683" t="s">
        <v>3629</v>
      </c>
      <c r="BH1683" t="s">
        <v>97</v>
      </c>
      <c r="BI1683" t="s">
        <v>208</v>
      </c>
      <c r="BJ1683" t="s">
        <v>79</v>
      </c>
      <c r="BM1683">
        <v>1</v>
      </c>
      <c r="BN1683">
        <v>0</v>
      </c>
      <c r="BO1683">
        <v>1</v>
      </c>
      <c r="BP1683" t="s">
        <v>80</v>
      </c>
      <c r="BR1683">
        <v>0</v>
      </c>
      <c r="BS1683">
        <v>0</v>
      </c>
      <c r="BU1683">
        <v>78585</v>
      </c>
    </row>
    <row r="1684" spans="1:73" x14ac:dyDescent="0.3">
      <c r="A1684" t="s">
        <v>3639</v>
      </c>
      <c r="B1684">
        <v>0</v>
      </c>
      <c r="C1684">
        <v>0</v>
      </c>
      <c r="D1684">
        <v>5</v>
      </c>
      <c r="E1684">
        <v>3234156</v>
      </c>
      <c r="F1684">
        <v>0</v>
      </c>
      <c r="G1684">
        <v>0</v>
      </c>
      <c r="H1684">
        <v>6</v>
      </c>
      <c r="I1684">
        <v>125454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10</v>
      </c>
      <c r="BC1684" s="1">
        <v>6468312</v>
      </c>
      <c r="BD1684" t="s">
        <v>94</v>
      </c>
      <c r="BE1684" t="s">
        <v>3640</v>
      </c>
      <c r="BF1684" t="s">
        <v>3345</v>
      </c>
      <c r="BH1684" t="s">
        <v>97</v>
      </c>
      <c r="BI1684" t="s">
        <v>208</v>
      </c>
      <c r="BJ1684" t="s">
        <v>79</v>
      </c>
      <c r="BM1684">
        <v>0</v>
      </c>
      <c r="BN1684">
        <v>2</v>
      </c>
      <c r="BO1684">
        <v>2</v>
      </c>
      <c r="BP1684" t="s">
        <v>80</v>
      </c>
      <c r="BR1684">
        <v>0</v>
      </c>
      <c r="BS1684">
        <v>6</v>
      </c>
      <c r="BU1684">
        <v>3359610</v>
      </c>
    </row>
    <row r="1685" spans="1:73" x14ac:dyDescent="0.3">
      <c r="A1685" t="s">
        <v>3653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73535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2</v>
      </c>
      <c r="BC1685" s="1">
        <v>147070</v>
      </c>
      <c r="BD1685" t="s">
        <v>94</v>
      </c>
      <c r="BE1685" t="s">
        <v>3654</v>
      </c>
      <c r="BF1685" t="s">
        <v>3655</v>
      </c>
      <c r="BH1685" t="s">
        <v>97</v>
      </c>
      <c r="BI1685" t="s">
        <v>208</v>
      </c>
      <c r="BJ1685" t="s">
        <v>79</v>
      </c>
      <c r="BM1685">
        <v>1</v>
      </c>
      <c r="BN1685">
        <v>0</v>
      </c>
      <c r="BO1685">
        <v>1</v>
      </c>
      <c r="BP1685" t="s">
        <v>80</v>
      </c>
      <c r="BR1685">
        <v>0</v>
      </c>
      <c r="BS1685">
        <v>0</v>
      </c>
      <c r="BU1685">
        <v>73535</v>
      </c>
    </row>
    <row r="1686" spans="1:73" x14ac:dyDescent="0.3">
      <c r="A1686" t="s">
        <v>3662</v>
      </c>
      <c r="B1686">
        <v>0</v>
      </c>
      <c r="C1686">
        <v>0</v>
      </c>
      <c r="D1686">
        <v>1</v>
      </c>
      <c r="E1686">
        <v>516364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19792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4</v>
      </c>
      <c r="BC1686" s="1">
        <v>1072312</v>
      </c>
      <c r="BD1686" t="s">
        <v>94</v>
      </c>
      <c r="BE1686" t="s">
        <v>3663</v>
      </c>
      <c r="BF1686" t="s">
        <v>3664</v>
      </c>
      <c r="BH1686" t="s">
        <v>97</v>
      </c>
      <c r="BI1686" t="s">
        <v>119</v>
      </c>
      <c r="BJ1686" t="s">
        <v>79</v>
      </c>
      <c r="BM1686">
        <v>1</v>
      </c>
      <c r="BN1686">
        <v>1</v>
      </c>
      <c r="BO1686">
        <v>2</v>
      </c>
      <c r="BP1686" t="s">
        <v>80</v>
      </c>
      <c r="BR1686">
        <v>0</v>
      </c>
      <c r="BS1686">
        <v>6</v>
      </c>
      <c r="BU1686">
        <v>536156</v>
      </c>
    </row>
    <row r="1687" spans="1:73" x14ac:dyDescent="0.3">
      <c r="A1687" t="s">
        <v>3668</v>
      </c>
      <c r="B1687">
        <v>1</v>
      </c>
      <c r="C1687">
        <v>298792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 s="1">
        <v>298792</v>
      </c>
      <c r="BD1687" t="s">
        <v>94</v>
      </c>
      <c r="BE1687" t="s">
        <v>3669</v>
      </c>
      <c r="BF1687" t="s">
        <v>3670</v>
      </c>
      <c r="BH1687" t="s">
        <v>97</v>
      </c>
      <c r="BI1687" t="s">
        <v>2462</v>
      </c>
      <c r="BJ1687" t="s">
        <v>79</v>
      </c>
      <c r="BM1687">
        <v>0</v>
      </c>
      <c r="BN1687">
        <v>1</v>
      </c>
      <c r="BO1687">
        <v>1</v>
      </c>
      <c r="BP1687" t="s">
        <v>80</v>
      </c>
      <c r="BR1687">
        <v>0</v>
      </c>
      <c r="BS1687">
        <v>6</v>
      </c>
      <c r="BU1687">
        <v>298792</v>
      </c>
    </row>
    <row r="1688" spans="1:73" x14ac:dyDescent="0.3">
      <c r="A1688" t="s">
        <v>3677</v>
      </c>
      <c r="B1688">
        <v>0</v>
      </c>
      <c r="C1688">
        <v>0</v>
      </c>
      <c r="D1688">
        <v>4</v>
      </c>
      <c r="E1688">
        <v>2541440</v>
      </c>
      <c r="F1688">
        <v>0</v>
      </c>
      <c r="G1688">
        <v>0</v>
      </c>
      <c r="H1688">
        <v>6</v>
      </c>
      <c r="I1688">
        <v>282880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73535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10</v>
      </c>
      <c r="BC1688" s="1">
        <v>5229950</v>
      </c>
      <c r="BD1688" t="s">
        <v>94</v>
      </c>
      <c r="BE1688" t="s">
        <v>3678</v>
      </c>
      <c r="BF1688" t="s">
        <v>3536</v>
      </c>
      <c r="BH1688" t="s">
        <v>97</v>
      </c>
      <c r="BI1688" t="s">
        <v>265</v>
      </c>
      <c r="BJ1688" t="s">
        <v>79</v>
      </c>
      <c r="BM1688">
        <v>1</v>
      </c>
      <c r="BN1688">
        <v>2</v>
      </c>
      <c r="BO1688">
        <v>3</v>
      </c>
      <c r="BP1688" t="s">
        <v>80</v>
      </c>
      <c r="BR1688">
        <v>0</v>
      </c>
      <c r="BS1688">
        <v>6</v>
      </c>
      <c r="BU1688">
        <v>2897855</v>
      </c>
    </row>
    <row r="1689" spans="1:73" x14ac:dyDescent="0.3">
      <c r="A1689" t="s">
        <v>3679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73535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2</v>
      </c>
      <c r="BC1689" s="1">
        <v>147070</v>
      </c>
      <c r="BD1689" t="s">
        <v>94</v>
      </c>
      <c r="BE1689" t="s">
        <v>3680</v>
      </c>
      <c r="BF1689" t="s">
        <v>3681</v>
      </c>
      <c r="BH1689" t="s">
        <v>97</v>
      </c>
      <c r="BI1689" t="s">
        <v>208</v>
      </c>
      <c r="BJ1689" t="s">
        <v>79</v>
      </c>
      <c r="BM1689">
        <v>1</v>
      </c>
      <c r="BN1689">
        <v>0</v>
      </c>
      <c r="BO1689">
        <v>1</v>
      </c>
      <c r="BP1689" t="s">
        <v>80</v>
      </c>
      <c r="BR1689">
        <v>0</v>
      </c>
      <c r="BS1689">
        <v>6</v>
      </c>
      <c r="BU1689">
        <v>73535</v>
      </c>
    </row>
    <row r="1690" spans="1:73" x14ac:dyDescent="0.3">
      <c r="A1690" t="s">
        <v>3682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19792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 s="1">
        <v>19792</v>
      </c>
      <c r="BD1690" t="s">
        <v>94</v>
      </c>
      <c r="BE1690" t="s">
        <v>3683</v>
      </c>
      <c r="BF1690" t="s">
        <v>3684</v>
      </c>
      <c r="BH1690" t="s">
        <v>97</v>
      </c>
      <c r="BI1690" t="s">
        <v>119</v>
      </c>
      <c r="BJ1690" t="s">
        <v>79</v>
      </c>
      <c r="BM1690">
        <v>1</v>
      </c>
      <c r="BN1690">
        <v>0</v>
      </c>
      <c r="BO1690">
        <v>1</v>
      </c>
      <c r="BP1690" t="s">
        <v>80</v>
      </c>
      <c r="BR1690">
        <v>0</v>
      </c>
      <c r="BS1690">
        <v>0</v>
      </c>
      <c r="BU1690">
        <v>19792</v>
      </c>
    </row>
    <row r="1691" spans="1:73" x14ac:dyDescent="0.3">
      <c r="A1691" t="s">
        <v>3688</v>
      </c>
      <c r="B1691">
        <v>0</v>
      </c>
      <c r="C1691">
        <v>0</v>
      </c>
      <c r="D1691">
        <v>4</v>
      </c>
      <c r="E1691">
        <v>657638</v>
      </c>
      <c r="F1691">
        <v>0</v>
      </c>
      <c r="G1691">
        <v>0</v>
      </c>
      <c r="H1691">
        <v>6</v>
      </c>
      <c r="I1691">
        <v>315276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8</v>
      </c>
      <c r="BC1691" s="1">
        <v>1315276</v>
      </c>
      <c r="BD1691" t="s">
        <v>94</v>
      </c>
      <c r="BE1691" t="s">
        <v>3689</v>
      </c>
      <c r="BF1691" t="s">
        <v>3690</v>
      </c>
      <c r="BH1691" t="s">
        <v>97</v>
      </c>
      <c r="BI1691" t="s">
        <v>119</v>
      </c>
      <c r="BJ1691" t="s">
        <v>79</v>
      </c>
      <c r="BM1691">
        <v>0</v>
      </c>
      <c r="BN1691">
        <v>2</v>
      </c>
      <c r="BO1691">
        <v>2</v>
      </c>
      <c r="BP1691" t="s">
        <v>80</v>
      </c>
      <c r="BR1691">
        <v>0</v>
      </c>
      <c r="BS1691">
        <v>6</v>
      </c>
      <c r="BU1691">
        <v>972914</v>
      </c>
    </row>
    <row r="1692" spans="1:73" x14ac:dyDescent="0.3">
      <c r="A1692" t="s">
        <v>3697</v>
      </c>
      <c r="B1692">
        <v>1</v>
      </c>
      <c r="C1692">
        <v>235659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</v>
      </c>
      <c r="BC1692" s="1">
        <v>235659</v>
      </c>
      <c r="BD1692" t="s">
        <v>94</v>
      </c>
      <c r="BE1692" t="s">
        <v>3698</v>
      </c>
      <c r="BF1692" t="s">
        <v>3699</v>
      </c>
      <c r="BH1692" t="s">
        <v>97</v>
      </c>
      <c r="BI1692" t="s">
        <v>1006</v>
      </c>
      <c r="BJ1692" t="s">
        <v>79</v>
      </c>
      <c r="BM1692">
        <v>0</v>
      </c>
      <c r="BN1692">
        <v>1</v>
      </c>
      <c r="BO1692">
        <v>1</v>
      </c>
      <c r="BP1692" t="s">
        <v>80</v>
      </c>
      <c r="BR1692">
        <v>0</v>
      </c>
      <c r="BS1692">
        <v>6</v>
      </c>
      <c r="BU1692">
        <v>235659</v>
      </c>
    </row>
    <row r="1693" spans="1:73" x14ac:dyDescent="0.3">
      <c r="A1693" t="s">
        <v>3706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2</v>
      </c>
      <c r="I1693">
        <v>40000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2</v>
      </c>
      <c r="BC1693" s="1">
        <v>40000</v>
      </c>
      <c r="BD1693" t="s">
        <v>94</v>
      </c>
      <c r="BE1693" t="s">
        <v>3707</v>
      </c>
      <c r="BF1693" t="s">
        <v>3708</v>
      </c>
      <c r="BH1693" t="s">
        <v>97</v>
      </c>
      <c r="BI1693" t="s">
        <v>265</v>
      </c>
      <c r="BJ1693" t="s">
        <v>79</v>
      </c>
      <c r="BM1693">
        <v>0</v>
      </c>
      <c r="BN1693">
        <v>1</v>
      </c>
      <c r="BO1693">
        <v>1</v>
      </c>
      <c r="BP1693" t="s">
        <v>80</v>
      </c>
      <c r="BR1693">
        <v>0</v>
      </c>
      <c r="BS1693">
        <v>6</v>
      </c>
      <c r="BU1693">
        <v>40000</v>
      </c>
    </row>
    <row r="1694" spans="1:73" x14ac:dyDescent="0.3">
      <c r="A1694" t="s">
        <v>3724</v>
      </c>
      <c r="B1694">
        <v>0</v>
      </c>
      <c r="C1694">
        <v>0</v>
      </c>
      <c r="D1694">
        <v>5</v>
      </c>
      <c r="E1694">
        <v>1896094</v>
      </c>
      <c r="F1694">
        <v>0</v>
      </c>
      <c r="G1694">
        <v>0</v>
      </c>
      <c r="H1694">
        <v>8</v>
      </c>
      <c r="I1694">
        <v>192188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68334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13</v>
      </c>
      <c r="BC1694" s="1">
        <v>3928855</v>
      </c>
      <c r="BD1694" t="s">
        <v>94</v>
      </c>
      <c r="BE1694" t="s">
        <v>3725</v>
      </c>
      <c r="BF1694" t="s">
        <v>3726</v>
      </c>
      <c r="BH1694" t="s">
        <v>97</v>
      </c>
      <c r="BI1694" t="s">
        <v>119</v>
      </c>
      <c r="BJ1694" t="s">
        <v>79</v>
      </c>
      <c r="BM1694">
        <v>1</v>
      </c>
      <c r="BN1694">
        <v>2</v>
      </c>
      <c r="BO1694">
        <v>3</v>
      </c>
      <c r="BP1694" t="s">
        <v>80</v>
      </c>
      <c r="BR1694">
        <v>0</v>
      </c>
      <c r="BS1694">
        <v>6</v>
      </c>
      <c r="BU1694">
        <v>2156616</v>
      </c>
    </row>
    <row r="1695" spans="1:73" x14ac:dyDescent="0.3">
      <c r="A1695" t="s">
        <v>3751</v>
      </c>
      <c r="B1695">
        <v>0</v>
      </c>
      <c r="C1695">
        <v>0</v>
      </c>
      <c r="D1695">
        <v>1</v>
      </c>
      <c r="E1695">
        <v>1157143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78585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4</v>
      </c>
      <c r="BC1695" s="1">
        <v>2471456</v>
      </c>
      <c r="BD1695" t="s">
        <v>94</v>
      </c>
      <c r="BE1695" t="s">
        <v>3752</v>
      </c>
      <c r="BF1695" t="s">
        <v>3753</v>
      </c>
      <c r="BH1695" t="s">
        <v>97</v>
      </c>
      <c r="BI1695" t="s">
        <v>119</v>
      </c>
      <c r="BJ1695" t="s">
        <v>79</v>
      </c>
      <c r="BM1695">
        <v>1</v>
      </c>
      <c r="BN1695">
        <v>1</v>
      </c>
      <c r="BO1695">
        <v>2</v>
      </c>
      <c r="BP1695" t="s">
        <v>80</v>
      </c>
      <c r="BR1695">
        <v>0</v>
      </c>
      <c r="BS1695">
        <v>6</v>
      </c>
      <c r="BU1695">
        <v>1235728</v>
      </c>
    </row>
    <row r="1696" spans="1:73" x14ac:dyDescent="0.3">
      <c r="A1696" t="s">
        <v>3765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73535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 s="1">
        <v>73535</v>
      </c>
      <c r="BD1696" t="s">
        <v>94</v>
      </c>
      <c r="BE1696" t="s">
        <v>3766</v>
      </c>
      <c r="BF1696" t="s">
        <v>3767</v>
      </c>
      <c r="BH1696" t="s">
        <v>97</v>
      </c>
      <c r="BI1696" t="s">
        <v>98</v>
      </c>
      <c r="BJ1696" t="s">
        <v>79</v>
      </c>
      <c r="BM1696">
        <v>1</v>
      </c>
      <c r="BN1696">
        <v>0</v>
      </c>
      <c r="BO1696">
        <v>1</v>
      </c>
      <c r="BP1696" t="s">
        <v>80</v>
      </c>
      <c r="BR1696">
        <v>0</v>
      </c>
      <c r="BS1696">
        <v>0</v>
      </c>
      <c r="BU1696">
        <v>73535</v>
      </c>
    </row>
    <row r="1697" spans="1:73" x14ac:dyDescent="0.3">
      <c r="A1697" t="s">
        <v>3794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73535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2</v>
      </c>
      <c r="BC1697" s="1">
        <v>147070</v>
      </c>
      <c r="BD1697" t="s">
        <v>94</v>
      </c>
      <c r="BE1697" t="s">
        <v>3795</v>
      </c>
      <c r="BF1697" t="s">
        <v>3796</v>
      </c>
      <c r="BH1697" t="s">
        <v>97</v>
      </c>
      <c r="BI1697" t="s">
        <v>119</v>
      </c>
      <c r="BJ1697" t="s">
        <v>79</v>
      </c>
      <c r="BM1697">
        <v>1</v>
      </c>
      <c r="BN1697">
        <v>0</v>
      </c>
      <c r="BO1697">
        <v>1</v>
      </c>
      <c r="BP1697" t="s">
        <v>80</v>
      </c>
      <c r="BR1697">
        <v>0</v>
      </c>
      <c r="BS1697">
        <v>6</v>
      </c>
      <c r="BU1697">
        <v>73535</v>
      </c>
    </row>
    <row r="1698" spans="1:73" x14ac:dyDescent="0.3">
      <c r="A1698" t="s">
        <v>3800</v>
      </c>
      <c r="B1698">
        <v>0</v>
      </c>
      <c r="C1698">
        <v>0</v>
      </c>
      <c r="D1698">
        <v>2</v>
      </c>
      <c r="E1698">
        <v>518228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2</v>
      </c>
      <c r="BC1698" s="1">
        <v>518228</v>
      </c>
      <c r="BD1698" t="s">
        <v>94</v>
      </c>
      <c r="BE1698" t="s">
        <v>1599</v>
      </c>
      <c r="BF1698" t="s">
        <v>3801</v>
      </c>
      <c r="BH1698" t="s">
        <v>97</v>
      </c>
      <c r="BI1698" t="s">
        <v>98</v>
      </c>
      <c r="BJ1698" t="s">
        <v>79</v>
      </c>
      <c r="BM1698">
        <v>0</v>
      </c>
      <c r="BN1698">
        <v>1</v>
      </c>
      <c r="BO1698">
        <v>1</v>
      </c>
      <c r="BP1698" t="s">
        <v>514</v>
      </c>
      <c r="BR1698">
        <v>0</v>
      </c>
      <c r="BS1698">
        <v>6</v>
      </c>
      <c r="BU1698">
        <v>518228</v>
      </c>
    </row>
    <row r="1699" spans="1:73" x14ac:dyDescent="0.3">
      <c r="A1699" t="s">
        <v>3808</v>
      </c>
      <c r="B1699">
        <v>0</v>
      </c>
      <c r="C1699">
        <v>0</v>
      </c>
      <c r="D1699">
        <v>3</v>
      </c>
      <c r="E1699">
        <v>1483953</v>
      </c>
      <c r="F1699">
        <v>0</v>
      </c>
      <c r="G1699">
        <v>0</v>
      </c>
      <c r="H1699">
        <v>2</v>
      </c>
      <c r="I1699">
        <v>77620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5</v>
      </c>
      <c r="BC1699" s="1">
        <v>2679906</v>
      </c>
      <c r="BD1699" t="s">
        <v>94</v>
      </c>
      <c r="BE1699" t="s">
        <v>3809</v>
      </c>
      <c r="BF1699" t="s">
        <v>3810</v>
      </c>
      <c r="BH1699" t="s">
        <v>97</v>
      </c>
      <c r="BI1699" t="s">
        <v>119</v>
      </c>
      <c r="BJ1699" t="s">
        <v>79</v>
      </c>
      <c r="BM1699">
        <v>0</v>
      </c>
      <c r="BN1699">
        <v>2</v>
      </c>
      <c r="BO1699">
        <v>2</v>
      </c>
      <c r="BP1699" t="s">
        <v>80</v>
      </c>
      <c r="BR1699">
        <v>0</v>
      </c>
      <c r="BS1699">
        <v>6</v>
      </c>
      <c r="BU1699">
        <v>1561573</v>
      </c>
    </row>
    <row r="1700" spans="1:73" x14ac:dyDescent="0.3">
      <c r="A1700" t="s">
        <v>3811</v>
      </c>
      <c r="B1700">
        <v>0</v>
      </c>
      <c r="C1700">
        <v>0</v>
      </c>
      <c r="D1700">
        <v>1</v>
      </c>
      <c r="E1700">
        <v>857143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2</v>
      </c>
      <c r="BC1700" s="1">
        <v>1714286</v>
      </c>
      <c r="BD1700" t="s">
        <v>94</v>
      </c>
      <c r="BE1700" t="s">
        <v>3812</v>
      </c>
      <c r="BF1700" t="s">
        <v>1773</v>
      </c>
      <c r="BH1700" t="s">
        <v>97</v>
      </c>
      <c r="BI1700" t="s">
        <v>119</v>
      </c>
      <c r="BJ1700" t="s">
        <v>79</v>
      </c>
      <c r="BM1700">
        <v>0</v>
      </c>
      <c r="BN1700">
        <v>1</v>
      </c>
      <c r="BO1700">
        <v>1</v>
      </c>
      <c r="BP1700" t="s">
        <v>80</v>
      </c>
      <c r="BR1700">
        <v>0</v>
      </c>
      <c r="BS1700">
        <v>6</v>
      </c>
      <c r="BU1700">
        <v>857143</v>
      </c>
    </row>
    <row r="1701" spans="1:73" x14ac:dyDescent="0.3">
      <c r="A1701" t="s">
        <v>3819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73535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2</v>
      </c>
      <c r="BC1701" s="1">
        <v>147070</v>
      </c>
      <c r="BD1701" t="s">
        <v>94</v>
      </c>
      <c r="BE1701" t="s">
        <v>3820</v>
      </c>
      <c r="BF1701" t="s">
        <v>3821</v>
      </c>
      <c r="BH1701" t="s">
        <v>97</v>
      </c>
      <c r="BI1701" t="s">
        <v>242</v>
      </c>
      <c r="BJ1701" t="s">
        <v>79</v>
      </c>
      <c r="BM1701">
        <v>1</v>
      </c>
      <c r="BN1701">
        <v>0</v>
      </c>
      <c r="BO1701">
        <v>1</v>
      </c>
      <c r="BP1701" t="s">
        <v>80</v>
      </c>
      <c r="BR1701">
        <v>0</v>
      </c>
      <c r="BS1701">
        <v>0</v>
      </c>
      <c r="BU1701">
        <v>73535</v>
      </c>
    </row>
    <row r="1702" spans="1:73" x14ac:dyDescent="0.3">
      <c r="A1702" t="s">
        <v>3825</v>
      </c>
      <c r="B1702">
        <v>1</v>
      </c>
      <c r="C1702">
        <v>205592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7916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2</v>
      </c>
      <c r="BC1702" s="1">
        <v>213508</v>
      </c>
      <c r="BD1702" t="s">
        <v>94</v>
      </c>
      <c r="BE1702" t="s">
        <v>3826</v>
      </c>
      <c r="BF1702" t="s">
        <v>3827</v>
      </c>
      <c r="BH1702" t="s">
        <v>97</v>
      </c>
      <c r="BI1702" t="s">
        <v>208</v>
      </c>
      <c r="BJ1702" t="s">
        <v>79</v>
      </c>
      <c r="BM1702">
        <v>1</v>
      </c>
      <c r="BN1702">
        <v>1</v>
      </c>
      <c r="BO1702">
        <v>2</v>
      </c>
      <c r="BP1702" t="s">
        <v>80</v>
      </c>
      <c r="BR1702">
        <v>0</v>
      </c>
      <c r="BS1702">
        <v>0</v>
      </c>
      <c r="BU1702">
        <v>213508</v>
      </c>
    </row>
    <row r="1703" spans="1:73" x14ac:dyDescent="0.3">
      <c r="A1703" t="s">
        <v>3834</v>
      </c>
      <c r="B1703">
        <v>0</v>
      </c>
      <c r="C1703">
        <v>0</v>
      </c>
      <c r="D1703">
        <v>3</v>
      </c>
      <c r="E1703">
        <v>2050221</v>
      </c>
      <c r="F1703">
        <v>0</v>
      </c>
      <c r="G1703">
        <v>0</v>
      </c>
      <c r="H1703">
        <v>4</v>
      </c>
      <c r="I1703">
        <v>100442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7</v>
      </c>
      <c r="BC1703" s="1">
        <v>4957585</v>
      </c>
      <c r="BD1703" t="s">
        <v>94</v>
      </c>
      <c r="BE1703" t="s">
        <v>3835</v>
      </c>
      <c r="BF1703" t="s">
        <v>3836</v>
      </c>
      <c r="BH1703" t="s">
        <v>97</v>
      </c>
      <c r="BI1703" t="s">
        <v>119</v>
      </c>
      <c r="BJ1703" t="s">
        <v>79</v>
      </c>
      <c r="BM1703">
        <v>0</v>
      </c>
      <c r="BN1703">
        <v>2</v>
      </c>
      <c r="BO1703">
        <v>2</v>
      </c>
      <c r="BP1703" t="s">
        <v>80</v>
      </c>
      <c r="BR1703">
        <v>0</v>
      </c>
      <c r="BS1703">
        <v>6</v>
      </c>
      <c r="BU1703">
        <v>2150663</v>
      </c>
    </row>
    <row r="1704" spans="1:73" x14ac:dyDescent="0.3">
      <c r="A1704" t="s">
        <v>3837</v>
      </c>
      <c r="B1704">
        <v>0</v>
      </c>
      <c r="C1704">
        <v>0</v>
      </c>
      <c r="D1704">
        <v>6</v>
      </c>
      <c r="E1704">
        <v>1027615</v>
      </c>
      <c r="F1704">
        <v>1</v>
      </c>
      <c r="G1704">
        <v>27338000</v>
      </c>
      <c r="H1704">
        <v>10</v>
      </c>
      <c r="I1704">
        <v>255230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14</v>
      </c>
      <c r="BC1704" s="1">
        <v>56731230</v>
      </c>
      <c r="BD1704" t="s">
        <v>94</v>
      </c>
      <c r="BE1704" t="s">
        <v>3838</v>
      </c>
      <c r="BF1704" t="s">
        <v>3839</v>
      </c>
      <c r="BH1704" t="s">
        <v>97</v>
      </c>
      <c r="BI1704" t="s">
        <v>119</v>
      </c>
      <c r="BJ1704" t="s">
        <v>79</v>
      </c>
      <c r="BM1704">
        <v>0</v>
      </c>
      <c r="BN1704">
        <v>3</v>
      </c>
      <c r="BO1704">
        <v>3</v>
      </c>
      <c r="BP1704" t="s">
        <v>80</v>
      </c>
      <c r="BR1704">
        <v>0</v>
      </c>
      <c r="BS1704">
        <v>4</v>
      </c>
      <c r="BU1704">
        <v>28620845</v>
      </c>
    </row>
    <row r="1705" spans="1:73" x14ac:dyDescent="0.3">
      <c r="A1705" t="s">
        <v>3849</v>
      </c>
      <c r="B1705">
        <v>1</v>
      </c>
      <c r="C1705">
        <v>474567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 s="1">
        <v>474567</v>
      </c>
      <c r="BD1705" t="s">
        <v>94</v>
      </c>
      <c r="BE1705" t="s">
        <v>3850</v>
      </c>
      <c r="BF1705" t="s">
        <v>3851</v>
      </c>
      <c r="BH1705" t="s">
        <v>97</v>
      </c>
      <c r="BI1705" t="s">
        <v>559</v>
      </c>
      <c r="BJ1705" t="s">
        <v>79</v>
      </c>
      <c r="BM1705">
        <v>0</v>
      </c>
      <c r="BN1705">
        <v>1</v>
      </c>
      <c r="BO1705">
        <v>1</v>
      </c>
      <c r="BP1705" t="s">
        <v>80</v>
      </c>
      <c r="BR1705">
        <v>0</v>
      </c>
      <c r="BS1705">
        <v>6</v>
      </c>
      <c r="BU1705">
        <v>474567</v>
      </c>
    </row>
    <row r="1706" spans="1:73" x14ac:dyDescent="0.3">
      <c r="A1706" t="s">
        <v>3855</v>
      </c>
      <c r="B1706">
        <v>0</v>
      </c>
      <c r="C1706">
        <v>0</v>
      </c>
      <c r="D1706">
        <v>5</v>
      </c>
      <c r="E1706">
        <v>2286510</v>
      </c>
      <c r="F1706">
        <v>0</v>
      </c>
      <c r="G1706">
        <v>0</v>
      </c>
      <c r="H1706">
        <v>8</v>
      </c>
      <c r="I1706">
        <v>173020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</v>
      </c>
      <c r="Z1706">
        <v>147070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19792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16</v>
      </c>
      <c r="BC1706" s="1">
        <v>4906744</v>
      </c>
      <c r="BD1706" t="s">
        <v>94</v>
      </c>
      <c r="BE1706" t="s">
        <v>3856</v>
      </c>
      <c r="BF1706" t="s">
        <v>3857</v>
      </c>
      <c r="BH1706" t="s">
        <v>97</v>
      </c>
      <c r="BI1706" t="s">
        <v>119</v>
      </c>
      <c r="BJ1706" t="s">
        <v>79</v>
      </c>
      <c r="BM1706">
        <v>2</v>
      </c>
      <c r="BN1706">
        <v>2</v>
      </c>
      <c r="BO1706">
        <v>4</v>
      </c>
      <c r="BP1706" t="s">
        <v>80</v>
      </c>
      <c r="BR1706">
        <v>0</v>
      </c>
      <c r="BS1706">
        <v>6</v>
      </c>
      <c r="BU1706">
        <v>2626392</v>
      </c>
    </row>
    <row r="1707" spans="1:73" x14ac:dyDescent="0.3">
      <c r="A1707" t="s">
        <v>3872</v>
      </c>
      <c r="B1707">
        <v>0</v>
      </c>
      <c r="C1707">
        <v>0</v>
      </c>
      <c r="D1707">
        <v>4</v>
      </c>
      <c r="E1707">
        <v>810727</v>
      </c>
      <c r="F1707">
        <v>0</v>
      </c>
      <c r="G1707">
        <v>0</v>
      </c>
      <c r="H1707">
        <v>4</v>
      </c>
      <c r="I1707">
        <v>85454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8</v>
      </c>
      <c r="BC1707" s="1">
        <v>1621454</v>
      </c>
      <c r="BD1707" t="s">
        <v>94</v>
      </c>
      <c r="BE1707" t="s">
        <v>3873</v>
      </c>
      <c r="BF1707" t="s">
        <v>3874</v>
      </c>
      <c r="BH1707" t="s">
        <v>97</v>
      </c>
      <c r="BI1707" t="s">
        <v>119</v>
      </c>
      <c r="BJ1707" t="s">
        <v>79</v>
      </c>
      <c r="BM1707">
        <v>0</v>
      </c>
      <c r="BN1707">
        <v>2</v>
      </c>
      <c r="BO1707">
        <v>2</v>
      </c>
      <c r="BP1707" t="s">
        <v>80</v>
      </c>
      <c r="BR1707">
        <v>0</v>
      </c>
      <c r="BS1707">
        <v>6</v>
      </c>
      <c r="BU1707">
        <v>896181</v>
      </c>
    </row>
    <row r="1708" spans="1:73" x14ac:dyDescent="0.3">
      <c r="A1708" t="s">
        <v>3875</v>
      </c>
      <c r="B1708">
        <v>1</v>
      </c>
      <c r="C1708">
        <v>215779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 s="1">
        <v>215779</v>
      </c>
      <c r="BD1708" t="s">
        <v>94</v>
      </c>
      <c r="BE1708" t="s">
        <v>3876</v>
      </c>
      <c r="BF1708" t="s">
        <v>3877</v>
      </c>
      <c r="BH1708" t="s">
        <v>97</v>
      </c>
      <c r="BI1708" t="s">
        <v>208</v>
      </c>
      <c r="BJ1708" t="s">
        <v>79</v>
      </c>
      <c r="BM1708">
        <v>0</v>
      </c>
      <c r="BN1708">
        <v>1</v>
      </c>
      <c r="BO1708">
        <v>1</v>
      </c>
      <c r="BP1708" t="s">
        <v>80</v>
      </c>
      <c r="BR1708">
        <v>0</v>
      </c>
      <c r="BS1708">
        <v>6</v>
      </c>
      <c r="BU1708">
        <v>215779</v>
      </c>
    </row>
    <row r="1709" spans="1:73" x14ac:dyDescent="0.3">
      <c r="A1709" t="s">
        <v>3881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45682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11526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3</v>
      </c>
      <c r="BC1709" s="1">
        <v>725778</v>
      </c>
      <c r="BD1709" t="s">
        <v>94</v>
      </c>
      <c r="BE1709" t="s">
        <v>3882</v>
      </c>
      <c r="BF1709" t="s">
        <v>3883</v>
      </c>
      <c r="BH1709" t="s">
        <v>97</v>
      </c>
      <c r="BI1709" t="s">
        <v>208</v>
      </c>
      <c r="BJ1709" t="s">
        <v>79</v>
      </c>
      <c r="BM1709">
        <v>2</v>
      </c>
      <c r="BN1709">
        <v>0</v>
      </c>
      <c r="BO1709">
        <v>2</v>
      </c>
      <c r="BP1709" t="s">
        <v>80</v>
      </c>
      <c r="BR1709">
        <v>0</v>
      </c>
      <c r="BS1709">
        <v>0</v>
      </c>
      <c r="BU1709">
        <v>57208</v>
      </c>
    </row>
    <row r="1710" spans="1:73" x14ac:dyDescent="0.3">
      <c r="A1710" t="s">
        <v>3884</v>
      </c>
      <c r="B1710">
        <v>0</v>
      </c>
      <c r="C1710">
        <v>0</v>
      </c>
      <c r="D1710">
        <v>25</v>
      </c>
      <c r="E1710">
        <v>1348196</v>
      </c>
      <c r="F1710">
        <v>0</v>
      </c>
      <c r="G1710">
        <v>0</v>
      </c>
      <c r="H1710">
        <v>48</v>
      </c>
      <c r="I1710">
        <v>982106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3</v>
      </c>
      <c r="Z1710">
        <v>225655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56</v>
      </c>
      <c r="BC1710" s="1">
        <v>3147702</v>
      </c>
      <c r="BD1710" t="s">
        <v>94</v>
      </c>
      <c r="BE1710" t="s">
        <v>3885</v>
      </c>
      <c r="BF1710" t="s">
        <v>3886</v>
      </c>
      <c r="BH1710" t="s">
        <v>97</v>
      </c>
      <c r="BI1710" t="s">
        <v>119</v>
      </c>
      <c r="BJ1710" t="s">
        <v>79</v>
      </c>
      <c r="BM1710">
        <v>1</v>
      </c>
      <c r="BN1710">
        <v>2</v>
      </c>
      <c r="BO1710">
        <v>3</v>
      </c>
      <c r="BP1710" t="s">
        <v>80</v>
      </c>
      <c r="BR1710">
        <v>0</v>
      </c>
      <c r="BS1710">
        <v>6</v>
      </c>
      <c r="BU1710">
        <v>2555957</v>
      </c>
    </row>
    <row r="1711" spans="1:73" x14ac:dyDescent="0.3">
      <c r="A1711" t="s">
        <v>3890</v>
      </c>
      <c r="B1711">
        <v>0</v>
      </c>
      <c r="C1711">
        <v>0</v>
      </c>
      <c r="D1711">
        <v>4</v>
      </c>
      <c r="E1711">
        <v>590000</v>
      </c>
      <c r="F1711">
        <v>0</v>
      </c>
      <c r="G1711">
        <v>0</v>
      </c>
      <c r="H1711">
        <v>2</v>
      </c>
      <c r="I1711">
        <v>40000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8</v>
      </c>
      <c r="BC1711" s="1">
        <v>1180000</v>
      </c>
      <c r="BD1711" t="s">
        <v>94</v>
      </c>
      <c r="BE1711" t="s">
        <v>3891</v>
      </c>
      <c r="BF1711" t="s">
        <v>3892</v>
      </c>
      <c r="BH1711" t="s">
        <v>97</v>
      </c>
      <c r="BI1711" t="s">
        <v>265</v>
      </c>
      <c r="BJ1711" t="s">
        <v>79</v>
      </c>
      <c r="BM1711">
        <v>0</v>
      </c>
      <c r="BN1711">
        <v>2</v>
      </c>
      <c r="BO1711">
        <v>2</v>
      </c>
      <c r="BP1711" t="s">
        <v>514</v>
      </c>
      <c r="BR1711">
        <v>0</v>
      </c>
      <c r="BS1711">
        <v>6</v>
      </c>
      <c r="BU1711">
        <v>630000</v>
      </c>
    </row>
    <row r="1712" spans="1:73" x14ac:dyDescent="0.3">
      <c r="A1712" t="s">
        <v>3902</v>
      </c>
      <c r="B1712">
        <v>0</v>
      </c>
      <c r="C1712">
        <v>0</v>
      </c>
      <c r="D1712">
        <v>2</v>
      </c>
      <c r="E1712">
        <v>292000</v>
      </c>
      <c r="F1712">
        <v>0</v>
      </c>
      <c r="G1712">
        <v>0</v>
      </c>
      <c r="H1712">
        <v>2</v>
      </c>
      <c r="I1712">
        <v>40000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4</v>
      </c>
      <c r="BC1712" s="1">
        <v>584000</v>
      </c>
      <c r="BD1712" t="s">
        <v>94</v>
      </c>
      <c r="BE1712" t="s">
        <v>3903</v>
      </c>
      <c r="BF1712" t="s">
        <v>2130</v>
      </c>
      <c r="BH1712" t="s">
        <v>97</v>
      </c>
      <c r="BI1712" t="s">
        <v>119</v>
      </c>
      <c r="BJ1712" t="s">
        <v>79</v>
      </c>
      <c r="BM1712">
        <v>0</v>
      </c>
      <c r="BN1712">
        <v>2</v>
      </c>
      <c r="BO1712">
        <v>2</v>
      </c>
      <c r="BP1712" t="s">
        <v>80</v>
      </c>
      <c r="BR1712">
        <v>0</v>
      </c>
      <c r="BS1712">
        <v>6</v>
      </c>
      <c r="BU1712">
        <v>332000</v>
      </c>
    </row>
    <row r="1713" spans="1:73" x14ac:dyDescent="0.3">
      <c r="A1713" t="s">
        <v>3907</v>
      </c>
      <c r="B1713">
        <v>0</v>
      </c>
      <c r="C1713">
        <v>0</v>
      </c>
      <c r="D1713">
        <v>4</v>
      </c>
      <c r="E1713">
        <v>960000</v>
      </c>
      <c r="F1713">
        <v>0</v>
      </c>
      <c r="G1713">
        <v>0</v>
      </c>
      <c r="H1713">
        <v>6</v>
      </c>
      <c r="I1713">
        <v>120000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73535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20000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11</v>
      </c>
      <c r="BC1713" s="1">
        <v>2087070</v>
      </c>
      <c r="BD1713" t="s">
        <v>94</v>
      </c>
      <c r="BE1713" t="s">
        <v>3908</v>
      </c>
      <c r="BF1713" t="s">
        <v>3909</v>
      </c>
      <c r="BH1713" t="s">
        <v>97</v>
      </c>
      <c r="BI1713" t="s">
        <v>208</v>
      </c>
      <c r="BJ1713" t="s">
        <v>79</v>
      </c>
      <c r="BM1713">
        <v>2</v>
      </c>
      <c r="BN1713">
        <v>2</v>
      </c>
      <c r="BO1713">
        <v>4</v>
      </c>
      <c r="BP1713" t="s">
        <v>80</v>
      </c>
      <c r="BR1713">
        <v>0</v>
      </c>
      <c r="BS1713">
        <v>6</v>
      </c>
      <c r="BU1713">
        <v>1173535</v>
      </c>
    </row>
    <row r="1714" spans="1:73" x14ac:dyDescent="0.3">
      <c r="A1714" t="s">
        <v>3910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96439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19792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3</v>
      </c>
      <c r="BC1714" s="1">
        <v>136023</v>
      </c>
      <c r="BD1714" t="s">
        <v>94</v>
      </c>
      <c r="BE1714" t="s">
        <v>3911</v>
      </c>
      <c r="BF1714" t="s">
        <v>3912</v>
      </c>
      <c r="BH1714" t="s">
        <v>97</v>
      </c>
      <c r="BI1714" t="s">
        <v>119</v>
      </c>
      <c r="BJ1714" t="s">
        <v>79</v>
      </c>
      <c r="BM1714">
        <v>2</v>
      </c>
      <c r="BN1714">
        <v>0</v>
      </c>
      <c r="BO1714">
        <v>2</v>
      </c>
      <c r="BP1714" t="s">
        <v>80</v>
      </c>
      <c r="BR1714">
        <v>0</v>
      </c>
      <c r="BS1714">
        <v>6</v>
      </c>
      <c r="BU1714">
        <v>116231</v>
      </c>
    </row>
    <row r="1715" spans="1:73" x14ac:dyDescent="0.3">
      <c r="A1715" t="s">
        <v>3916</v>
      </c>
      <c r="B1715">
        <v>1</v>
      </c>
      <c r="C1715">
        <v>227859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 s="1">
        <v>227859</v>
      </c>
      <c r="BD1715" t="s">
        <v>94</v>
      </c>
      <c r="BE1715" t="s">
        <v>3917</v>
      </c>
      <c r="BF1715" t="s">
        <v>3918</v>
      </c>
      <c r="BH1715" t="s">
        <v>97</v>
      </c>
      <c r="BI1715" t="s">
        <v>680</v>
      </c>
      <c r="BJ1715" t="s">
        <v>79</v>
      </c>
      <c r="BM1715">
        <v>0</v>
      </c>
      <c r="BN1715">
        <v>1</v>
      </c>
      <c r="BO1715">
        <v>1</v>
      </c>
      <c r="BP1715" t="s">
        <v>80</v>
      </c>
      <c r="BR1715">
        <v>0</v>
      </c>
      <c r="BS1715">
        <v>6</v>
      </c>
      <c r="BU1715">
        <v>227859</v>
      </c>
    </row>
    <row r="1716" spans="1:73" x14ac:dyDescent="0.3">
      <c r="A1716" t="s">
        <v>3925</v>
      </c>
      <c r="B1716">
        <v>2</v>
      </c>
      <c r="C1716">
        <v>423634</v>
      </c>
      <c r="D1716">
        <v>0</v>
      </c>
      <c r="E1716">
        <v>0</v>
      </c>
      <c r="F1716">
        <v>0</v>
      </c>
      <c r="G1716">
        <v>0</v>
      </c>
      <c r="H1716">
        <v>2</v>
      </c>
      <c r="I1716">
        <v>40000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4</v>
      </c>
      <c r="BC1716" s="1">
        <v>463634</v>
      </c>
      <c r="BD1716" t="s">
        <v>94</v>
      </c>
      <c r="BE1716" t="s">
        <v>3926</v>
      </c>
      <c r="BF1716" t="s">
        <v>3927</v>
      </c>
      <c r="BH1716" t="s">
        <v>97</v>
      </c>
      <c r="BI1716" t="s">
        <v>1006</v>
      </c>
      <c r="BJ1716" t="s">
        <v>79</v>
      </c>
      <c r="BM1716">
        <v>0</v>
      </c>
      <c r="BN1716">
        <v>2</v>
      </c>
      <c r="BO1716">
        <v>2</v>
      </c>
      <c r="BP1716" t="s">
        <v>80</v>
      </c>
      <c r="BR1716">
        <v>0</v>
      </c>
      <c r="BS1716">
        <v>6</v>
      </c>
      <c r="BU1716">
        <v>463634</v>
      </c>
    </row>
    <row r="1717" spans="1:73" x14ac:dyDescent="0.3">
      <c r="A1717" t="s">
        <v>3940</v>
      </c>
      <c r="B1717">
        <v>1</v>
      </c>
      <c r="C1717">
        <v>186948</v>
      </c>
      <c r="D1717">
        <v>1</v>
      </c>
      <c r="E1717">
        <v>500000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3</v>
      </c>
      <c r="BC1717" s="1">
        <v>1186948</v>
      </c>
      <c r="BD1717" t="s">
        <v>94</v>
      </c>
      <c r="BE1717" t="s">
        <v>3941</v>
      </c>
      <c r="BF1717" t="s">
        <v>3942</v>
      </c>
      <c r="BH1717" t="s">
        <v>123</v>
      </c>
      <c r="BI1717" t="s">
        <v>124</v>
      </c>
      <c r="BJ1717" t="s">
        <v>125</v>
      </c>
      <c r="BM1717">
        <v>0</v>
      </c>
      <c r="BN1717">
        <v>2</v>
      </c>
      <c r="BO1717">
        <v>2</v>
      </c>
      <c r="BP1717" t="s">
        <v>80</v>
      </c>
      <c r="BR1717">
        <v>0</v>
      </c>
      <c r="BS1717">
        <v>6</v>
      </c>
      <c r="BU1717">
        <v>686948</v>
      </c>
    </row>
    <row r="1718" spans="1:73" x14ac:dyDescent="0.3">
      <c r="A1718" t="s">
        <v>3949</v>
      </c>
      <c r="B1718">
        <v>1</v>
      </c>
      <c r="C1718">
        <v>721213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 s="1">
        <v>721213</v>
      </c>
      <c r="BD1718" t="s">
        <v>94</v>
      </c>
      <c r="BE1718" t="s">
        <v>3950</v>
      </c>
      <c r="BF1718" t="s">
        <v>3951</v>
      </c>
      <c r="BH1718" t="s">
        <v>97</v>
      </c>
      <c r="BI1718" t="s">
        <v>208</v>
      </c>
      <c r="BJ1718" t="s">
        <v>79</v>
      </c>
      <c r="BM1718">
        <v>0</v>
      </c>
      <c r="BN1718">
        <v>1</v>
      </c>
      <c r="BO1718">
        <v>1</v>
      </c>
      <c r="BP1718" t="s">
        <v>80</v>
      </c>
      <c r="BR1718">
        <v>0</v>
      </c>
      <c r="BS1718">
        <v>6</v>
      </c>
      <c r="BU1718">
        <v>721213</v>
      </c>
    </row>
    <row r="1719" spans="1:73" x14ac:dyDescent="0.3">
      <c r="A1719" t="s">
        <v>3955</v>
      </c>
      <c r="B1719">
        <v>0</v>
      </c>
      <c r="C1719">
        <v>1100364</v>
      </c>
      <c r="D1719">
        <v>7</v>
      </c>
      <c r="E1719">
        <v>1511130</v>
      </c>
      <c r="F1719">
        <v>0</v>
      </c>
      <c r="G1719">
        <v>0</v>
      </c>
      <c r="H1719">
        <v>6</v>
      </c>
      <c r="I1719">
        <v>547860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73535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16</v>
      </c>
      <c r="BC1719" s="1">
        <v>4269694</v>
      </c>
      <c r="BD1719" t="s">
        <v>94</v>
      </c>
      <c r="BE1719" t="s">
        <v>3956</v>
      </c>
      <c r="BF1719" t="s">
        <v>3957</v>
      </c>
      <c r="BH1719" t="s">
        <v>97</v>
      </c>
      <c r="BI1719" t="s">
        <v>119</v>
      </c>
      <c r="BJ1719" t="s">
        <v>79</v>
      </c>
      <c r="BM1719">
        <v>1</v>
      </c>
      <c r="BN1719">
        <v>2</v>
      </c>
      <c r="BO1719">
        <v>3</v>
      </c>
      <c r="BP1719" t="s">
        <v>80</v>
      </c>
      <c r="BR1719">
        <v>0</v>
      </c>
      <c r="BS1719">
        <v>6</v>
      </c>
      <c r="BU1719">
        <v>3232889</v>
      </c>
    </row>
    <row r="1720" spans="1:73" x14ac:dyDescent="0.3">
      <c r="A1720" t="s">
        <v>3961</v>
      </c>
      <c r="B1720">
        <v>0</v>
      </c>
      <c r="C1720">
        <v>0</v>
      </c>
      <c r="D1720">
        <v>1</v>
      </c>
      <c r="E1720">
        <v>200000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 s="1">
        <v>200000</v>
      </c>
      <c r="BD1720" t="s">
        <v>94</v>
      </c>
      <c r="BE1720" t="s">
        <v>3962</v>
      </c>
      <c r="BF1720" t="s">
        <v>3963</v>
      </c>
      <c r="BH1720" t="s">
        <v>97</v>
      </c>
      <c r="BI1720" t="s">
        <v>208</v>
      </c>
      <c r="BJ1720" t="s">
        <v>79</v>
      </c>
      <c r="BM1720">
        <v>0</v>
      </c>
      <c r="BN1720">
        <v>1</v>
      </c>
      <c r="BO1720">
        <v>1</v>
      </c>
      <c r="BP1720" t="s">
        <v>80</v>
      </c>
      <c r="BR1720">
        <v>0</v>
      </c>
      <c r="BS1720">
        <v>6</v>
      </c>
      <c r="BU1720">
        <v>200000</v>
      </c>
    </row>
    <row r="1721" spans="1:73" x14ac:dyDescent="0.3">
      <c r="A1721" t="s">
        <v>3964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78585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8000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3</v>
      </c>
      <c r="BC1721" s="1">
        <v>570456</v>
      </c>
      <c r="BD1721" t="s">
        <v>94</v>
      </c>
      <c r="BE1721" t="s">
        <v>3965</v>
      </c>
      <c r="BF1721" t="s">
        <v>3966</v>
      </c>
      <c r="BH1721" t="s">
        <v>97</v>
      </c>
      <c r="BI1721" t="s">
        <v>242</v>
      </c>
      <c r="BJ1721" t="s">
        <v>79</v>
      </c>
      <c r="BM1721">
        <v>2</v>
      </c>
      <c r="BN1721">
        <v>0</v>
      </c>
      <c r="BO1721">
        <v>2</v>
      </c>
      <c r="BP1721" t="s">
        <v>80</v>
      </c>
      <c r="BR1721">
        <v>0</v>
      </c>
      <c r="BS1721">
        <v>6</v>
      </c>
      <c r="BU1721">
        <v>86585</v>
      </c>
    </row>
    <row r="1722" spans="1:73" x14ac:dyDescent="0.3">
      <c r="A1722" t="s">
        <v>3967</v>
      </c>
      <c r="B1722">
        <v>1</v>
      </c>
      <c r="C1722">
        <v>182346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82955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3</v>
      </c>
      <c r="BC1722" s="1">
        <v>343886</v>
      </c>
      <c r="BD1722" t="s">
        <v>94</v>
      </c>
      <c r="BE1722" t="s">
        <v>3968</v>
      </c>
      <c r="BF1722" t="s">
        <v>3969</v>
      </c>
      <c r="BH1722" t="s">
        <v>97</v>
      </c>
      <c r="BI1722" t="s">
        <v>559</v>
      </c>
      <c r="BJ1722" t="s">
        <v>79</v>
      </c>
      <c r="BM1722">
        <v>1</v>
      </c>
      <c r="BN1722">
        <v>1</v>
      </c>
      <c r="BO1722">
        <v>2</v>
      </c>
      <c r="BP1722" t="s">
        <v>80</v>
      </c>
      <c r="BR1722">
        <v>0</v>
      </c>
      <c r="BS1722">
        <v>0</v>
      </c>
      <c r="BU1722">
        <v>265301</v>
      </c>
    </row>
    <row r="1723" spans="1:73" x14ac:dyDescent="0.3">
      <c r="A1723" t="s">
        <v>3975</v>
      </c>
      <c r="B1723">
        <v>0</v>
      </c>
      <c r="C1723">
        <v>0</v>
      </c>
      <c r="D1723">
        <v>1</v>
      </c>
      <c r="E1723">
        <v>1400000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 s="1">
        <v>1400000</v>
      </c>
      <c r="BD1723" t="s">
        <v>94</v>
      </c>
      <c r="BE1723" t="s">
        <v>3976</v>
      </c>
      <c r="BF1723" t="s">
        <v>3977</v>
      </c>
      <c r="BH1723" t="s">
        <v>114</v>
      </c>
      <c r="BI1723" t="s">
        <v>3978</v>
      </c>
      <c r="BJ1723" t="s">
        <v>79</v>
      </c>
      <c r="BM1723">
        <v>0</v>
      </c>
      <c r="BN1723">
        <v>1</v>
      </c>
      <c r="BO1723">
        <v>1</v>
      </c>
      <c r="BP1723" t="s">
        <v>80</v>
      </c>
      <c r="BR1723">
        <v>0</v>
      </c>
      <c r="BS1723">
        <v>6</v>
      </c>
      <c r="BU1723">
        <v>1400000</v>
      </c>
    </row>
    <row r="1724" spans="1:73" x14ac:dyDescent="0.3">
      <c r="A1724" t="s">
        <v>3979</v>
      </c>
      <c r="B1724">
        <v>0</v>
      </c>
      <c r="C1724">
        <v>0</v>
      </c>
      <c r="D1724">
        <v>1</v>
      </c>
      <c r="E1724">
        <v>168000</v>
      </c>
      <c r="F1724">
        <v>0</v>
      </c>
      <c r="G1724">
        <v>0</v>
      </c>
      <c r="H1724">
        <v>5</v>
      </c>
      <c r="I1724">
        <v>100000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73535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8</v>
      </c>
      <c r="BC1724" s="1">
        <v>415070</v>
      </c>
      <c r="BD1724" t="s">
        <v>94</v>
      </c>
      <c r="BE1724" t="s">
        <v>3980</v>
      </c>
      <c r="BF1724" t="s">
        <v>652</v>
      </c>
      <c r="BH1724" t="s">
        <v>97</v>
      </c>
      <c r="BI1724" t="s">
        <v>208</v>
      </c>
      <c r="BJ1724" t="s">
        <v>79</v>
      </c>
      <c r="BM1724">
        <v>1</v>
      </c>
      <c r="BN1724">
        <v>2</v>
      </c>
      <c r="BO1724">
        <v>3</v>
      </c>
      <c r="BP1724" t="s">
        <v>80</v>
      </c>
      <c r="BR1724">
        <v>0</v>
      </c>
      <c r="BS1724">
        <v>6</v>
      </c>
      <c r="BU1724">
        <v>341535</v>
      </c>
    </row>
    <row r="1725" spans="1:73" x14ac:dyDescent="0.3">
      <c r="A1725" t="s">
        <v>3981</v>
      </c>
      <c r="B1725">
        <v>0</v>
      </c>
      <c r="C1725">
        <v>0</v>
      </c>
      <c r="D1725">
        <v>2</v>
      </c>
      <c r="E1725">
        <v>1100000</v>
      </c>
      <c r="F1725">
        <v>0</v>
      </c>
      <c r="G1725">
        <v>0</v>
      </c>
      <c r="H1725">
        <v>2</v>
      </c>
      <c r="I1725">
        <v>40000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29334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6</v>
      </c>
      <c r="BC1725" s="1">
        <v>2258668</v>
      </c>
      <c r="BD1725" t="s">
        <v>94</v>
      </c>
      <c r="BE1725" t="s">
        <v>3982</v>
      </c>
      <c r="BF1725" t="s">
        <v>3983</v>
      </c>
      <c r="BH1725" t="s">
        <v>97</v>
      </c>
      <c r="BI1725" t="s">
        <v>160</v>
      </c>
      <c r="BJ1725" t="s">
        <v>79</v>
      </c>
      <c r="BM1725">
        <v>1</v>
      </c>
      <c r="BN1725">
        <v>2</v>
      </c>
      <c r="BO1725">
        <v>3</v>
      </c>
      <c r="BP1725" t="s">
        <v>80</v>
      </c>
      <c r="BR1725">
        <v>0</v>
      </c>
      <c r="BS1725">
        <v>6</v>
      </c>
      <c r="BU1725">
        <v>1169334</v>
      </c>
    </row>
    <row r="1726" spans="1:73" x14ac:dyDescent="0.3">
      <c r="A1726" t="s">
        <v>3990</v>
      </c>
      <c r="B1726">
        <v>6</v>
      </c>
      <c r="C1726">
        <v>662679</v>
      </c>
      <c r="D1726">
        <v>4</v>
      </c>
      <c r="E1726">
        <v>620600</v>
      </c>
      <c r="F1726">
        <v>0</v>
      </c>
      <c r="G1726">
        <v>0</v>
      </c>
      <c r="H1726">
        <v>4</v>
      </c>
      <c r="I1726">
        <v>89200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14</v>
      </c>
      <c r="BC1726" s="1">
        <v>1903879</v>
      </c>
      <c r="BD1726" t="s">
        <v>94</v>
      </c>
      <c r="BE1726" t="s">
        <v>3991</v>
      </c>
      <c r="BF1726" t="s">
        <v>3810</v>
      </c>
      <c r="BH1726" t="s">
        <v>123</v>
      </c>
      <c r="BI1726" t="s">
        <v>124</v>
      </c>
      <c r="BJ1726" t="s">
        <v>125</v>
      </c>
      <c r="BM1726">
        <v>0</v>
      </c>
      <c r="BN1726">
        <v>3</v>
      </c>
      <c r="BO1726">
        <v>3</v>
      </c>
      <c r="BP1726" t="s">
        <v>80</v>
      </c>
      <c r="BR1726">
        <v>0</v>
      </c>
      <c r="BS1726">
        <v>6</v>
      </c>
      <c r="BU1726">
        <v>1372479</v>
      </c>
    </row>
    <row r="1727" spans="1:73" x14ac:dyDescent="0.3">
      <c r="A1727" t="s">
        <v>3992</v>
      </c>
      <c r="B1727">
        <v>0</v>
      </c>
      <c r="C1727">
        <v>0</v>
      </c>
      <c r="D1727">
        <v>6</v>
      </c>
      <c r="E1727">
        <v>764000</v>
      </c>
      <c r="F1727">
        <v>0</v>
      </c>
      <c r="G1727">
        <v>0</v>
      </c>
      <c r="H1727">
        <v>8</v>
      </c>
      <c r="I1727">
        <v>160000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2</v>
      </c>
      <c r="Q1727">
        <v>163636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16</v>
      </c>
      <c r="BC1727" s="1">
        <v>1855272</v>
      </c>
      <c r="BD1727" t="s">
        <v>94</v>
      </c>
      <c r="BE1727" t="s">
        <v>3993</v>
      </c>
      <c r="BF1727" t="s">
        <v>3994</v>
      </c>
      <c r="BH1727" t="s">
        <v>97</v>
      </c>
      <c r="BI1727" t="s">
        <v>208</v>
      </c>
      <c r="BJ1727" t="s">
        <v>79</v>
      </c>
      <c r="BM1727">
        <v>0</v>
      </c>
      <c r="BN1727">
        <v>3</v>
      </c>
      <c r="BO1727">
        <v>3</v>
      </c>
      <c r="BP1727" t="s">
        <v>80</v>
      </c>
      <c r="BR1727">
        <v>0</v>
      </c>
      <c r="BS1727">
        <v>6</v>
      </c>
      <c r="BU1727">
        <v>1087636</v>
      </c>
    </row>
    <row r="1728" spans="1:73" x14ac:dyDescent="0.3">
      <c r="A1728" t="s">
        <v>3995</v>
      </c>
      <c r="B1728">
        <v>0</v>
      </c>
      <c r="C1728">
        <v>0</v>
      </c>
      <c r="D1728">
        <v>3</v>
      </c>
      <c r="E1728">
        <v>936580</v>
      </c>
      <c r="F1728">
        <v>0</v>
      </c>
      <c r="G1728">
        <v>0</v>
      </c>
      <c r="H1728">
        <v>2</v>
      </c>
      <c r="I1728">
        <v>75218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5</v>
      </c>
      <c r="BC1728" s="1">
        <v>1642760</v>
      </c>
      <c r="BD1728" t="s">
        <v>94</v>
      </c>
      <c r="BE1728" t="s">
        <v>3996</v>
      </c>
      <c r="BF1728" t="s">
        <v>3997</v>
      </c>
      <c r="BH1728" t="s">
        <v>97</v>
      </c>
      <c r="BI1728" t="s">
        <v>119</v>
      </c>
      <c r="BJ1728" t="s">
        <v>79</v>
      </c>
      <c r="BM1728">
        <v>0</v>
      </c>
      <c r="BN1728">
        <v>2</v>
      </c>
      <c r="BO1728">
        <v>2</v>
      </c>
      <c r="BP1728" t="s">
        <v>80</v>
      </c>
      <c r="BR1728">
        <v>0</v>
      </c>
      <c r="BS1728">
        <v>6</v>
      </c>
      <c r="BU1728">
        <v>1011798</v>
      </c>
    </row>
    <row r="1729" spans="1:73" x14ac:dyDescent="0.3">
      <c r="A1729" t="s">
        <v>4009</v>
      </c>
      <c r="B1729">
        <v>0</v>
      </c>
      <c r="C1729">
        <v>0</v>
      </c>
      <c r="D1729">
        <v>1</v>
      </c>
      <c r="E1729">
        <v>260000</v>
      </c>
      <c r="F1729">
        <v>0</v>
      </c>
      <c r="G1729">
        <v>0</v>
      </c>
      <c r="H1729">
        <v>1</v>
      </c>
      <c r="I1729">
        <v>22080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3</v>
      </c>
      <c r="BC1729" s="1">
        <v>542080</v>
      </c>
      <c r="BD1729" t="s">
        <v>94</v>
      </c>
      <c r="BE1729" t="s">
        <v>4010</v>
      </c>
      <c r="BF1729" t="s">
        <v>4011</v>
      </c>
      <c r="BH1729" t="s">
        <v>97</v>
      </c>
      <c r="BI1729" t="s">
        <v>119</v>
      </c>
      <c r="BJ1729" t="s">
        <v>79</v>
      </c>
      <c r="BM1729">
        <v>0</v>
      </c>
      <c r="BN1729">
        <v>2</v>
      </c>
      <c r="BO1729">
        <v>2</v>
      </c>
      <c r="BP1729" t="s">
        <v>80</v>
      </c>
      <c r="BR1729">
        <v>0</v>
      </c>
      <c r="BS1729">
        <v>6</v>
      </c>
      <c r="BU1729">
        <v>282080</v>
      </c>
    </row>
    <row r="1730" spans="1:73" x14ac:dyDescent="0.3">
      <c r="A1730" t="s">
        <v>4012</v>
      </c>
      <c r="B1730">
        <v>1</v>
      </c>
      <c r="C1730">
        <v>250737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73535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2</v>
      </c>
      <c r="BC1730" s="1">
        <v>324272</v>
      </c>
      <c r="BD1730" t="s">
        <v>94</v>
      </c>
      <c r="BE1730" t="s">
        <v>4013</v>
      </c>
      <c r="BF1730" t="s">
        <v>4014</v>
      </c>
      <c r="BH1730" t="s">
        <v>97</v>
      </c>
      <c r="BI1730" t="s">
        <v>119</v>
      </c>
      <c r="BJ1730" t="s">
        <v>79</v>
      </c>
      <c r="BM1730">
        <v>1</v>
      </c>
      <c r="BN1730">
        <v>1</v>
      </c>
      <c r="BO1730">
        <v>2</v>
      </c>
      <c r="BP1730" t="s">
        <v>80</v>
      </c>
      <c r="BR1730">
        <v>0</v>
      </c>
      <c r="BS1730">
        <v>6</v>
      </c>
      <c r="BU1730">
        <v>324272</v>
      </c>
    </row>
    <row r="1731" spans="1:73" x14ac:dyDescent="0.3">
      <c r="A1731" t="s">
        <v>4017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19792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 s="1">
        <v>19792</v>
      </c>
      <c r="BD1731" t="s">
        <v>94</v>
      </c>
      <c r="BE1731" t="s">
        <v>4018</v>
      </c>
      <c r="BF1731" t="s">
        <v>4011</v>
      </c>
      <c r="BH1731" t="s">
        <v>97</v>
      </c>
      <c r="BI1731" t="s">
        <v>265</v>
      </c>
      <c r="BJ1731" t="s">
        <v>79</v>
      </c>
      <c r="BM1731">
        <v>1</v>
      </c>
      <c r="BN1731">
        <v>0</v>
      </c>
      <c r="BO1731">
        <v>1</v>
      </c>
      <c r="BP1731" t="s">
        <v>80</v>
      </c>
      <c r="BR1731">
        <v>0</v>
      </c>
      <c r="BS1731">
        <v>0</v>
      </c>
      <c r="BU1731">
        <v>19792</v>
      </c>
    </row>
    <row r="1732" spans="1:73" x14ac:dyDescent="0.3">
      <c r="A1732" t="s">
        <v>4022</v>
      </c>
      <c r="B1732">
        <v>0</v>
      </c>
      <c r="C1732">
        <v>0</v>
      </c>
      <c r="D1732">
        <v>1</v>
      </c>
      <c r="E1732">
        <v>553246</v>
      </c>
      <c r="F1732">
        <v>0</v>
      </c>
      <c r="G1732">
        <v>0</v>
      </c>
      <c r="H1732">
        <v>1</v>
      </c>
      <c r="I1732">
        <v>20000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47916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6</v>
      </c>
      <c r="BC1732" s="1">
        <v>1255943</v>
      </c>
      <c r="BD1732" t="s">
        <v>94</v>
      </c>
      <c r="BE1732" t="s">
        <v>4023</v>
      </c>
      <c r="BF1732" t="s">
        <v>4024</v>
      </c>
      <c r="BH1732" t="s">
        <v>97</v>
      </c>
      <c r="BI1732" t="s">
        <v>119</v>
      </c>
      <c r="BJ1732" t="s">
        <v>79</v>
      </c>
      <c r="BM1732">
        <v>1</v>
      </c>
      <c r="BN1732">
        <v>2</v>
      </c>
      <c r="BO1732">
        <v>3</v>
      </c>
      <c r="BP1732" t="s">
        <v>80</v>
      </c>
      <c r="BR1732">
        <v>0</v>
      </c>
      <c r="BS1732">
        <v>6</v>
      </c>
      <c r="BU1732">
        <v>621162</v>
      </c>
    </row>
    <row r="1733" spans="1:73" x14ac:dyDescent="0.3">
      <c r="A1733" t="s">
        <v>4028</v>
      </c>
      <c r="B1733">
        <v>0</v>
      </c>
      <c r="C1733">
        <v>0</v>
      </c>
      <c r="D1733">
        <v>1</v>
      </c>
      <c r="E1733">
        <v>562500</v>
      </c>
      <c r="F1733">
        <v>0</v>
      </c>
      <c r="G1733">
        <v>0</v>
      </c>
      <c r="H1733">
        <v>2</v>
      </c>
      <c r="I1733">
        <v>99510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3</v>
      </c>
      <c r="BC1733" s="1">
        <v>662010</v>
      </c>
      <c r="BD1733" t="s">
        <v>94</v>
      </c>
      <c r="BE1733" t="s">
        <v>4029</v>
      </c>
      <c r="BF1733" t="s">
        <v>4030</v>
      </c>
      <c r="BH1733" t="s">
        <v>97</v>
      </c>
      <c r="BI1733" t="s">
        <v>119</v>
      </c>
      <c r="BJ1733" t="s">
        <v>79</v>
      </c>
      <c r="BM1733">
        <v>0</v>
      </c>
      <c r="BN1733">
        <v>2</v>
      </c>
      <c r="BO1733">
        <v>2</v>
      </c>
      <c r="BP1733" t="s">
        <v>80</v>
      </c>
      <c r="BR1733">
        <v>0</v>
      </c>
      <c r="BS1733">
        <v>6</v>
      </c>
      <c r="BU1733">
        <v>662010</v>
      </c>
    </row>
    <row r="1734" spans="1:73" x14ac:dyDescent="0.3">
      <c r="A1734" t="s">
        <v>4054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19792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 s="1">
        <v>19792</v>
      </c>
      <c r="BD1734" t="s">
        <v>94</v>
      </c>
      <c r="BE1734" t="s">
        <v>4055</v>
      </c>
      <c r="BF1734" t="s">
        <v>4056</v>
      </c>
      <c r="BH1734" t="s">
        <v>97</v>
      </c>
      <c r="BI1734" t="s">
        <v>119</v>
      </c>
      <c r="BJ1734" t="s">
        <v>79</v>
      </c>
      <c r="BM1734">
        <v>1</v>
      </c>
      <c r="BN1734">
        <v>0</v>
      </c>
      <c r="BO1734">
        <v>1</v>
      </c>
      <c r="BP1734" t="s">
        <v>80</v>
      </c>
      <c r="BR1734">
        <v>0</v>
      </c>
      <c r="BS1734">
        <v>0</v>
      </c>
      <c r="BU1734">
        <v>19792</v>
      </c>
    </row>
    <row r="1735" spans="1:73" x14ac:dyDescent="0.3">
      <c r="A1735" t="s">
        <v>4060</v>
      </c>
      <c r="B1735">
        <v>0</v>
      </c>
      <c r="C1735">
        <v>99272</v>
      </c>
      <c r="D1735">
        <v>1</v>
      </c>
      <c r="E1735">
        <v>129818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2</v>
      </c>
      <c r="BC1735" s="1">
        <v>358908</v>
      </c>
      <c r="BD1735" t="s">
        <v>94</v>
      </c>
      <c r="BE1735" t="s">
        <v>4061</v>
      </c>
      <c r="BF1735" t="s">
        <v>4062</v>
      </c>
      <c r="BH1735" t="s">
        <v>97</v>
      </c>
      <c r="BI1735" t="s">
        <v>119</v>
      </c>
      <c r="BJ1735" t="s">
        <v>79</v>
      </c>
      <c r="BM1735">
        <v>0</v>
      </c>
      <c r="BN1735">
        <v>1</v>
      </c>
      <c r="BO1735">
        <v>1</v>
      </c>
      <c r="BP1735" t="s">
        <v>80</v>
      </c>
      <c r="BR1735">
        <v>0</v>
      </c>
      <c r="BS1735">
        <v>6</v>
      </c>
      <c r="BU1735">
        <v>229090</v>
      </c>
    </row>
    <row r="1736" spans="1:73" x14ac:dyDescent="0.3">
      <c r="A1736" t="s">
        <v>4072</v>
      </c>
      <c r="B1736">
        <v>0</v>
      </c>
      <c r="C1736">
        <v>0</v>
      </c>
      <c r="D1736">
        <v>1</v>
      </c>
      <c r="E1736">
        <v>350000</v>
      </c>
      <c r="F1736">
        <v>0</v>
      </c>
      <c r="G1736">
        <v>0</v>
      </c>
      <c r="H1736">
        <v>3</v>
      </c>
      <c r="I1736">
        <v>60594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4</v>
      </c>
      <c r="BC1736" s="1">
        <v>410594</v>
      </c>
      <c r="BD1736" t="s">
        <v>94</v>
      </c>
      <c r="BE1736" t="s">
        <v>4073</v>
      </c>
      <c r="BF1736" t="s">
        <v>4074</v>
      </c>
      <c r="BH1736" t="s">
        <v>97</v>
      </c>
      <c r="BI1736" t="s">
        <v>107</v>
      </c>
      <c r="BJ1736" t="s">
        <v>79</v>
      </c>
      <c r="BM1736">
        <v>0</v>
      </c>
      <c r="BN1736">
        <v>2</v>
      </c>
      <c r="BO1736">
        <v>2</v>
      </c>
      <c r="BP1736" t="s">
        <v>514</v>
      </c>
      <c r="BR1736">
        <v>0</v>
      </c>
      <c r="BS1736">
        <v>6</v>
      </c>
      <c r="BU1736">
        <v>410594</v>
      </c>
    </row>
    <row r="1737" spans="1:73" x14ac:dyDescent="0.3">
      <c r="A1737" t="s">
        <v>4075</v>
      </c>
      <c r="B1737">
        <v>0</v>
      </c>
      <c r="C1737">
        <v>0</v>
      </c>
      <c r="D1737">
        <v>1</v>
      </c>
      <c r="E1737">
        <v>270000</v>
      </c>
      <c r="F1737">
        <v>0</v>
      </c>
      <c r="G1737">
        <v>0</v>
      </c>
      <c r="H1737">
        <v>2</v>
      </c>
      <c r="I1737">
        <v>46757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3</v>
      </c>
      <c r="BC1737" s="1">
        <v>316757</v>
      </c>
      <c r="BD1737" t="s">
        <v>94</v>
      </c>
      <c r="BE1737" t="s">
        <v>4076</v>
      </c>
      <c r="BF1737" t="s">
        <v>987</v>
      </c>
      <c r="BH1737" t="s">
        <v>97</v>
      </c>
      <c r="BI1737" t="s">
        <v>208</v>
      </c>
      <c r="BJ1737" t="s">
        <v>79</v>
      </c>
      <c r="BM1737">
        <v>0</v>
      </c>
      <c r="BN1737">
        <v>2</v>
      </c>
      <c r="BO1737">
        <v>2</v>
      </c>
      <c r="BP1737" t="s">
        <v>514</v>
      </c>
      <c r="BR1737">
        <v>0</v>
      </c>
      <c r="BS1737">
        <v>6</v>
      </c>
      <c r="BU1737">
        <v>316757</v>
      </c>
    </row>
    <row r="1738" spans="1:73" x14ac:dyDescent="0.3">
      <c r="A1738" t="s">
        <v>4080</v>
      </c>
      <c r="B1738">
        <v>1</v>
      </c>
      <c r="C1738">
        <v>90000</v>
      </c>
      <c r="D1738">
        <v>1</v>
      </c>
      <c r="E1738">
        <v>104181</v>
      </c>
      <c r="F1738">
        <v>0</v>
      </c>
      <c r="G1738">
        <v>0</v>
      </c>
      <c r="H1738">
        <v>1</v>
      </c>
      <c r="I1738">
        <v>20000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40364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4</v>
      </c>
      <c r="BC1738" s="1">
        <v>254545</v>
      </c>
      <c r="BD1738" t="s">
        <v>94</v>
      </c>
      <c r="BE1738" t="s">
        <v>4081</v>
      </c>
      <c r="BF1738" t="s">
        <v>4082</v>
      </c>
      <c r="BH1738" t="s">
        <v>97</v>
      </c>
      <c r="BI1738" t="s">
        <v>119</v>
      </c>
      <c r="BJ1738" t="s">
        <v>79</v>
      </c>
      <c r="BM1738">
        <v>0</v>
      </c>
      <c r="BN1738">
        <v>4</v>
      </c>
      <c r="BO1738">
        <v>4</v>
      </c>
      <c r="BP1738" t="s">
        <v>80</v>
      </c>
      <c r="BR1738">
        <v>0</v>
      </c>
      <c r="BS1738">
        <v>6</v>
      </c>
      <c r="BU1738">
        <v>254545</v>
      </c>
    </row>
    <row r="1739" spans="1:73" x14ac:dyDescent="0.3">
      <c r="A1739" t="s">
        <v>4089</v>
      </c>
      <c r="B1739">
        <v>0</v>
      </c>
      <c r="C1739">
        <v>0</v>
      </c>
      <c r="D1739">
        <v>1</v>
      </c>
      <c r="E1739">
        <v>840000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1</v>
      </c>
      <c r="BC1739" s="1">
        <v>840000</v>
      </c>
      <c r="BD1739" t="s">
        <v>94</v>
      </c>
      <c r="BE1739" t="s">
        <v>4090</v>
      </c>
      <c r="BF1739" t="s">
        <v>4091</v>
      </c>
      <c r="BH1739" t="s">
        <v>97</v>
      </c>
      <c r="BI1739" t="s">
        <v>265</v>
      </c>
      <c r="BJ1739" t="s">
        <v>79</v>
      </c>
      <c r="BM1739">
        <v>0</v>
      </c>
      <c r="BN1739">
        <v>1</v>
      </c>
      <c r="BO1739">
        <v>1</v>
      </c>
      <c r="BP1739" t="s">
        <v>80</v>
      </c>
      <c r="BR1739">
        <v>0</v>
      </c>
      <c r="BS1739">
        <v>6</v>
      </c>
      <c r="BU1739">
        <v>840000</v>
      </c>
    </row>
    <row r="1740" spans="1:73" x14ac:dyDescent="0.3">
      <c r="A1740" t="s">
        <v>4092</v>
      </c>
      <c r="B1740">
        <v>2</v>
      </c>
      <c r="C1740">
        <v>498364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2</v>
      </c>
      <c r="BC1740" s="1">
        <v>498364</v>
      </c>
      <c r="BD1740" t="s">
        <v>94</v>
      </c>
      <c r="BE1740" t="s">
        <v>4093</v>
      </c>
      <c r="BF1740" t="s">
        <v>4094</v>
      </c>
      <c r="BH1740" t="s">
        <v>77</v>
      </c>
      <c r="BI1740" t="s">
        <v>204</v>
      </c>
      <c r="BJ1740" t="s">
        <v>79</v>
      </c>
      <c r="BM1740">
        <v>0</v>
      </c>
      <c r="BN1740">
        <v>1</v>
      </c>
      <c r="BO1740">
        <v>1</v>
      </c>
      <c r="BP1740" t="s">
        <v>80</v>
      </c>
      <c r="BR1740">
        <v>0</v>
      </c>
      <c r="BS1740">
        <v>6</v>
      </c>
      <c r="BU1740">
        <v>498364</v>
      </c>
    </row>
    <row r="1741" spans="1:73" x14ac:dyDescent="0.3">
      <c r="A1741" t="s">
        <v>4095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43523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4394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2</v>
      </c>
      <c r="BC1741" s="1">
        <v>47917</v>
      </c>
      <c r="BD1741" t="s">
        <v>94</v>
      </c>
      <c r="BE1741" t="s">
        <v>4096</v>
      </c>
      <c r="BF1741" t="s">
        <v>4097</v>
      </c>
      <c r="BH1741" t="s">
        <v>97</v>
      </c>
      <c r="BI1741" t="s">
        <v>894</v>
      </c>
      <c r="BJ1741" t="s">
        <v>79</v>
      </c>
      <c r="BM1741">
        <v>2</v>
      </c>
      <c r="BN1741">
        <v>0</v>
      </c>
      <c r="BO1741">
        <v>2</v>
      </c>
      <c r="BP1741" t="s">
        <v>80</v>
      </c>
      <c r="BR1741">
        <v>0</v>
      </c>
      <c r="BS1741">
        <v>0</v>
      </c>
      <c r="BU1741">
        <v>47917</v>
      </c>
    </row>
    <row r="1742" spans="1:73" x14ac:dyDescent="0.3">
      <c r="A1742" t="s">
        <v>4098</v>
      </c>
      <c r="B1742">
        <v>0</v>
      </c>
      <c r="C1742">
        <v>0</v>
      </c>
      <c r="D1742">
        <v>1</v>
      </c>
      <c r="E1742">
        <v>128571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</v>
      </c>
      <c r="BC1742" s="1">
        <v>128571</v>
      </c>
      <c r="BD1742" t="s">
        <v>94</v>
      </c>
      <c r="BE1742" t="s">
        <v>4099</v>
      </c>
      <c r="BF1742" t="s">
        <v>4100</v>
      </c>
      <c r="BH1742" t="s">
        <v>97</v>
      </c>
      <c r="BI1742" t="s">
        <v>98</v>
      </c>
      <c r="BJ1742" t="s">
        <v>79</v>
      </c>
      <c r="BM1742">
        <v>0</v>
      </c>
      <c r="BN1742">
        <v>1</v>
      </c>
      <c r="BO1742">
        <v>1</v>
      </c>
      <c r="BP1742" t="s">
        <v>80</v>
      </c>
      <c r="BR1742">
        <v>0</v>
      </c>
      <c r="BS1742">
        <v>6</v>
      </c>
      <c r="BU1742">
        <v>128571</v>
      </c>
    </row>
    <row r="1743" spans="1:73" x14ac:dyDescent="0.3">
      <c r="A1743" t="s">
        <v>4107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96439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 s="1">
        <v>96439</v>
      </c>
      <c r="BD1743" t="s">
        <v>94</v>
      </c>
      <c r="BE1743" t="s">
        <v>4108</v>
      </c>
      <c r="BF1743" t="s">
        <v>4109</v>
      </c>
      <c r="BH1743" t="s">
        <v>97</v>
      </c>
      <c r="BI1743" t="s">
        <v>160</v>
      </c>
      <c r="BJ1743" t="s">
        <v>79</v>
      </c>
      <c r="BM1743">
        <v>1</v>
      </c>
      <c r="BN1743">
        <v>0</v>
      </c>
      <c r="BO1743">
        <v>1</v>
      </c>
      <c r="BP1743" t="s">
        <v>80</v>
      </c>
      <c r="BR1743">
        <v>0</v>
      </c>
      <c r="BS1743">
        <v>6</v>
      </c>
      <c r="BU1743">
        <v>96439</v>
      </c>
    </row>
    <row r="1744" spans="1:73" x14ac:dyDescent="0.3">
      <c r="A1744" t="s">
        <v>4119</v>
      </c>
      <c r="B1744">
        <v>0</v>
      </c>
      <c r="C1744">
        <v>0</v>
      </c>
      <c r="D1744">
        <v>1</v>
      </c>
      <c r="E1744">
        <v>2560000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2</v>
      </c>
      <c r="BC1744" s="1">
        <v>5120000</v>
      </c>
      <c r="BD1744" t="s">
        <v>94</v>
      </c>
      <c r="BE1744" t="s">
        <v>4120</v>
      </c>
      <c r="BF1744" t="s">
        <v>4121</v>
      </c>
      <c r="BH1744" t="s">
        <v>97</v>
      </c>
      <c r="BI1744" t="s">
        <v>265</v>
      </c>
      <c r="BJ1744" t="s">
        <v>79</v>
      </c>
      <c r="BM1744">
        <v>0</v>
      </c>
      <c r="BN1744">
        <v>1</v>
      </c>
      <c r="BO1744">
        <v>1</v>
      </c>
      <c r="BP1744" t="s">
        <v>80</v>
      </c>
      <c r="BR1744">
        <v>0</v>
      </c>
      <c r="BS1744">
        <v>6</v>
      </c>
      <c r="BU1744">
        <v>2560000</v>
      </c>
    </row>
    <row r="1745" spans="1:73" x14ac:dyDescent="0.3">
      <c r="A1745" t="s">
        <v>4125</v>
      </c>
      <c r="B1745">
        <v>0</v>
      </c>
      <c r="C1745">
        <v>0</v>
      </c>
      <c r="D1745">
        <v>1</v>
      </c>
      <c r="E1745">
        <v>432000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39584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4</v>
      </c>
      <c r="BC1745" s="1">
        <v>903584</v>
      </c>
      <c r="BD1745" t="s">
        <v>94</v>
      </c>
      <c r="BE1745" t="s">
        <v>4126</v>
      </c>
      <c r="BF1745" t="s">
        <v>4127</v>
      </c>
      <c r="BH1745" t="s">
        <v>97</v>
      </c>
      <c r="BI1745" t="s">
        <v>119</v>
      </c>
      <c r="BJ1745" t="s">
        <v>79</v>
      </c>
      <c r="BM1745">
        <v>1</v>
      </c>
      <c r="BN1745">
        <v>1</v>
      </c>
      <c r="BO1745">
        <v>2</v>
      </c>
      <c r="BP1745" t="s">
        <v>80</v>
      </c>
      <c r="BR1745">
        <v>0</v>
      </c>
      <c r="BS1745">
        <v>6</v>
      </c>
      <c r="BU1745">
        <v>471584</v>
      </c>
    </row>
    <row r="1746" spans="1:73" x14ac:dyDescent="0.3">
      <c r="A1746" t="s">
        <v>4128</v>
      </c>
      <c r="B1746">
        <v>0</v>
      </c>
      <c r="C1746">
        <v>0</v>
      </c>
      <c r="D1746">
        <v>1</v>
      </c>
      <c r="E1746">
        <v>536364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 s="1">
        <v>536364</v>
      </c>
      <c r="BD1746" t="s">
        <v>94</v>
      </c>
      <c r="BE1746" t="s">
        <v>4129</v>
      </c>
      <c r="BF1746" t="s">
        <v>4130</v>
      </c>
      <c r="BH1746" t="s">
        <v>97</v>
      </c>
      <c r="BI1746" t="s">
        <v>232</v>
      </c>
      <c r="BJ1746" t="s">
        <v>79</v>
      </c>
      <c r="BM1746">
        <v>0</v>
      </c>
      <c r="BN1746">
        <v>1</v>
      </c>
      <c r="BO1746">
        <v>1</v>
      </c>
      <c r="BP1746" t="s">
        <v>80</v>
      </c>
      <c r="BR1746">
        <v>0</v>
      </c>
      <c r="BS1746">
        <v>6</v>
      </c>
      <c r="BU1746">
        <v>536364</v>
      </c>
    </row>
    <row r="1747" spans="1:73" x14ac:dyDescent="0.3">
      <c r="A1747" t="s">
        <v>4149</v>
      </c>
      <c r="B1747">
        <v>0</v>
      </c>
      <c r="C1747">
        <v>0</v>
      </c>
      <c r="D1747">
        <v>3</v>
      </c>
      <c r="E1747">
        <v>767892</v>
      </c>
      <c r="F1747">
        <v>0</v>
      </c>
      <c r="G1747">
        <v>0</v>
      </c>
      <c r="H1747">
        <v>4</v>
      </c>
      <c r="I1747">
        <v>235784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6</v>
      </c>
      <c r="BC1747" s="1">
        <v>1535784</v>
      </c>
      <c r="BD1747" t="s">
        <v>94</v>
      </c>
      <c r="BE1747" t="s">
        <v>4150</v>
      </c>
      <c r="BF1747" t="s">
        <v>4151</v>
      </c>
      <c r="BH1747" t="s">
        <v>97</v>
      </c>
      <c r="BI1747" t="s">
        <v>98</v>
      </c>
      <c r="BJ1747" t="s">
        <v>79</v>
      </c>
      <c r="BM1747">
        <v>0</v>
      </c>
      <c r="BN1747">
        <v>2</v>
      </c>
      <c r="BO1747">
        <v>2</v>
      </c>
      <c r="BP1747" t="s">
        <v>80</v>
      </c>
      <c r="BR1747">
        <v>0</v>
      </c>
      <c r="BS1747">
        <v>6</v>
      </c>
      <c r="BU1747">
        <v>1003676</v>
      </c>
    </row>
    <row r="1748" spans="1:73" x14ac:dyDescent="0.3">
      <c r="A1748" t="s">
        <v>4164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6</v>
      </c>
      <c r="I1748">
        <v>394546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6</v>
      </c>
      <c r="BC1748" s="1">
        <v>394546</v>
      </c>
      <c r="BD1748" t="s">
        <v>94</v>
      </c>
      <c r="BE1748" t="s">
        <v>4165</v>
      </c>
      <c r="BF1748" t="s">
        <v>4166</v>
      </c>
      <c r="BH1748" t="s">
        <v>97</v>
      </c>
      <c r="BI1748" t="s">
        <v>119</v>
      </c>
      <c r="BJ1748" t="s">
        <v>79</v>
      </c>
      <c r="BM1748">
        <v>0</v>
      </c>
      <c r="BN1748">
        <v>1</v>
      </c>
      <c r="BO1748">
        <v>1</v>
      </c>
      <c r="BP1748" t="s">
        <v>80</v>
      </c>
      <c r="BR1748">
        <v>0</v>
      </c>
      <c r="BS1748">
        <v>6</v>
      </c>
      <c r="BU1748">
        <v>394546</v>
      </c>
    </row>
    <row r="1749" spans="1:73" x14ac:dyDescent="0.3">
      <c r="A1749" t="s">
        <v>4167</v>
      </c>
      <c r="B1749">
        <v>1</v>
      </c>
      <c r="C1749">
        <v>165703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 s="1">
        <v>165703</v>
      </c>
      <c r="BD1749" t="s">
        <v>94</v>
      </c>
      <c r="BE1749" t="s">
        <v>4168</v>
      </c>
      <c r="BF1749" t="s">
        <v>4169</v>
      </c>
      <c r="BH1749" t="s">
        <v>77</v>
      </c>
      <c r="BI1749" t="s">
        <v>92</v>
      </c>
      <c r="BJ1749" t="s">
        <v>79</v>
      </c>
      <c r="BM1749">
        <v>0</v>
      </c>
      <c r="BN1749">
        <v>1</v>
      </c>
      <c r="BO1749">
        <v>1</v>
      </c>
      <c r="BP1749" t="s">
        <v>80</v>
      </c>
      <c r="BR1749">
        <v>0</v>
      </c>
      <c r="BS1749">
        <v>6</v>
      </c>
      <c r="BU1749">
        <v>165703</v>
      </c>
    </row>
    <row r="1750" spans="1:73" x14ac:dyDescent="0.3">
      <c r="A1750" t="s">
        <v>4173</v>
      </c>
      <c r="B1750">
        <v>0</v>
      </c>
      <c r="C1750">
        <v>0</v>
      </c>
      <c r="D1750">
        <v>1</v>
      </c>
      <c r="E1750">
        <v>303334</v>
      </c>
      <c r="F1750">
        <v>0</v>
      </c>
      <c r="G1750">
        <v>0</v>
      </c>
      <c r="H1750">
        <v>1</v>
      </c>
      <c r="I1750">
        <v>15667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2</v>
      </c>
      <c r="BC1750" s="1">
        <v>319001</v>
      </c>
      <c r="BD1750" t="s">
        <v>94</v>
      </c>
      <c r="BE1750" t="s">
        <v>4174</v>
      </c>
      <c r="BF1750" t="s">
        <v>4175</v>
      </c>
      <c r="BH1750" t="s">
        <v>97</v>
      </c>
      <c r="BI1750" t="s">
        <v>208</v>
      </c>
      <c r="BJ1750" t="s">
        <v>79</v>
      </c>
      <c r="BM1750">
        <v>0</v>
      </c>
      <c r="BN1750">
        <v>2</v>
      </c>
      <c r="BO1750">
        <v>2</v>
      </c>
      <c r="BP1750" t="s">
        <v>80</v>
      </c>
      <c r="BR1750">
        <v>0</v>
      </c>
      <c r="BS1750">
        <v>0</v>
      </c>
      <c r="BU1750">
        <v>319001</v>
      </c>
    </row>
    <row r="1751" spans="1:73" x14ac:dyDescent="0.3">
      <c r="A1751" t="s">
        <v>4184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73535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1</v>
      </c>
      <c r="BC1751" s="1">
        <v>73535</v>
      </c>
      <c r="BD1751" t="s">
        <v>94</v>
      </c>
      <c r="BE1751" t="s">
        <v>4185</v>
      </c>
      <c r="BF1751" t="s">
        <v>4186</v>
      </c>
      <c r="BH1751" t="s">
        <v>97</v>
      </c>
      <c r="BI1751" t="s">
        <v>208</v>
      </c>
      <c r="BJ1751" t="s">
        <v>79</v>
      </c>
      <c r="BM1751">
        <v>1</v>
      </c>
      <c r="BN1751">
        <v>0</v>
      </c>
      <c r="BO1751">
        <v>1</v>
      </c>
      <c r="BP1751" t="s">
        <v>80</v>
      </c>
      <c r="BR1751">
        <v>0</v>
      </c>
      <c r="BS1751">
        <v>6</v>
      </c>
      <c r="BU1751">
        <v>73535</v>
      </c>
    </row>
    <row r="1752" spans="1:73" x14ac:dyDescent="0.3">
      <c r="A1752" t="s">
        <v>4187</v>
      </c>
      <c r="B1752">
        <v>0</v>
      </c>
      <c r="C1752">
        <v>0</v>
      </c>
      <c r="D1752">
        <v>1</v>
      </c>
      <c r="E1752">
        <v>288000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2</v>
      </c>
      <c r="BC1752" s="1">
        <v>576000</v>
      </c>
      <c r="BD1752" t="s">
        <v>94</v>
      </c>
      <c r="BE1752" t="s">
        <v>4188</v>
      </c>
      <c r="BF1752" t="s">
        <v>4189</v>
      </c>
      <c r="BH1752" t="s">
        <v>97</v>
      </c>
      <c r="BI1752" t="s">
        <v>208</v>
      </c>
      <c r="BJ1752" t="s">
        <v>79</v>
      </c>
      <c r="BM1752">
        <v>0</v>
      </c>
      <c r="BN1752">
        <v>1</v>
      </c>
      <c r="BO1752">
        <v>1</v>
      </c>
      <c r="BP1752" t="s">
        <v>80</v>
      </c>
      <c r="BR1752">
        <v>0</v>
      </c>
      <c r="BS1752">
        <v>6</v>
      </c>
      <c r="BU1752">
        <v>288000</v>
      </c>
    </row>
    <row r="1753" spans="1:73" x14ac:dyDescent="0.3">
      <c r="A1753" t="s">
        <v>4190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73535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 s="1">
        <v>73535</v>
      </c>
      <c r="BD1753" t="s">
        <v>94</v>
      </c>
      <c r="BE1753" t="s">
        <v>4191</v>
      </c>
      <c r="BF1753" t="s">
        <v>4192</v>
      </c>
      <c r="BH1753" t="s">
        <v>97</v>
      </c>
      <c r="BI1753" t="s">
        <v>119</v>
      </c>
      <c r="BJ1753" t="s">
        <v>79</v>
      </c>
      <c r="BM1753">
        <v>1</v>
      </c>
      <c r="BN1753">
        <v>0</v>
      </c>
      <c r="BO1753">
        <v>1</v>
      </c>
      <c r="BP1753" t="s">
        <v>80</v>
      </c>
      <c r="BR1753">
        <v>0</v>
      </c>
      <c r="BS1753">
        <v>0</v>
      </c>
      <c r="BU1753">
        <v>73535</v>
      </c>
    </row>
    <row r="1754" spans="1:73" x14ac:dyDescent="0.3">
      <c r="A1754" t="s">
        <v>4193</v>
      </c>
      <c r="B1754">
        <v>0</v>
      </c>
      <c r="C1754">
        <v>0</v>
      </c>
      <c r="D1754">
        <v>1</v>
      </c>
      <c r="E1754">
        <v>240000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2</v>
      </c>
      <c r="BC1754" s="1">
        <v>480000</v>
      </c>
      <c r="BD1754" t="s">
        <v>94</v>
      </c>
      <c r="BE1754" t="s">
        <v>4194</v>
      </c>
      <c r="BF1754" t="s">
        <v>2385</v>
      </c>
      <c r="BH1754" t="s">
        <v>97</v>
      </c>
      <c r="BI1754" t="s">
        <v>208</v>
      </c>
      <c r="BJ1754" t="s">
        <v>79</v>
      </c>
      <c r="BM1754">
        <v>0</v>
      </c>
      <c r="BN1754">
        <v>1</v>
      </c>
      <c r="BO1754">
        <v>1</v>
      </c>
      <c r="BP1754" t="s">
        <v>80</v>
      </c>
      <c r="BR1754">
        <v>0</v>
      </c>
      <c r="BS1754">
        <v>6</v>
      </c>
      <c r="BU1754">
        <v>240000</v>
      </c>
    </row>
    <row r="1755" spans="1:73" x14ac:dyDescent="0.3">
      <c r="A1755" t="s">
        <v>4198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90909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2</v>
      </c>
      <c r="BC1755" s="1">
        <v>181818</v>
      </c>
      <c r="BD1755" t="s">
        <v>94</v>
      </c>
      <c r="BE1755" t="s">
        <v>4199</v>
      </c>
      <c r="BF1755" t="s">
        <v>4200</v>
      </c>
      <c r="BH1755" t="s">
        <v>97</v>
      </c>
      <c r="BI1755" t="s">
        <v>208</v>
      </c>
      <c r="BJ1755" t="s">
        <v>79</v>
      </c>
      <c r="BM1755">
        <v>1</v>
      </c>
      <c r="BN1755">
        <v>0</v>
      </c>
      <c r="BO1755">
        <v>1</v>
      </c>
      <c r="BP1755" t="s">
        <v>80</v>
      </c>
      <c r="BR1755">
        <v>0</v>
      </c>
      <c r="BS1755">
        <v>6</v>
      </c>
      <c r="BU1755">
        <v>90909</v>
      </c>
    </row>
    <row r="1756" spans="1:73" x14ac:dyDescent="0.3">
      <c r="A1756" t="s">
        <v>4215</v>
      </c>
      <c r="B1756">
        <v>0</v>
      </c>
      <c r="C1756">
        <v>0</v>
      </c>
      <c r="D1756">
        <v>1</v>
      </c>
      <c r="E1756">
        <v>666667</v>
      </c>
      <c r="F1756">
        <v>0</v>
      </c>
      <c r="G1756">
        <v>0</v>
      </c>
      <c r="H1756">
        <v>2</v>
      </c>
      <c r="I1756">
        <v>225352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3</v>
      </c>
      <c r="BC1756" s="1">
        <v>892019</v>
      </c>
      <c r="BD1756" t="s">
        <v>94</v>
      </c>
      <c r="BE1756" t="s">
        <v>4216</v>
      </c>
      <c r="BF1756" t="s">
        <v>3345</v>
      </c>
      <c r="BH1756" t="s">
        <v>97</v>
      </c>
      <c r="BI1756" t="s">
        <v>208</v>
      </c>
      <c r="BJ1756" t="s">
        <v>79</v>
      </c>
      <c r="BM1756">
        <v>0</v>
      </c>
      <c r="BN1756">
        <v>2</v>
      </c>
      <c r="BO1756">
        <v>2</v>
      </c>
      <c r="BP1756" t="s">
        <v>80</v>
      </c>
      <c r="BR1756">
        <v>0</v>
      </c>
      <c r="BS1756">
        <v>0</v>
      </c>
      <c r="BU1756">
        <v>892019</v>
      </c>
    </row>
    <row r="1757" spans="1:73" x14ac:dyDescent="0.3">
      <c r="A1757" t="s">
        <v>4217</v>
      </c>
      <c r="B1757">
        <v>0</v>
      </c>
      <c r="C1757">
        <v>0</v>
      </c>
      <c r="D1757">
        <v>1</v>
      </c>
      <c r="E1757">
        <v>459740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2</v>
      </c>
      <c r="BC1757" s="1">
        <v>919480</v>
      </c>
      <c r="BD1757" t="s">
        <v>94</v>
      </c>
      <c r="BE1757" t="s">
        <v>4218</v>
      </c>
      <c r="BF1757" t="s">
        <v>4219</v>
      </c>
      <c r="BH1757" t="s">
        <v>97</v>
      </c>
      <c r="BI1757" t="s">
        <v>265</v>
      </c>
      <c r="BJ1757" t="s">
        <v>79</v>
      </c>
      <c r="BM1757">
        <v>0</v>
      </c>
      <c r="BN1757">
        <v>1</v>
      </c>
      <c r="BO1757">
        <v>1</v>
      </c>
      <c r="BP1757" t="s">
        <v>80</v>
      </c>
      <c r="BR1757">
        <v>0</v>
      </c>
      <c r="BS1757">
        <v>6</v>
      </c>
      <c r="BU1757">
        <v>459740</v>
      </c>
    </row>
    <row r="1758" spans="1:73" x14ac:dyDescent="0.3">
      <c r="A1758" t="s">
        <v>4223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73535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 s="1">
        <v>73535</v>
      </c>
      <c r="BD1758" t="s">
        <v>94</v>
      </c>
      <c r="BE1758" t="s">
        <v>4224</v>
      </c>
      <c r="BF1758" t="s">
        <v>4225</v>
      </c>
      <c r="BH1758" t="s">
        <v>97</v>
      </c>
      <c r="BI1758" t="s">
        <v>265</v>
      </c>
      <c r="BJ1758" t="s">
        <v>79</v>
      </c>
      <c r="BM1758">
        <v>1</v>
      </c>
      <c r="BN1758">
        <v>0</v>
      </c>
      <c r="BO1758">
        <v>1</v>
      </c>
      <c r="BP1758" t="s">
        <v>80</v>
      </c>
      <c r="BR1758">
        <v>0</v>
      </c>
      <c r="BS1758">
        <v>0</v>
      </c>
      <c r="BU1758">
        <v>73535</v>
      </c>
    </row>
    <row r="1759" spans="1:73" x14ac:dyDescent="0.3">
      <c r="A1759" t="s">
        <v>4226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</v>
      </c>
      <c r="Z1759">
        <v>169974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4</v>
      </c>
      <c r="BC1759" s="1">
        <v>339948</v>
      </c>
      <c r="BD1759" t="s">
        <v>94</v>
      </c>
      <c r="BE1759" t="s">
        <v>4227</v>
      </c>
      <c r="BF1759" t="s">
        <v>4228</v>
      </c>
      <c r="BH1759" t="s">
        <v>97</v>
      </c>
      <c r="BI1759" t="s">
        <v>119</v>
      </c>
      <c r="BJ1759" t="s">
        <v>79</v>
      </c>
      <c r="BM1759">
        <v>1</v>
      </c>
      <c r="BN1759">
        <v>0</v>
      </c>
      <c r="BO1759">
        <v>1</v>
      </c>
      <c r="BP1759" t="s">
        <v>80</v>
      </c>
      <c r="BR1759">
        <v>0</v>
      </c>
      <c r="BS1759">
        <v>6</v>
      </c>
      <c r="BU1759">
        <v>169974</v>
      </c>
    </row>
    <row r="1760" spans="1:73" x14ac:dyDescent="0.3">
      <c r="A1760" t="s">
        <v>4229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96439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 s="1">
        <v>96439</v>
      </c>
      <c r="BD1760" t="s">
        <v>94</v>
      </c>
      <c r="BE1760" t="s">
        <v>4230</v>
      </c>
      <c r="BF1760" t="s">
        <v>4231</v>
      </c>
      <c r="BH1760" t="s">
        <v>97</v>
      </c>
      <c r="BI1760" t="s">
        <v>265</v>
      </c>
      <c r="BJ1760" t="s">
        <v>79</v>
      </c>
      <c r="BM1760">
        <v>1</v>
      </c>
      <c r="BN1760">
        <v>0</v>
      </c>
      <c r="BO1760">
        <v>1</v>
      </c>
      <c r="BP1760" t="s">
        <v>80</v>
      </c>
      <c r="BR1760">
        <v>0</v>
      </c>
      <c r="BS1760">
        <v>6</v>
      </c>
      <c r="BU1760">
        <v>96439</v>
      </c>
    </row>
    <row r="1761" spans="1:73" x14ac:dyDescent="0.3">
      <c r="A1761" t="s">
        <v>4235</v>
      </c>
      <c r="B1761">
        <v>0</v>
      </c>
      <c r="C1761">
        <v>0</v>
      </c>
      <c r="D1761">
        <v>3</v>
      </c>
      <c r="E1761">
        <v>5727857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7</v>
      </c>
      <c r="BC1761" s="1">
        <v>14198571</v>
      </c>
      <c r="BD1761" t="s">
        <v>94</v>
      </c>
      <c r="BE1761" t="s">
        <v>4236</v>
      </c>
      <c r="BF1761" t="s">
        <v>4237</v>
      </c>
      <c r="BH1761" t="s">
        <v>97</v>
      </c>
      <c r="BI1761" t="s">
        <v>265</v>
      </c>
      <c r="BJ1761" t="s">
        <v>79</v>
      </c>
      <c r="BM1761">
        <v>0</v>
      </c>
      <c r="BN1761">
        <v>1</v>
      </c>
      <c r="BO1761">
        <v>1</v>
      </c>
      <c r="BP1761" t="s">
        <v>80</v>
      </c>
      <c r="BR1761">
        <v>0</v>
      </c>
      <c r="BS1761">
        <v>6</v>
      </c>
      <c r="BU1761">
        <v>5727857</v>
      </c>
    </row>
    <row r="1762" spans="1:73" x14ac:dyDescent="0.3">
      <c r="A1762" t="s">
        <v>4244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73535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2</v>
      </c>
      <c r="BC1762" s="1">
        <v>147070</v>
      </c>
      <c r="BD1762" t="s">
        <v>94</v>
      </c>
      <c r="BE1762" t="s">
        <v>4245</v>
      </c>
      <c r="BF1762" t="s">
        <v>860</v>
      </c>
      <c r="BH1762" t="s">
        <v>97</v>
      </c>
      <c r="BI1762" t="s">
        <v>242</v>
      </c>
      <c r="BJ1762" t="s">
        <v>79</v>
      </c>
      <c r="BM1762">
        <v>1</v>
      </c>
      <c r="BN1762">
        <v>0</v>
      </c>
      <c r="BO1762">
        <v>1</v>
      </c>
      <c r="BP1762" t="s">
        <v>80</v>
      </c>
      <c r="BR1762">
        <v>0</v>
      </c>
      <c r="BS1762">
        <v>6</v>
      </c>
      <c r="BU1762">
        <v>73535</v>
      </c>
    </row>
    <row r="1763" spans="1:73" x14ac:dyDescent="0.3">
      <c r="A1763" t="s">
        <v>4246</v>
      </c>
      <c r="B1763">
        <v>0</v>
      </c>
      <c r="C1763">
        <v>0</v>
      </c>
      <c r="D1763">
        <v>2</v>
      </c>
      <c r="E1763">
        <v>1746857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4</v>
      </c>
      <c r="BC1763" s="1">
        <v>3493714</v>
      </c>
      <c r="BD1763" t="s">
        <v>94</v>
      </c>
      <c r="BE1763" t="s">
        <v>4247</v>
      </c>
      <c r="BF1763" t="s">
        <v>4248</v>
      </c>
      <c r="BH1763" t="s">
        <v>97</v>
      </c>
      <c r="BI1763" t="s">
        <v>160</v>
      </c>
      <c r="BJ1763" t="s">
        <v>79</v>
      </c>
      <c r="BM1763">
        <v>0</v>
      </c>
      <c r="BN1763">
        <v>1</v>
      </c>
      <c r="BO1763">
        <v>1</v>
      </c>
      <c r="BP1763" t="s">
        <v>80</v>
      </c>
      <c r="BR1763">
        <v>0</v>
      </c>
      <c r="BS1763">
        <v>6</v>
      </c>
      <c r="BU1763">
        <v>1746857</v>
      </c>
    </row>
    <row r="1764" spans="1:73" x14ac:dyDescent="0.3">
      <c r="A1764" t="s">
        <v>4249</v>
      </c>
      <c r="B1764">
        <v>0</v>
      </c>
      <c r="C1764">
        <v>0</v>
      </c>
      <c r="D1764">
        <v>1</v>
      </c>
      <c r="E1764">
        <v>2742857</v>
      </c>
      <c r="F1764">
        <v>0</v>
      </c>
      <c r="G1764">
        <v>0</v>
      </c>
      <c r="H1764">
        <v>2</v>
      </c>
      <c r="I1764">
        <v>4484734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6</v>
      </c>
      <c r="BC1764" s="1">
        <v>10392601</v>
      </c>
      <c r="BD1764" t="s">
        <v>94</v>
      </c>
      <c r="BE1764" t="s">
        <v>4250</v>
      </c>
      <c r="BF1764" t="s">
        <v>4251</v>
      </c>
      <c r="BH1764" t="s">
        <v>97</v>
      </c>
      <c r="BI1764" t="s">
        <v>265</v>
      </c>
      <c r="BJ1764" t="s">
        <v>79</v>
      </c>
      <c r="BM1764">
        <v>0</v>
      </c>
      <c r="BN1764">
        <v>2</v>
      </c>
      <c r="BO1764">
        <v>2</v>
      </c>
      <c r="BP1764" t="s">
        <v>80</v>
      </c>
      <c r="BR1764">
        <v>0</v>
      </c>
      <c r="BS1764">
        <v>5</v>
      </c>
      <c r="BU1764">
        <v>7227591</v>
      </c>
    </row>
    <row r="1765" spans="1:73" x14ac:dyDescent="0.3">
      <c r="A1765" t="s">
        <v>4261</v>
      </c>
      <c r="B1765">
        <v>0</v>
      </c>
      <c r="C1765">
        <v>163420</v>
      </c>
      <c r="D1765">
        <v>1</v>
      </c>
      <c r="E1765">
        <v>97745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</v>
      </c>
      <c r="BC1765" s="1">
        <v>358910</v>
      </c>
      <c r="BD1765" t="s">
        <v>94</v>
      </c>
      <c r="BE1765" t="s">
        <v>4262</v>
      </c>
      <c r="BF1765" t="s">
        <v>4263</v>
      </c>
      <c r="BH1765" t="s">
        <v>97</v>
      </c>
      <c r="BI1765" t="s">
        <v>98</v>
      </c>
      <c r="BJ1765" t="s">
        <v>79</v>
      </c>
      <c r="BM1765">
        <v>0</v>
      </c>
      <c r="BN1765">
        <v>1</v>
      </c>
      <c r="BO1765">
        <v>1</v>
      </c>
      <c r="BP1765" t="s">
        <v>80</v>
      </c>
      <c r="BR1765">
        <v>0</v>
      </c>
      <c r="BS1765">
        <v>6</v>
      </c>
      <c r="BU1765">
        <v>261165</v>
      </c>
    </row>
    <row r="1766" spans="1:73" x14ac:dyDescent="0.3">
      <c r="A1766" t="s">
        <v>4264</v>
      </c>
      <c r="B1766">
        <v>0</v>
      </c>
      <c r="C1766">
        <v>0</v>
      </c>
      <c r="D1766">
        <v>5</v>
      </c>
      <c r="E1766">
        <v>1300000</v>
      </c>
      <c r="F1766">
        <v>0</v>
      </c>
      <c r="G1766">
        <v>0</v>
      </c>
      <c r="H1766">
        <v>4</v>
      </c>
      <c r="I1766">
        <v>80000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2</v>
      </c>
      <c r="Z1766">
        <v>147070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39166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16</v>
      </c>
      <c r="BC1766" s="1">
        <v>2972472</v>
      </c>
      <c r="BD1766" t="s">
        <v>94</v>
      </c>
      <c r="BE1766" t="s">
        <v>4265</v>
      </c>
      <c r="BF1766" t="s">
        <v>4266</v>
      </c>
      <c r="BH1766" t="s">
        <v>97</v>
      </c>
      <c r="BI1766" t="s">
        <v>208</v>
      </c>
      <c r="BJ1766" t="s">
        <v>79</v>
      </c>
      <c r="BM1766">
        <v>2</v>
      </c>
      <c r="BN1766">
        <v>2</v>
      </c>
      <c r="BO1766">
        <v>4</v>
      </c>
      <c r="BP1766" t="s">
        <v>80</v>
      </c>
      <c r="BR1766">
        <v>0</v>
      </c>
      <c r="BS1766">
        <v>6</v>
      </c>
      <c r="BU1766">
        <v>1566236</v>
      </c>
    </row>
    <row r="1767" spans="1:73" x14ac:dyDescent="0.3">
      <c r="A1767" t="s">
        <v>4279</v>
      </c>
      <c r="B1767">
        <v>1</v>
      </c>
      <c r="C1767">
        <v>285218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</v>
      </c>
      <c r="BC1767" s="1">
        <v>285218</v>
      </c>
      <c r="BD1767" t="s">
        <v>94</v>
      </c>
      <c r="BE1767" t="s">
        <v>4280</v>
      </c>
      <c r="BF1767" t="s">
        <v>4281</v>
      </c>
      <c r="BH1767" t="s">
        <v>77</v>
      </c>
      <c r="BI1767" t="s">
        <v>574</v>
      </c>
      <c r="BJ1767" t="s">
        <v>79</v>
      </c>
      <c r="BM1767">
        <v>0</v>
      </c>
      <c r="BN1767">
        <v>1</v>
      </c>
      <c r="BO1767">
        <v>1</v>
      </c>
      <c r="BP1767" t="s">
        <v>80</v>
      </c>
      <c r="BR1767">
        <v>0</v>
      </c>
      <c r="BS1767">
        <v>6</v>
      </c>
      <c r="BU1767">
        <v>285218</v>
      </c>
    </row>
    <row r="1768" spans="1:73" x14ac:dyDescent="0.3">
      <c r="A1768" t="s">
        <v>4282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67878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8000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3</v>
      </c>
      <c r="BC1768" s="1">
        <v>143756</v>
      </c>
      <c r="BD1768" t="s">
        <v>94</v>
      </c>
      <c r="BE1768" t="s">
        <v>4283</v>
      </c>
      <c r="BF1768" t="s">
        <v>4284</v>
      </c>
      <c r="BH1768" t="s">
        <v>97</v>
      </c>
      <c r="BI1768" t="s">
        <v>208</v>
      </c>
      <c r="BJ1768" t="s">
        <v>79</v>
      </c>
      <c r="BM1768">
        <v>2</v>
      </c>
      <c r="BN1768">
        <v>0</v>
      </c>
      <c r="BO1768">
        <v>2</v>
      </c>
      <c r="BP1768" t="s">
        <v>80</v>
      </c>
      <c r="BR1768">
        <v>0</v>
      </c>
      <c r="BS1768">
        <v>6</v>
      </c>
      <c r="BU1768">
        <v>75878</v>
      </c>
    </row>
    <row r="1769" spans="1:73" x14ac:dyDescent="0.3">
      <c r="A1769" t="s">
        <v>4285</v>
      </c>
      <c r="B1769">
        <v>0</v>
      </c>
      <c r="C1769">
        <v>0</v>
      </c>
      <c r="D1769">
        <v>3</v>
      </c>
      <c r="E1769">
        <v>559999</v>
      </c>
      <c r="F1769">
        <v>0</v>
      </c>
      <c r="G1769">
        <v>0</v>
      </c>
      <c r="H1769">
        <v>4</v>
      </c>
      <c r="I1769">
        <v>87270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6</v>
      </c>
      <c r="BC1769" s="1">
        <v>1119998</v>
      </c>
      <c r="BD1769" t="s">
        <v>94</v>
      </c>
      <c r="BE1769" t="s">
        <v>4286</v>
      </c>
      <c r="BF1769" t="s">
        <v>4287</v>
      </c>
      <c r="BH1769" t="s">
        <v>97</v>
      </c>
      <c r="BI1769" t="s">
        <v>119</v>
      </c>
      <c r="BJ1769" t="s">
        <v>79</v>
      </c>
      <c r="BM1769">
        <v>0</v>
      </c>
      <c r="BN1769">
        <v>2</v>
      </c>
      <c r="BO1769">
        <v>2</v>
      </c>
      <c r="BP1769" t="s">
        <v>80</v>
      </c>
      <c r="BR1769">
        <v>0</v>
      </c>
      <c r="BS1769">
        <v>6</v>
      </c>
      <c r="BU1769">
        <v>647269</v>
      </c>
    </row>
    <row r="1770" spans="1:73" x14ac:dyDescent="0.3">
      <c r="A1770" t="s">
        <v>4288</v>
      </c>
      <c r="B1770">
        <v>0</v>
      </c>
      <c r="C1770">
        <v>0</v>
      </c>
      <c r="D1770">
        <v>2</v>
      </c>
      <c r="E1770">
        <v>484580</v>
      </c>
      <c r="F1770">
        <v>0</v>
      </c>
      <c r="G1770">
        <v>0</v>
      </c>
      <c r="H1770">
        <v>2</v>
      </c>
      <c r="I1770">
        <v>43446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45682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11526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6</v>
      </c>
      <c r="BC1770" s="1">
        <v>1026368</v>
      </c>
      <c r="BD1770" t="s">
        <v>94</v>
      </c>
      <c r="BE1770" t="s">
        <v>4289</v>
      </c>
      <c r="BF1770" t="s">
        <v>4290</v>
      </c>
      <c r="BH1770" t="s">
        <v>97</v>
      </c>
      <c r="BI1770" t="s">
        <v>208</v>
      </c>
      <c r="BJ1770" t="s">
        <v>79</v>
      </c>
      <c r="BM1770">
        <v>2</v>
      </c>
      <c r="BN1770">
        <v>2</v>
      </c>
      <c r="BO1770">
        <v>4</v>
      </c>
      <c r="BP1770" t="s">
        <v>80</v>
      </c>
      <c r="BR1770">
        <v>0</v>
      </c>
      <c r="BS1770">
        <v>6</v>
      </c>
      <c r="BU1770">
        <v>585234</v>
      </c>
    </row>
    <row r="1771" spans="1:73" x14ac:dyDescent="0.3">
      <c r="A1771" t="s">
        <v>4291</v>
      </c>
      <c r="B1771">
        <v>0</v>
      </c>
      <c r="C1771">
        <v>0</v>
      </c>
      <c r="D1771">
        <v>4</v>
      </c>
      <c r="E1771">
        <v>788322</v>
      </c>
      <c r="F1771">
        <v>0</v>
      </c>
      <c r="G1771">
        <v>0</v>
      </c>
      <c r="H1771">
        <v>6</v>
      </c>
      <c r="I1771">
        <v>136644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8</v>
      </c>
      <c r="BC1771" s="1">
        <v>1576644</v>
      </c>
      <c r="BD1771" t="s">
        <v>94</v>
      </c>
      <c r="BE1771" t="s">
        <v>4292</v>
      </c>
      <c r="BF1771" t="s">
        <v>4287</v>
      </c>
      <c r="BH1771" t="s">
        <v>97</v>
      </c>
      <c r="BI1771" t="s">
        <v>119</v>
      </c>
      <c r="BJ1771" t="s">
        <v>79</v>
      </c>
      <c r="BM1771">
        <v>0</v>
      </c>
      <c r="BN1771">
        <v>2</v>
      </c>
      <c r="BO1771">
        <v>2</v>
      </c>
      <c r="BP1771" t="s">
        <v>80</v>
      </c>
      <c r="BR1771">
        <v>0</v>
      </c>
      <c r="BS1771">
        <v>6</v>
      </c>
      <c r="BU1771">
        <v>924966</v>
      </c>
    </row>
    <row r="1772" spans="1:73" x14ac:dyDescent="0.3">
      <c r="A1772" t="s">
        <v>4293</v>
      </c>
      <c r="B1772">
        <v>0</v>
      </c>
      <c r="C1772">
        <v>0</v>
      </c>
      <c r="D1772">
        <v>4</v>
      </c>
      <c r="E1772">
        <v>175758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4</v>
      </c>
      <c r="BC1772" s="1">
        <v>175758</v>
      </c>
      <c r="BD1772" t="s">
        <v>94</v>
      </c>
      <c r="BE1772" t="s">
        <v>4294</v>
      </c>
      <c r="BF1772" t="s">
        <v>4295</v>
      </c>
      <c r="BH1772" t="s">
        <v>97</v>
      </c>
      <c r="BI1772" t="s">
        <v>119</v>
      </c>
      <c r="BJ1772" t="s">
        <v>79</v>
      </c>
      <c r="BM1772">
        <v>0</v>
      </c>
      <c r="BN1772">
        <v>1</v>
      </c>
      <c r="BO1772">
        <v>1</v>
      </c>
      <c r="BP1772" t="s">
        <v>80</v>
      </c>
      <c r="BR1772">
        <v>0</v>
      </c>
      <c r="BS1772">
        <v>6</v>
      </c>
      <c r="BU1772">
        <v>175758</v>
      </c>
    </row>
    <row r="1773" spans="1:73" x14ac:dyDescent="0.3">
      <c r="A1773" t="s">
        <v>4299</v>
      </c>
      <c r="B1773">
        <v>0</v>
      </c>
      <c r="C1773">
        <v>0</v>
      </c>
      <c r="D1773">
        <v>6</v>
      </c>
      <c r="E1773">
        <v>799664</v>
      </c>
      <c r="F1773">
        <v>0</v>
      </c>
      <c r="G1773">
        <v>0</v>
      </c>
      <c r="H1773">
        <v>10</v>
      </c>
      <c r="I1773">
        <v>262186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12</v>
      </c>
      <c r="BC1773" s="1">
        <v>1599328</v>
      </c>
      <c r="BD1773" t="s">
        <v>94</v>
      </c>
      <c r="BE1773" t="s">
        <v>4300</v>
      </c>
      <c r="BF1773" t="s">
        <v>4301</v>
      </c>
      <c r="BH1773" t="s">
        <v>97</v>
      </c>
      <c r="BI1773" t="s">
        <v>208</v>
      </c>
      <c r="BJ1773" t="s">
        <v>79</v>
      </c>
      <c r="BM1773">
        <v>0</v>
      </c>
      <c r="BN1773">
        <v>2</v>
      </c>
      <c r="BO1773">
        <v>2</v>
      </c>
      <c r="BP1773" t="s">
        <v>80</v>
      </c>
      <c r="BR1773">
        <v>0</v>
      </c>
      <c r="BS1773">
        <v>6</v>
      </c>
      <c r="BU1773">
        <v>1061850</v>
      </c>
    </row>
    <row r="1774" spans="1:73" x14ac:dyDescent="0.3">
      <c r="A1774" t="s">
        <v>4305</v>
      </c>
      <c r="B1774">
        <v>1</v>
      </c>
      <c r="C1774">
        <v>320771</v>
      </c>
      <c r="D1774">
        <v>2</v>
      </c>
      <c r="E1774">
        <v>576134</v>
      </c>
      <c r="F1774">
        <v>0</v>
      </c>
      <c r="G1774">
        <v>0</v>
      </c>
      <c r="H1774">
        <v>2</v>
      </c>
      <c r="I1774">
        <v>60268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5</v>
      </c>
      <c r="BC1774" s="1">
        <v>1473039</v>
      </c>
      <c r="BD1774" t="s">
        <v>94</v>
      </c>
      <c r="BE1774" t="s">
        <v>4306</v>
      </c>
      <c r="BF1774" t="s">
        <v>4287</v>
      </c>
      <c r="BH1774" t="s">
        <v>123</v>
      </c>
      <c r="BI1774" t="s">
        <v>124</v>
      </c>
      <c r="BJ1774" t="s">
        <v>125</v>
      </c>
      <c r="BM1774">
        <v>0</v>
      </c>
      <c r="BN1774">
        <v>3</v>
      </c>
      <c r="BO1774">
        <v>3</v>
      </c>
      <c r="BP1774" t="s">
        <v>80</v>
      </c>
      <c r="BR1774">
        <v>0</v>
      </c>
      <c r="BS1774">
        <v>6</v>
      </c>
      <c r="BU1774">
        <v>957173</v>
      </c>
    </row>
    <row r="1775" spans="1:73" x14ac:dyDescent="0.3">
      <c r="A1775" t="s">
        <v>4310</v>
      </c>
      <c r="B1775">
        <v>0</v>
      </c>
      <c r="C1775">
        <v>0</v>
      </c>
      <c r="D1775">
        <v>5</v>
      </c>
      <c r="E1775">
        <v>2330000</v>
      </c>
      <c r="F1775">
        <v>0</v>
      </c>
      <c r="G1775">
        <v>0</v>
      </c>
      <c r="H1775">
        <v>8</v>
      </c>
      <c r="I1775">
        <v>160000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10</v>
      </c>
      <c r="BC1775" s="1">
        <v>4660000</v>
      </c>
      <c r="BD1775" t="s">
        <v>94</v>
      </c>
      <c r="BE1775" t="s">
        <v>4311</v>
      </c>
      <c r="BF1775" t="s">
        <v>4312</v>
      </c>
      <c r="BH1775" t="s">
        <v>97</v>
      </c>
      <c r="BI1775" t="s">
        <v>208</v>
      </c>
      <c r="BJ1775" t="s">
        <v>79</v>
      </c>
      <c r="BM1775">
        <v>0</v>
      </c>
      <c r="BN1775">
        <v>2</v>
      </c>
      <c r="BO1775">
        <v>2</v>
      </c>
      <c r="BP1775" t="s">
        <v>80</v>
      </c>
      <c r="BR1775">
        <v>0</v>
      </c>
      <c r="BS1775">
        <v>6</v>
      </c>
      <c r="BU1775">
        <v>2490000</v>
      </c>
    </row>
    <row r="1776" spans="1:73" x14ac:dyDescent="0.3">
      <c r="A1776" t="s">
        <v>4319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73535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2</v>
      </c>
      <c r="BC1776" s="1">
        <v>147070</v>
      </c>
      <c r="BD1776" t="s">
        <v>94</v>
      </c>
      <c r="BE1776" t="s">
        <v>4320</v>
      </c>
      <c r="BF1776" t="s">
        <v>4321</v>
      </c>
      <c r="BH1776" t="s">
        <v>97</v>
      </c>
      <c r="BI1776" t="s">
        <v>208</v>
      </c>
      <c r="BJ1776" t="s">
        <v>79</v>
      </c>
      <c r="BM1776">
        <v>1</v>
      </c>
      <c r="BN1776">
        <v>0</v>
      </c>
      <c r="BO1776">
        <v>1</v>
      </c>
      <c r="BP1776" t="s">
        <v>80</v>
      </c>
      <c r="BR1776">
        <v>0</v>
      </c>
      <c r="BS1776">
        <v>0</v>
      </c>
      <c r="BU1776">
        <v>73535</v>
      </c>
    </row>
    <row r="1777" spans="1:73" x14ac:dyDescent="0.3">
      <c r="A1777" t="s">
        <v>4328</v>
      </c>
      <c r="B1777">
        <v>0</v>
      </c>
      <c r="C1777">
        <v>0</v>
      </c>
      <c r="D1777">
        <v>1</v>
      </c>
      <c r="E1777">
        <v>1350000</v>
      </c>
      <c r="F1777">
        <v>0</v>
      </c>
      <c r="G1777">
        <v>0</v>
      </c>
      <c r="H1777">
        <v>2</v>
      </c>
      <c r="I1777">
        <v>125737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3</v>
      </c>
      <c r="BC1777" s="1">
        <v>1475737</v>
      </c>
      <c r="BD1777" t="s">
        <v>94</v>
      </c>
      <c r="BE1777" t="s">
        <v>4329</v>
      </c>
      <c r="BF1777" t="s">
        <v>4330</v>
      </c>
      <c r="BH1777" t="s">
        <v>97</v>
      </c>
      <c r="BI1777" t="s">
        <v>265</v>
      </c>
      <c r="BJ1777" t="s">
        <v>79</v>
      </c>
      <c r="BM1777">
        <v>0</v>
      </c>
      <c r="BN1777">
        <v>2</v>
      </c>
      <c r="BO1777">
        <v>2</v>
      </c>
      <c r="BP1777" t="s">
        <v>80</v>
      </c>
      <c r="BR1777">
        <v>0</v>
      </c>
      <c r="BS1777">
        <v>6</v>
      </c>
      <c r="BU1777">
        <v>1475737</v>
      </c>
    </row>
    <row r="1778" spans="1:73" x14ac:dyDescent="0.3">
      <c r="A1778" t="s">
        <v>4340</v>
      </c>
      <c r="B1778">
        <v>0</v>
      </c>
      <c r="C1778">
        <v>0</v>
      </c>
      <c r="D1778">
        <v>1</v>
      </c>
      <c r="E1778">
        <v>600000</v>
      </c>
      <c r="F1778">
        <v>0</v>
      </c>
      <c r="G1778">
        <v>0</v>
      </c>
      <c r="H1778">
        <v>3</v>
      </c>
      <c r="I1778">
        <v>65000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4</v>
      </c>
      <c r="BC1778" s="1">
        <v>665000</v>
      </c>
      <c r="BD1778" t="s">
        <v>94</v>
      </c>
      <c r="BE1778" t="s">
        <v>4341</v>
      </c>
      <c r="BF1778" t="s">
        <v>1349</v>
      </c>
      <c r="BH1778" t="s">
        <v>97</v>
      </c>
      <c r="BI1778" t="s">
        <v>98</v>
      </c>
      <c r="BJ1778" t="s">
        <v>79</v>
      </c>
      <c r="BM1778">
        <v>0</v>
      </c>
      <c r="BN1778">
        <v>2</v>
      </c>
      <c r="BO1778">
        <v>2</v>
      </c>
      <c r="BP1778" t="s">
        <v>514</v>
      </c>
      <c r="BR1778">
        <v>0</v>
      </c>
      <c r="BS1778">
        <v>6</v>
      </c>
      <c r="BU1778">
        <v>665000</v>
      </c>
    </row>
    <row r="1779" spans="1:73" x14ac:dyDescent="0.3">
      <c r="A1779" t="s">
        <v>4342</v>
      </c>
      <c r="B1779">
        <v>0</v>
      </c>
      <c r="C1779">
        <v>0</v>
      </c>
      <c r="D1779">
        <v>2</v>
      </c>
      <c r="E1779">
        <v>600000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20000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5</v>
      </c>
      <c r="BC1779" s="1">
        <v>1220000</v>
      </c>
      <c r="BD1779" t="s">
        <v>94</v>
      </c>
      <c r="BE1779" t="s">
        <v>4343</v>
      </c>
      <c r="BF1779" t="s">
        <v>4344</v>
      </c>
      <c r="BH1779" t="s">
        <v>97</v>
      </c>
      <c r="BI1779" t="s">
        <v>119</v>
      </c>
      <c r="BJ1779" t="s">
        <v>79</v>
      </c>
      <c r="BM1779">
        <v>1</v>
      </c>
      <c r="BN1779">
        <v>1</v>
      </c>
      <c r="BO1779">
        <v>2</v>
      </c>
      <c r="BP1779" t="s">
        <v>80</v>
      </c>
      <c r="BR1779">
        <v>0</v>
      </c>
      <c r="BS1779">
        <v>6</v>
      </c>
      <c r="BU1779">
        <v>620000</v>
      </c>
    </row>
    <row r="1780" spans="1:73" x14ac:dyDescent="0.3">
      <c r="A1780" t="s">
        <v>4354</v>
      </c>
      <c r="B1780">
        <v>0</v>
      </c>
      <c r="C1780">
        <v>0</v>
      </c>
      <c r="D1780">
        <v>1</v>
      </c>
      <c r="E1780">
        <v>171428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2</v>
      </c>
      <c r="BC1780" s="1">
        <v>342856</v>
      </c>
      <c r="BD1780" t="s">
        <v>94</v>
      </c>
      <c r="BE1780" t="s">
        <v>4355</v>
      </c>
      <c r="BF1780" t="s">
        <v>4356</v>
      </c>
      <c r="BH1780" t="s">
        <v>97</v>
      </c>
      <c r="BI1780" t="s">
        <v>119</v>
      </c>
      <c r="BJ1780" t="s">
        <v>79</v>
      </c>
      <c r="BM1780">
        <v>0</v>
      </c>
      <c r="BN1780">
        <v>1</v>
      </c>
      <c r="BO1780">
        <v>1</v>
      </c>
      <c r="BP1780" t="s">
        <v>80</v>
      </c>
      <c r="BR1780">
        <v>0</v>
      </c>
      <c r="BS1780">
        <v>6</v>
      </c>
      <c r="BU1780">
        <v>171428</v>
      </c>
    </row>
    <row r="1781" spans="1:73" x14ac:dyDescent="0.3">
      <c r="A1781" t="s">
        <v>4357</v>
      </c>
      <c r="B1781">
        <v>0</v>
      </c>
      <c r="C1781">
        <v>0</v>
      </c>
      <c r="D1781">
        <v>1</v>
      </c>
      <c r="E1781">
        <v>1714286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2</v>
      </c>
      <c r="Z1781">
        <v>152120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49767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8</v>
      </c>
      <c r="BC1781" s="1">
        <v>3747536</v>
      </c>
      <c r="BD1781" t="s">
        <v>94</v>
      </c>
      <c r="BE1781" t="s">
        <v>4358</v>
      </c>
      <c r="BF1781" t="s">
        <v>4359</v>
      </c>
      <c r="BH1781" t="s">
        <v>97</v>
      </c>
      <c r="BI1781" t="s">
        <v>119</v>
      </c>
      <c r="BJ1781" t="s">
        <v>79</v>
      </c>
      <c r="BM1781">
        <v>2</v>
      </c>
      <c r="BN1781">
        <v>1</v>
      </c>
      <c r="BO1781">
        <v>3</v>
      </c>
      <c r="BP1781" t="s">
        <v>80</v>
      </c>
      <c r="BR1781">
        <v>0</v>
      </c>
      <c r="BS1781">
        <v>6</v>
      </c>
      <c r="BU1781">
        <v>1916173</v>
      </c>
    </row>
    <row r="1782" spans="1:73" x14ac:dyDescent="0.3">
      <c r="A1782" t="s">
        <v>4363</v>
      </c>
      <c r="B1782">
        <v>0</v>
      </c>
      <c r="C1782">
        <v>0</v>
      </c>
      <c r="D1782">
        <v>3</v>
      </c>
      <c r="E1782">
        <v>60000</v>
      </c>
      <c r="F1782">
        <v>1</v>
      </c>
      <c r="G1782">
        <v>17763000</v>
      </c>
      <c r="H1782">
        <v>6</v>
      </c>
      <c r="I1782">
        <v>120000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9</v>
      </c>
      <c r="BC1782" s="1">
        <v>43360286</v>
      </c>
      <c r="BD1782" t="s">
        <v>94</v>
      </c>
      <c r="BE1782" t="s">
        <v>4364</v>
      </c>
      <c r="BF1782" t="s">
        <v>4365</v>
      </c>
      <c r="BH1782" t="s">
        <v>97</v>
      </c>
      <c r="BI1782" t="s">
        <v>265</v>
      </c>
      <c r="BJ1782" t="s">
        <v>79</v>
      </c>
      <c r="BM1782">
        <v>0</v>
      </c>
      <c r="BN1782">
        <v>3</v>
      </c>
      <c r="BO1782">
        <v>3</v>
      </c>
      <c r="BP1782" t="s">
        <v>80</v>
      </c>
      <c r="BR1782">
        <v>0</v>
      </c>
      <c r="BS1782">
        <v>4</v>
      </c>
      <c r="BU1782">
        <v>17943000</v>
      </c>
    </row>
    <row r="1783" spans="1:73" x14ac:dyDescent="0.3">
      <c r="A1783" t="s">
        <v>4372</v>
      </c>
      <c r="B1783">
        <v>0</v>
      </c>
      <c r="C1783">
        <v>0</v>
      </c>
      <c r="D1783">
        <v>7</v>
      </c>
      <c r="E1783">
        <v>4848431</v>
      </c>
      <c r="F1783">
        <v>0</v>
      </c>
      <c r="G1783">
        <v>0</v>
      </c>
      <c r="H1783">
        <v>8</v>
      </c>
      <c r="I1783">
        <v>355044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73535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15</v>
      </c>
      <c r="BC1783" s="1">
        <v>8243932</v>
      </c>
      <c r="BD1783" t="s">
        <v>94</v>
      </c>
      <c r="BE1783" t="s">
        <v>4373</v>
      </c>
      <c r="BF1783" t="s">
        <v>4374</v>
      </c>
      <c r="BH1783" t="s">
        <v>97</v>
      </c>
      <c r="BI1783" t="s">
        <v>208</v>
      </c>
      <c r="BJ1783" t="s">
        <v>79</v>
      </c>
      <c r="BM1783">
        <v>1</v>
      </c>
      <c r="BN1783">
        <v>2</v>
      </c>
      <c r="BO1783">
        <v>3</v>
      </c>
      <c r="BP1783" t="s">
        <v>80</v>
      </c>
      <c r="BR1783">
        <v>0</v>
      </c>
      <c r="BS1783">
        <v>6</v>
      </c>
      <c r="BU1783">
        <v>5277010</v>
      </c>
    </row>
    <row r="1784" spans="1:73" x14ac:dyDescent="0.3">
      <c r="A1784" t="s">
        <v>4375</v>
      </c>
      <c r="B1784">
        <v>0</v>
      </c>
      <c r="C1784">
        <v>0</v>
      </c>
      <c r="D1784">
        <v>1</v>
      </c>
      <c r="E1784">
        <v>1200000</v>
      </c>
      <c r="F1784">
        <v>0</v>
      </c>
      <c r="G1784">
        <v>0</v>
      </c>
      <c r="H1784">
        <v>4</v>
      </c>
      <c r="I1784">
        <v>83808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6</v>
      </c>
      <c r="BC1784" s="1">
        <v>2483808</v>
      </c>
      <c r="BD1784" t="s">
        <v>94</v>
      </c>
      <c r="BE1784" t="s">
        <v>4376</v>
      </c>
      <c r="BF1784" t="s">
        <v>4377</v>
      </c>
      <c r="BH1784" t="s">
        <v>97</v>
      </c>
      <c r="BI1784" t="s">
        <v>119</v>
      </c>
      <c r="BJ1784" t="s">
        <v>79</v>
      </c>
      <c r="BM1784">
        <v>0</v>
      </c>
      <c r="BN1784">
        <v>2</v>
      </c>
      <c r="BO1784">
        <v>2</v>
      </c>
      <c r="BP1784" t="s">
        <v>80</v>
      </c>
      <c r="BR1784">
        <v>0</v>
      </c>
      <c r="BS1784">
        <v>6</v>
      </c>
      <c r="BU1784">
        <v>1283808</v>
      </c>
    </row>
    <row r="1785" spans="1:73" x14ac:dyDescent="0.3">
      <c r="A1785" t="s">
        <v>4378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73535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2</v>
      </c>
      <c r="BC1785" s="1">
        <v>152120</v>
      </c>
      <c r="BD1785" t="s">
        <v>94</v>
      </c>
      <c r="BE1785" t="s">
        <v>4379</v>
      </c>
      <c r="BF1785" t="s">
        <v>4380</v>
      </c>
      <c r="BH1785" t="s">
        <v>97</v>
      </c>
      <c r="BI1785" t="s">
        <v>98</v>
      </c>
      <c r="BJ1785" t="s">
        <v>79</v>
      </c>
      <c r="BM1785">
        <v>1</v>
      </c>
      <c r="BN1785">
        <v>0</v>
      </c>
      <c r="BO1785">
        <v>1</v>
      </c>
      <c r="BP1785" t="s">
        <v>514</v>
      </c>
      <c r="BR1785">
        <v>0</v>
      </c>
      <c r="BS1785">
        <v>6</v>
      </c>
      <c r="BU1785">
        <v>73535</v>
      </c>
    </row>
    <row r="1786" spans="1:73" x14ac:dyDescent="0.3">
      <c r="A1786" t="s">
        <v>4381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</v>
      </c>
      <c r="Z1786">
        <v>165986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4</v>
      </c>
      <c r="BC1786" s="1">
        <v>331972</v>
      </c>
      <c r="BD1786" t="s">
        <v>94</v>
      </c>
      <c r="BE1786" t="s">
        <v>4382</v>
      </c>
      <c r="BF1786" t="s">
        <v>4383</v>
      </c>
      <c r="BH1786" t="s">
        <v>97</v>
      </c>
      <c r="BI1786" t="s">
        <v>208</v>
      </c>
      <c r="BJ1786" t="s">
        <v>79</v>
      </c>
      <c r="BM1786">
        <v>1</v>
      </c>
      <c r="BN1786">
        <v>0</v>
      </c>
      <c r="BO1786">
        <v>1</v>
      </c>
      <c r="BP1786" t="s">
        <v>80</v>
      </c>
      <c r="BR1786">
        <v>0</v>
      </c>
      <c r="BS1786">
        <v>0</v>
      </c>
      <c r="BU1786">
        <v>165986</v>
      </c>
    </row>
    <row r="1787" spans="1:73" x14ac:dyDescent="0.3">
      <c r="A1787" t="s">
        <v>4387</v>
      </c>
      <c r="B1787">
        <v>0</v>
      </c>
      <c r="C1787">
        <v>0</v>
      </c>
      <c r="D1787">
        <v>4</v>
      </c>
      <c r="E1787">
        <v>781239</v>
      </c>
      <c r="F1787">
        <v>0</v>
      </c>
      <c r="G1787">
        <v>0</v>
      </c>
      <c r="H1787">
        <v>6</v>
      </c>
      <c r="I1787">
        <v>122478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73535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10</v>
      </c>
      <c r="BC1787" s="1">
        <v>1709548</v>
      </c>
      <c r="BD1787" t="s">
        <v>94</v>
      </c>
      <c r="BE1787" t="s">
        <v>4388</v>
      </c>
      <c r="BF1787" t="s">
        <v>4389</v>
      </c>
      <c r="BH1787" t="s">
        <v>97</v>
      </c>
      <c r="BI1787" t="s">
        <v>98</v>
      </c>
      <c r="BJ1787" t="s">
        <v>79</v>
      </c>
      <c r="BM1787">
        <v>1</v>
      </c>
      <c r="BN1787">
        <v>2</v>
      </c>
      <c r="BO1787">
        <v>3</v>
      </c>
      <c r="BP1787" t="s">
        <v>80</v>
      </c>
      <c r="BR1787">
        <v>0</v>
      </c>
      <c r="BS1787">
        <v>6</v>
      </c>
      <c r="BU1787">
        <v>977252</v>
      </c>
    </row>
    <row r="1788" spans="1:73" x14ac:dyDescent="0.3">
      <c r="A1788" t="s">
        <v>4395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2</v>
      </c>
      <c r="I1788">
        <v>40000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2</v>
      </c>
      <c r="BC1788" s="1">
        <v>40000</v>
      </c>
      <c r="BD1788" t="s">
        <v>94</v>
      </c>
      <c r="BE1788" t="s">
        <v>4396</v>
      </c>
      <c r="BF1788" t="s">
        <v>2841</v>
      </c>
      <c r="BH1788" t="s">
        <v>97</v>
      </c>
      <c r="BI1788" t="s">
        <v>98</v>
      </c>
      <c r="BJ1788" t="s">
        <v>79</v>
      </c>
      <c r="BM1788">
        <v>0</v>
      </c>
      <c r="BN1788">
        <v>1</v>
      </c>
      <c r="BO1788">
        <v>1</v>
      </c>
      <c r="BP1788" t="s">
        <v>514</v>
      </c>
      <c r="BR1788">
        <v>0</v>
      </c>
      <c r="BS1788">
        <v>6</v>
      </c>
      <c r="BU1788">
        <v>40000</v>
      </c>
    </row>
    <row r="1789" spans="1:73" x14ac:dyDescent="0.3">
      <c r="A1789" t="s">
        <v>4397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</v>
      </c>
      <c r="I1789">
        <v>40000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2</v>
      </c>
      <c r="BC1789" s="1">
        <v>40000</v>
      </c>
      <c r="BD1789" t="s">
        <v>94</v>
      </c>
      <c r="BE1789" t="s">
        <v>4398</v>
      </c>
      <c r="BF1789" t="s">
        <v>4399</v>
      </c>
      <c r="BH1789" t="s">
        <v>97</v>
      </c>
      <c r="BI1789" t="s">
        <v>98</v>
      </c>
      <c r="BJ1789" t="s">
        <v>79</v>
      </c>
      <c r="BM1789">
        <v>0</v>
      </c>
      <c r="BN1789">
        <v>1</v>
      </c>
      <c r="BO1789">
        <v>1</v>
      </c>
      <c r="BP1789" t="s">
        <v>514</v>
      </c>
      <c r="BR1789">
        <v>0</v>
      </c>
      <c r="BS1789">
        <v>6</v>
      </c>
      <c r="BU1789">
        <v>40000</v>
      </c>
    </row>
    <row r="1790" spans="1:73" x14ac:dyDescent="0.3">
      <c r="A1790" t="s">
        <v>4403</v>
      </c>
      <c r="B1790">
        <v>3</v>
      </c>
      <c r="C1790">
        <v>646106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20000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4</v>
      </c>
      <c r="BC1790" s="1">
        <v>666106</v>
      </c>
      <c r="BD1790" t="s">
        <v>94</v>
      </c>
      <c r="BE1790" t="s">
        <v>4404</v>
      </c>
      <c r="BF1790" t="s">
        <v>4405</v>
      </c>
      <c r="BH1790" t="s">
        <v>97</v>
      </c>
      <c r="BI1790" t="s">
        <v>119</v>
      </c>
      <c r="BJ1790" t="s">
        <v>79</v>
      </c>
      <c r="BM1790">
        <v>0</v>
      </c>
      <c r="BN1790">
        <v>2</v>
      </c>
      <c r="BO1790">
        <v>2</v>
      </c>
      <c r="BP1790" t="s">
        <v>80</v>
      </c>
      <c r="BR1790">
        <v>0</v>
      </c>
      <c r="BS1790">
        <v>6</v>
      </c>
      <c r="BU1790">
        <v>666106</v>
      </c>
    </row>
    <row r="1791" spans="1:73" x14ac:dyDescent="0.3">
      <c r="A1791" t="s">
        <v>4406</v>
      </c>
      <c r="B1791">
        <v>0</v>
      </c>
      <c r="C1791">
        <v>0</v>
      </c>
      <c r="D1791">
        <v>1</v>
      </c>
      <c r="E1791">
        <v>1125000</v>
      </c>
      <c r="F1791">
        <v>0</v>
      </c>
      <c r="G1791">
        <v>0</v>
      </c>
      <c r="H1791">
        <v>2</v>
      </c>
      <c r="I1791">
        <v>40000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3</v>
      </c>
      <c r="BC1791" s="1">
        <v>1165000</v>
      </c>
      <c r="BD1791" t="s">
        <v>94</v>
      </c>
      <c r="BE1791" t="s">
        <v>4407</v>
      </c>
      <c r="BF1791" t="s">
        <v>4408</v>
      </c>
      <c r="BH1791" t="s">
        <v>97</v>
      </c>
      <c r="BI1791" t="s">
        <v>208</v>
      </c>
      <c r="BJ1791" t="s">
        <v>79</v>
      </c>
      <c r="BM1791">
        <v>0</v>
      </c>
      <c r="BN1791">
        <v>2</v>
      </c>
      <c r="BO1791">
        <v>2</v>
      </c>
      <c r="BP1791" t="s">
        <v>514</v>
      </c>
      <c r="BR1791">
        <v>0</v>
      </c>
      <c r="BS1791">
        <v>6</v>
      </c>
      <c r="BU1791">
        <v>1165000</v>
      </c>
    </row>
    <row r="1792" spans="1:73" x14ac:dyDescent="0.3">
      <c r="A1792" t="s">
        <v>4409</v>
      </c>
      <c r="B1792">
        <v>1</v>
      </c>
      <c r="C1792">
        <v>481904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 s="1">
        <v>481904</v>
      </c>
      <c r="BD1792" t="s">
        <v>94</v>
      </c>
      <c r="BE1792" t="s">
        <v>4410</v>
      </c>
      <c r="BF1792" t="s">
        <v>4411</v>
      </c>
      <c r="BH1792" t="s">
        <v>97</v>
      </c>
      <c r="BI1792" t="s">
        <v>208</v>
      </c>
      <c r="BJ1792" t="s">
        <v>79</v>
      </c>
      <c r="BM1792">
        <v>0</v>
      </c>
      <c r="BN1792">
        <v>1</v>
      </c>
      <c r="BO1792">
        <v>1</v>
      </c>
      <c r="BP1792" t="s">
        <v>80</v>
      </c>
      <c r="BR1792">
        <v>0</v>
      </c>
      <c r="BS1792">
        <v>6</v>
      </c>
      <c r="BU1792">
        <v>481904</v>
      </c>
    </row>
    <row r="1793" spans="1:73" x14ac:dyDescent="0.3">
      <c r="A1793" t="s">
        <v>4412</v>
      </c>
      <c r="B1793">
        <v>0</v>
      </c>
      <c r="C1793">
        <v>0</v>
      </c>
      <c r="D1793">
        <v>1</v>
      </c>
      <c r="E1793">
        <v>520000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</v>
      </c>
      <c r="BC1793" s="1">
        <v>1040000</v>
      </c>
      <c r="BD1793" t="s">
        <v>94</v>
      </c>
      <c r="BE1793" t="s">
        <v>4413</v>
      </c>
      <c r="BF1793" t="s">
        <v>4414</v>
      </c>
      <c r="BH1793" t="s">
        <v>97</v>
      </c>
      <c r="BI1793" t="s">
        <v>119</v>
      </c>
      <c r="BJ1793" t="s">
        <v>79</v>
      </c>
      <c r="BM1793">
        <v>0</v>
      </c>
      <c r="BN1793">
        <v>1</v>
      </c>
      <c r="BO1793">
        <v>1</v>
      </c>
      <c r="BP1793" t="s">
        <v>80</v>
      </c>
      <c r="BR1793">
        <v>0</v>
      </c>
      <c r="BS1793">
        <v>6</v>
      </c>
      <c r="BU1793">
        <v>520000</v>
      </c>
    </row>
    <row r="1794" spans="1:73" x14ac:dyDescent="0.3">
      <c r="A1794" t="s">
        <v>4418</v>
      </c>
      <c r="B1794">
        <v>0</v>
      </c>
      <c r="C1794">
        <v>0</v>
      </c>
      <c r="D1794">
        <v>5</v>
      </c>
      <c r="E1794">
        <v>2146513</v>
      </c>
      <c r="F1794">
        <v>0</v>
      </c>
      <c r="G1794">
        <v>0</v>
      </c>
      <c r="H1794">
        <v>6</v>
      </c>
      <c r="I1794">
        <v>147882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10</v>
      </c>
      <c r="BC1794" s="1">
        <v>4293026</v>
      </c>
      <c r="BD1794" t="s">
        <v>94</v>
      </c>
      <c r="BE1794" t="s">
        <v>4419</v>
      </c>
      <c r="BF1794" t="s">
        <v>3188</v>
      </c>
      <c r="BH1794" t="s">
        <v>97</v>
      </c>
      <c r="BI1794" t="s">
        <v>98</v>
      </c>
      <c r="BJ1794" t="s">
        <v>79</v>
      </c>
      <c r="BM1794">
        <v>0</v>
      </c>
      <c r="BN1794">
        <v>2</v>
      </c>
      <c r="BO1794">
        <v>2</v>
      </c>
      <c r="BP1794" t="s">
        <v>80</v>
      </c>
      <c r="BR1794">
        <v>0</v>
      </c>
      <c r="BS1794">
        <v>6</v>
      </c>
      <c r="BU1794">
        <v>2294395</v>
      </c>
    </row>
    <row r="1795" spans="1:73" x14ac:dyDescent="0.3">
      <c r="A1795" t="s">
        <v>4423</v>
      </c>
      <c r="B1795">
        <v>1</v>
      </c>
      <c r="C1795">
        <v>227573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47916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2</v>
      </c>
      <c r="BC1795" s="1">
        <v>275489</v>
      </c>
      <c r="BD1795" t="s">
        <v>94</v>
      </c>
      <c r="BE1795" t="s">
        <v>4424</v>
      </c>
      <c r="BF1795" t="s">
        <v>4425</v>
      </c>
      <c r="BH1795" t="s">
        <v>97</v>
      </c>
      <c r="BI1795" t="s">
        <v>1006</v>
      </c>
      <c r="BJ1795" t="s">
        <v>79</v>
      </c>
      <c r="BM1795">
        <v>1</v>
      </c>
      <c r="BN1795">
        <v>1</v>
      </c>
      <c r="BO1795">
        <v>2</v>
      </c>
      <c r="BP1795" t="s">
        <v>80</v>
      </c>
      <c r="BR1795">
        <v>0</v>
      </c>
      <c r="BS1795">
        <v>6</v>
      </c>
      <c r="BU1795">
        <v>275489</v>
      </c>
    </row>
    <row r="1796" spans="1:73" x14ac:dyDescent="0.3">
      <c r="A1796" t="s">
        <v>4426</v>
      </c>
      <c r="B1796">
        <v>0</v>
      </c>
      <c r="C1796">
        <v>0</v>
      </c>
      <c r="D1796">
        <v>2</v>
      </c>
      <c r="E1796">
        <v>1140000</v>
      </c>
      <c r="F1796">
        <v>0</v>
      </c>
      <c r="G1796">
        <v>0</v>
      </c>
      <c r="H1796">
        <v>1</v>
      </c>
      <c r="I1796">
        <v>20000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4</v>
      </c>
      <c r="BC1796" s="1">
        <v>4660000</v>
      </c>
      <c r="BD1796" t="s">
        <v>94</v>
      </c>
      <c r="BE1796" t="s">
        <v>4427</v>
      </c>
      <c r="BF1796" t="s">
        <v>4266</v>
      </c>
      <c r="BH1796" t="s">
        <v>97</v>
      </c>
      <c r="BI1796" t="s">
        <v>208</v>
      </c>
      <c r="BJ1796" t="s">
        <v>79</v>
      </c>
      <c r="BM1796">
        <v>0</v>
      </c>
      <c r="BN1796">
        <v>2</v>
      </c>
      <c r="BO1796">
        <v>2</v>
      </c>
      <c r="BP1796" t="s">
        <v>80</v>
      </c>
      <c r="BR1796">
        <v>0</v>
      </c>
      <c r="BS1796">
        <v>6</v>
      </c>
      <c r="BU1796">
        <v>1160000</v>
      </c>
    </row>
    <row r="1797" spans="1:73" x14ac:dyDescent="0.3">
      <c r="A1797" t="s">
        <v>4428</v>
      </c>
      <c r="B1797">
        <v>0</v>
      </c>
      <c r="C1797">
        <v>0</v>
      </c>
      <c r="D1797">
        <v>7</v>
      </c>
      <c r="E1797">
        <v>3039547</v>
      </c>
      <c r="F1797">
        <v>0</v>
      </c>
      <c r="G1797">
        <v>0</v>
      </c>
      <c r="H1797">
        <v>12</v>
      </c>
      <c r="I1797">
        <v>319094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14</v>
      </c>
      <c r="BC1797" s="1">
        <v>6079094</v>
      </c>
      <c r="BD1797" t="s">
        <v>94</v>
      </c>
      <c r="BE1797" t="s">
        <v>4429</v>
      </c>
      <c r="BF1797" t="s">
        <v>4430</v>
      </c>
      <c r="BH1797" t="s">
        <v>97</v>
      </c>
      <c r="BI1797" t="s">
        <v>265</v>
      </c>
      <c r="BJ1797" t="s">
        <v>79</v>
      </c>
      <c r="BM1797">
        <v>0</v>
      </c>
      <c r="BN1797">
        <v>2</v>
      </c>
      <c r="BO1797">
        <v>2</v>
      </c>
      <c r="BP1797" t="s">
        <v>80</v>
      </c>
      <c r="BR1797">
        <v>0</v>
      </c>
      <c r="BS1797">
        <v>6</v>
      </c>
      <c r="BU1797">
        <v>3358641</v>
      </c>
    </row>
    <row r="1798" spans="1:73" x14ac:dyDescent="0.3">
      <c r="A1798" t="s">
        <v>4431</v>
      </c>
      <c r="B1798">
        <v>0</v>
      </c>
      <c r="C1798">
        <v>0</v>
      </c>
      <c r="D1798">
        <v>2</v>
      </c>
      <c r="E1798">
        <v>2763659</v>
      </c>
      <c r="F1798">
        <v>0</v>
      </c>
      <c r="G1798">
        <v>0</v>
      </c>
      <c r="H1798">
        <v>2</v>
      </c>
      <c r="I1798">
        <v>41604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4</v>
      </c>
      <c r="BC1798" s="1">
        <v>5527318</v>
      </c>
      <c r="BD1798" t="s">
        <v>94</v>
      </c>
      <c r="BE1798" t="s">
        <v>4432</v>
      </c>
      <c r="BF1798" t="s">
        <v>4433</v>
      </c>
      <c r="BH1798" t="s">
        <v>97</v>
      </c>
      <c r="BI1798" t="s">
        <v>265</v>
      </c>
      <c r="BJ1798" t="s">
        <v>79</v>
      </c>
      <c r="BM1798">
        <v>0</v>
      </c>
      <c r="BN1798">
        <v>2</v>
      </c>
      <c r="BO1798">
        <v>2</v>
      </c>
      <c r="BP1798" t="s">
        <v>80</v>
      </c>
      <c r="BR1798">
        <v>0</v>
      </c>
      <c r="BS1798">
        <v>6</v>
      </c>
      <c r="BU1798">
        <v>2805263</v>
      </c>
    </row>
    <row r="1799" spans="1:73" x14ac:dyDescent="0.3">
      <c r="A1799" t="s">
        <v>4439</v>
      </c>
      <c r="B1799">
        <v>0</v>
      </c>
      <c r="C1799">
        <v>0</v>
      </c>
      <c r="D1799">
        <v>1</v>
      </c>
      <c r="E1799">
        <v>857143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2</v>
      </c>
      <c r="BC1799" s="1">
        <v>1714286</v>
      </c>
      <c r="BD1799" t="s">
        <v>94</v>
      </c>
      <c r="BE1799" t="s">
        <v>4440</v>
      </c>
      <c r="BF1799" t="s">
        <v>4441</v>
      </c>
      <c r="BH1799" t="s">
        <v>97</v>
      </c>
      <c r="BI1799" t="s">
        <v>119</v>
      </c>
      <c r="BJ1799" t="s">
        <v>79</v>
      </c>
      <c r="BM1799">
        <v>0</v>
      </c>
      <c r="BN1799">
        <v>1</v>
      </c>
      <c r="BO1799">
        <v>1</v>
      </c>
      <c r="BP1799" t="s">
        <v>80</v>
      </c>
      <c r="BR1799">
        <v>0</v>
      </c>
      <c r="BS1799">
        <v>6</v>
      </c>
      <c r="BU1799">
        <v>857143</v>
      </c>
    </row>
    <row r="1800" spans="1:73" x14ac:dyDescent="0.3">
      <c r="A1800" t="s">
        <v>4459</v>
      </c>
      <c r="B1800">
        <v>0</v>
      </c>
      <c r="C1800">
        <v>0</v>
      </c>
      <c r="D1800">
        <v>3</v>
      </c>
      <c r="E1800">
        <v>820000</v>
      </c>
      <c r="F1800">
        <v>0</v>
      </c>
      <c r="G1800">
        <v>0</v>
      </c>
      <c r="H1800">
        <v>4</v>
      </c>
      <c r="I1800">
        <v>80000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6</v>
      </c>
      <c r="BC1800" s="1">
        <v>1640000</v>
      </c>
      <c r="BD1800" t="s">
        <v>94</v>
      </c>
      <c r="BE1800" t="s">
        <v>4460</v>
      </c>
      <c r="BF1800" t="s">
        <v>4461</v>
      </c>
      <c r="BH1800" t="s">
        <v>97</v>
      </c>
      <c r="BI1800" t="s">
        <v>119</v>
      </c>
      <c r="BJ1800" t="s">
        <v>79</v>
      </c>
      <c r="BM1800">
        <v>0</v>
      </c>
      <c r="BN1800">
        <v>2</v>
      </c>
      <c r="BO1800">
        <v>2</v>
      </c>
      <c r="BP1800" t="s">
        <v>80</v>
      </c>
      <c r="BR1800">
        <v>0</v>
      </c>
      <c r="BS1800">
        <v>6</v>
      </c>
      <c r="BU1800">
        <v>900000</v>
      </c>
    </row>
    <row r="1801" spans="1:73" x14ac:dyDescent="0.3">
      <c r="A1801" t="s">
        <v>4468</v>
      </c>
      <c r="B1801">
        <v>1</v>
      </c>
      <c r="C1801">
        <v>797761</v>
      </c>
      <c r="D1801">
        <v>0</v>
      </c>
      <c r="E1801">
        <v>0</v>
      </c>
      <c r="F1801">
        <v>0</v>
      </c>
      <c r="G1801">
        <v>0</v>
      </c>
      <c r="H1801">
        <v>2</v>
      </c>
      <c r="I1801">
        <v>50000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3</v>
      </c>
      <c r="BC1801" s="1">
        <v>847761</v>
      </c>
      <c r="BD1801" t="s">
        <v>94</v>
      </c>
      <c r="BE1801" t="s">
        <v>4469</v>
      </c>
      <c r="BF1801" t="s">
        <v>4470</v>
      </c>
      <c r="BH1801" t="s">
        <v>123</v>
      </c>
      <c r="BI1801" t="s">
        <v>1532</v>
      </c>
      <c r="BJ1801" t="s">
        <v>125</v>
      </c>
      <c r="BM1801">
        <v>0</v>
      </c>
      <c r="BN1801">
        <v>2</v>
      </c>
      <c r="BO1801">
        <v>2</v>
      </c>
      <c r="BP1801" t="s">
        <v>80</v>
      </c>
      <c r="BR1801">
        <v>0</v>
      </c>
      <c r="BS1801">
        <v>6</v>
      </c>
      <c r="BU1801">
        <v>847761</v>
      </c>
    </row>
    <row r="1802" spans="1:73" x14ac:dyDescent="0.3">
      <c r="A1802" t="s">
        <v>4474</v>
      </c>
      <c r="B1802">
        <v>1</v>
      </c>
      <c r="C1802">
        <v>1056050</v>
      </c>
      <c r="D1802">
        <v>0</v>
      </c>
      <c r="E1802">
        <v>0</v>
      </c>
      <c r="F1802">
        <v>0</v>
      </c>
      <c r="G1802">
        <v>0</v>
      </c>
      <c r="H1802">
        <v>15</v>
      </c>
      <c r="I1802">
        <v>300000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17</v>
      </c>
      <c r="BC1802" s="1">
        <v>1516414</v>
      </c>
      <c r="BD1802" t="s">
        <v>94</v>
      </c>
      <c r="BE1802" t="s">
        <v>4475</v>
      </c>
      <c r="BF1802" t="s">
        <v>4476</v>
      </c>
      <c r="BH1802" t="s">
        <v>97</v>
      </c>
      <c r="BI1802" t="s">
        <v>119</v>
      </c>
      <c r="BJ1802" t="s">
        <v>79</v>
      </c>
      <c r="BM1802">
        <v>0</v>
      </c>
      <c r="BN1802">
        <v>2</v>
      </c>
      <c r="BO1802">
        <v>2</v>
      </c>
      <c r="BP1802" t="s">
        <v>80</v>
      </c>
      <c r="BR1802">
        <v>0</v>
      </c>
      <c r="BS1802">
        <v>6</v>
      </c>
      <c r="BU1802">
        <v>1356050</v>
      </c>
    </row>
    <row r="1803" spans="1:73" x14ac:dyDescent="0.3">
      <c r="A1803" t="s">
        <v>4479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78585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3</v>
      </c>
      <c r="BC1803" s="1">
        <v>2557170</v>
      </c>
      <c r="BD1803" t="s">
        <v>94</v>
      </c>
      <c r="BE1803" t="s">
        <v>4480</v>
      </c>
      <c r="BF1803" t="s">
        <v>4481</v>
      </c>
      <c r="BH1803" t="s">
        <v>97</v>
      </c>
      <c r="BI1803" t="s">
        <v>265</v>
      </c>
      <c r="BJ1803" t="s">
        <v>79</v>
      </c>
      <c r="BM1803">
        <v>1</v>
      </c>
      <c r="BN1803">
        <v>0</v>
      </c>
      <c r="BO1803">
        <v>1</v>
      </c>
      <c r="BP1803" t="s">
        <v>80</v>
      </c>
      <c r="BR1803">
        <v>0</v>
      </c>
      <c r="BS1803">
        <v>6</v>
      </c>
      <c r="BU1803">
        <v>78585</v>
      </c>
    </row>
    <row r="1804" spans="1:73" x14ac:dyDescent="0.3">
      <c r="A1804" t="s">
        <v>4482</v>
      </c>
      <c r="B1804">
        <v>0</v>
      </c>
      <c r="C1804">
        <v>0</v>
      </c>
      <c r="D1804">
        <v>10</v>
      </c>
      <c r="E1804">
        <v>5149860</v>
      </c>
      <c r="F1804">
        <v>0</v>
      </c>
      <c r="G1804">
        <v>0</v>
      </c>
      <c r="H1804">
        <v>16</v>
      </c>
      <c r="I1804">
        <v>799720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73535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22</v>
      </c>
      <c r="BC1804" s="1">
        <v>10446790</v>
      </c>
      <c r="BD1804" t="s">
        <v>94</v>
      </c>
      <c r="BE1804" t="s">
        <v>4483</v>
      </c>
      <c r="BF1804" t="s">
        <v>4365</v>
      </c>
      <c r="BH1804" t="s">
        <v>97</v>
      </c>
      <c r="BI1804" t="s">
        <v>265</v>
      </c>
      <c r="BJ1804" t="s">
        <v>79</v>
      </c>
      <c r="BM1804">
        <v>1</v>
      </c>
      <c r="BN1804">
        <v>2</v>
      </c>
      <c r="BO1804">
        <v>3</v>
      </c>
      <c r="BP1804" t="s">
        <v>80</v>
      </c>
      <c r="BR1804">
        <v>0</v>
      </c>
      <c r="BS1804">
        <v>5</v>
      </c>
      <c r="BU1804">
        <v>6023115</v>
      </c>
    </row>
    <row r="1805" spans="1:73" x14ac:dyDescent="0.3">
      <c r="A1805" t="s">
        <v>4487</v>
      </c>
      <c r="B1805">
        <v>0</v>
      </c>
      <c r="C1805">
        <v>0</v>
      </c>
      <c r="D1805">
        <v>1</v>
      </c>
      <c r="E1805">
        <v>128572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 s="1">
        <v>128572</v>
      </c>
      <c r="BD1805" t="s">
        <v>94</v>
      </c>
      <c r="BE1805" t="s">
        <v>4488</v>
      </c>
      <c r="BF1805" t="s">
        <v>1486</v>
      </c>
      <c r="BH1805" t="s">
        <v>97</v>
      </c>
      <c r="BI1805" t="s">
        <v>208</v>
      </c>
      <c r="BJ1805" t="s">
        <v>79</v>
      </c>
      <c r="BM1805">
        <v>0</v>
      </c>
      <c r="BN1805">
        <v>1</v>
      </c>
      <c r="BO1805">
        <v>1</v>
      </c>
      <c r="BP1805" t="s">
        <v>80</v>
      </c>
      <c r="BR1805">
        <v>0</v>
      </c>
      <c r="BS1805">
        <v>6</v>
      </c>
      <c r="BU1805">
        <v>128572</v>
      </c>
    </row>
    <row r="1806" spans="1:73" x14ac:dyDescent="0.3">
      <c r="A1806" t="s">
        <v>4495</v>
      </c>
      <c r="B1806">
        <v>0</v>
      </c>
      <c r="C1806">
        <v>0</v>
      </c>
      <c r="D1806">
        <v>3</v>
      </c>
      <c r="E1806">
        <v>4388055</v>
      </c>
      <c r="F1806">
        <v>0</v>
      </c>
      <c r="G1806">
        <v>0</v>
      </c>
      <c r="H1806">
        <v>4</v>
      </c>
      <c r="I1806">
        <v>204682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6</v>
      </c>
      <c r="BC1806" s="1">
        <v>8776110</v>
      </c>
      <c r="BD1806" t="s">
        <v>94</v>
      </c>
      <c r="BE1806" t="s">
        <v>4496</v>
      </c>
      <c r="BF1806" t="s">
        <v>4497</v>
      </c>
      <c r="BH1806" t="s">
        <v>97</v>
      </c>
      <c r="BI1806" t="s">
        <v>265</v>
      </c>
      <c r="BJ1806" t="s">
        <v>79</v>
      </c>
      <c r="BM1806">
        <v>0</v>
      </c>
      <c r="BN1806">
        <v>2</v>
      </c>
      <c r="BO1806">
        <v>2</v>
      </c>
      <c r="BP1806" t="s">
        <v>80</v>
      </c>
      <c r="BR1806">
        <v>0</v>
      </c>
      <c r="BS1806">
        <v>6</v>
      </c>
      <c r="BU1806">
        <v>4592737</v>
      </c>
    </row>
    <row r="1807" spans="1:73" x14ac:dyDescent="0.3">
      <c r="A1807" t="s">
        <v>4503</v>
      </c>
      <c r="B1807">
        <v>0</v>
      </c>
      <c r="C1807">
        <v>0</v>
      </c>
      <c r="D1807">
        <v>3</v>
      </c>
      <c r="E1807">
        <v>1678998</v>
      </c>
      <c r="F1807">
        <v>0</v>
      </c>
      <c r="G1807">
        <v>0</v>
      </c>
      <c r="H1807">
        <v>4</v>
      </c>
      <c r="I1807">
        <v>157996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6</v>
      </c>
      <c r="BC1807" s="1">
        <v>3357996</v>
      </c>
      <c r="BD1807" t="s">
        <v>94</v>
      </c>
      <c r="BE1807" t="s">
        <v>4504</v>
      </c>
      <c r="BF1807" t="s">
        <v>4505</v>
      </c>
      <c r="BH1807" t="s">
        <v>97</v>
      </c>
      <c r="BI1807" t="s">
        <v>208</v>
      </c>
      <c r="BJ1807" t="s">
        <v>79</v>
      </c>
      <c r="BM1807">
        <v>0</v>
      </c>
      <c r="BN1807">
        <v>2</v>
      </c>
      <c r="BO1807">
        <v>2</v>
      </c>
      <c r="BP1807" t="s">
        <v>80</v>
      </c>
      <c r="BR1807">
        <v>0</v>
      </c>
      <c r="BS1807">
        <v>6</v>
      </c>
      <c r="BU1807">
        <v>1836994</v>
      </c>
    </row>
    <row r="1808" spans="1:73" x14ac:dyDescent="0.3">
      <c r="A1808" t="s">
        <v>4506</v>
      </c>
      <c r="B1808">
        <v>0</v>
      </c>
      <c r="C1808">
        <v>0</v>
      </c>
      <c r="D1808">
        <v>3</v>
      </c>
      <c r="E1808">
        <v>434768</v>
      </c>
      <c r="F1808">
        <v>0</v>
      </c>
      <c r="G1808">
        <v>0</v>
      </c>
      <c r="H1808">
        <v>4</v>
      </c>
      <c r="I1808">
        <v>101536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6</v>
      </c>
      <c r="BC1808" s="1">
        <v>869536</v>
      </c>
      <c r="BD1808" t="s">
        <v>94</v>
      </c>
      <c r="BE1808" t="s">
        <v>4507</v>
      </c>
      <c r="BF1808" t="s">
        <v>4508</v>
      </c>
      <c r="BH1808" t="s">
        <v>97</v>
      </c>
      <c r="BI1808" t="s">
        <v>265</v>
      </c>
      <c r="BJ1808" t="s">
        <v>79</v>
      </c>
      <c r="BM1808">
        <v>0</v>
      </c>
      <c r="BN1808">
        <v>2</v>
      </c>
      <c r="BO1808">
        <v>2</v>
      </c>
      <c r="BP1808" t="s">
        <v>80</v>
      </c>
      <c r="BR1808">
        <v>0</v>
      </c>
      <c r="BS1808">
        <v>6</v>
      </c>
      <c r="BU1808">
        <v>536304</v>
      </c>
    </row>
    <row r="1809" spans="1:73" x14ac:dyDescent="0.3">
      <c r="A1809" t="s">
        <v>4509</v>
      </c>
      <c r="B1809">
        <v>0</v>
      </c>
      <c r="C1809">
        <v>0</v>
      </c>
      <c r="D1809">
        <v>1</v>
      </c>
      <c r="E1809">
        <v>1714286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2</v>
      </c>
      <c r="BC1809" s="1">
        <v>3428572</v>
      </c>
      <c r="BD1809" t="s">
        <v>94</v>
      </c>
      <c r="BE1809" t="s">
        <v>4510</v>
      </c>
      <c r="BF1809" t="s">
        <v>4266</v>
      </c>
      <c r="BH1809" t="s">
        <v>97</v>
      </c>
      <c r="BI1809" t="s">
        <v>208</v>
      </c>
      <c r="BJ1809" t="s">
        <v>79</v>
      </c>
      <c r="BM1809">
        <v>0</v>
      </c>
      <c r="BN1809">
        <v>1</v>
      </c>
      <c r="BO1809">
        <v>1</v>
      </c>
      <c r="BP1809" t="s">
        <v>80</v>
      </c>
      <c r="BR1809">
        <v>0</v>
      </c>
      <c r="BS1809">
        <v>6</v>
      </c>
      <c r="BU1809">
        <v>1714286</v>
      </c>
    </row>
    <row r="1810" spans="1:73" x14ac:dyDescent="0.3">
      <c r="A1810" t="s">
        <v>4514</v>
      </c>
      <c r="B1810">
        <v>0</v>
      </c>
      <c r="C1810">
        <v>0</v>
      </c>
      <c r="D1810">
        <v>3</v>
      </c>
      <c r="E1810">
        <v>1223736</v>
      </c>
      <c r="F1810">
        <v>0</v>
      </c>
      <c r="G1810">
        <v>0</v>
      </c>
      <c r="H1810">
        <v>4</v>
      </c>
      <c r="I1810">
        <v>133186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6</v>
      </c>
      <c r="BC1810" s="1">
        <v>2447472</v>
      </c>
      <c r="BD1810" t="s">
        <v>94</v>
      </c>
      <c r="BE1810" t="s">
        <v>4515</v>
      </c>
      <c r="BF1810" t="s">
        <v>4516</v>
      </c>
      <c r="BH1810" t="s">
        <v>97</v>
      </c>
      <c r="BI1810" t="s">
        <v>119</v>
      </c>
      <c r="BJ1810" t="s">
        <v>79</v>
      </c>
      <c r="BM1810">
        <v>0</v>
      </c>
      <c r="BN1810">
        <v>2</v>
      </c>
      <c r="BO1810">
        <v>2</v>
      </c>
      <c r="BP1810" t="s">
        <v>80</v>
      </c>
      <c r="BR1810">
        <v>0</v>
      </c>
      <c r="BS1810">
        <v>6</v>
      </c>
      <c r="BU1810">
        <v>1356922</v>
      </c>
    </row>
    <row r="1811" spans="1:73" x14ac:dyDescent="0.3">
      <c r="A1811" t="s">
        <v>4523</v>
      </c>
      <c r="B1811">
        <v>0</v>
      </c>
      <c r="C1811">
        <v>0</v>
      </c>
      <c r="D1811">
        <v>3</v>
      </c>
      <c r="E1811">
        <v>560000</v>
      </c>
      <c r="F1811">
        <v>0</v>
      </c>
      <c r="G1811">
        <v>0</v>
      </c>
      <c r="H1811">
        <v>4</v>
      </c>
      <c r="I1811">
        <v>80000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6</v>
      </c>
      <c r="BC1811" s="1">
        <v>1120000</v>
      </c>
      <c r="BD1811" t="s">
        <v>94</v>
      </c>
      <c r="BE1811" t="s">
        <v>4524</v>
      </c>
      <c r="BF1811" t="s">
        <v>4287</v>
      </c>
      <c r="BH1811" t="s">
        <v>97</v>
      </c>
      <c r="BI1811" t="s">
        <v>119</v>
      </c>
      <c r="BJ1811" t="s">
        <v>79</v>
      </c>
      <c r="BM1811">
        <v>0</v>
      </c>
      <c r="BN1811">
        <v>2</v>
      </c>
      <c r="BO1811">
        <v>2</v>
      </c>
      <c r="BP1811" t="s">
        <v>80</v>
      </c>
      <c r="BR1811">
        <v>0</v>
      </c>
      <c r="BS1811">
        <v>6</v>
      </c>
      <c r="BU1811">
        <v>640000</v>
      </c>
    </row>
    <row r="1812" spans="1:73" x14ac:dyDescent="0.3">
      <c r="A1812" t="s">
        <v>4525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73535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 s="1">
        <v>73535</v>
      </c>
      <c r="BD1812" t="s">
        <v>94</v>
      </c>
      <c r="BE1812" t="s">
        <v>4526</v>
      </c>
      <c r="BF1812" t="s">
        <v>4527</v>
      </c>
      <c r="BH1812" t="s">
        <v>97</v>
      </c>
      <c r="BI1812" t="s">
        <v>208</v>
      </c>
      <c r="BJ1812" t="s">
        <v>79</v>
      </c>
      <c r="BM1812">
        <v>1</v>
      </c>
      <c r="BN1812">
        <v>0</v>
      </c>
      <c r="BO1812">
        <v>1</v>
      </c>
      <c r="BP1812" t="s">
        <v>80</v>
      </c>
      <c r="BR1812">
        <v>0</v>
      </c>
      <c r="BS1812">
        <v>0</v>
      </c>
      <c r="BU1812">
        <v>73535</v>
      </c>
    </row>
    <row r="1813" spans="1:73" x14ac:dyDescent="0.3">
      <c r="A1813" t="s">
        <v>4537</v>
      </c>
      <c r="B1813">
        <v>0</v>
      </c>
      <c r="C1813">
        <v>705460</v>
      </c>
      <c r="D1813">
        <v>5</v>
      </c>
      <c r="E1813">
        <v>5605780</v>
      </c>
      <c r="F1813">
        <v>0</v>
      </c>
      <c r="G1813">
        <v>0</v>
      </c>
      <c r="H1813">
        <v>4</v>
      </c>
      <c r="I1813">
        <v>84292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73535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12</v>
      </c>
      <c r="BC1813" s="1">
        <v>12064090</v>
      </c>
      <c r="BD1813" t="s">
        <v>94</v>
      </c>
      <c r="BE1813" t="s">
        <v>4538</v>
      </c>
      <c r="BF1813" t="s">
        <v>4539</v>
      </c>
      <c r="BH1813" t="s">
        <v>97</v>
      </c>
      <c r="BI1813" t="s">
        <v>265</v>
      </c>
      <c r="BJ1813" t="s">
        <v>79</v>
      </c>
      <c r="BM1813">
        <v>1</v>
      </c>
      <c r="BN1813">
        <v>2</v>
      </c>
      <c r="BO1813">
        <v>3</v>
      </c>
      <c r="BP1813" t="s">
        <v>80</v>
      </c>
      <c r="BR1813">
        <v>0</v>
      </c>
      <c r="BS1813">
        <v>5</v>
      </c>
      <c r="BU1813">
        <v>6469067</v>
      </c>
    </row>
    <row r="1814" spans="1:73" x14ac:dyDescent="0.3">
      <c r="A1814" t="s">
        <v>4540</v>
      </c>
      <c r="B1814">
        <v>0</v>
      </c>
      <c r="C1814">
        <v>0</v>
      </c>
      <c r="D1814">
        <v>2</v>
      </c>
      <c r="E1814">
        <v>930148</v>
      </c>
      <c r="F1814">
        <v>0</v>
      </c>
      <c r="G1814">
        <v>0</v>
      </c>
      <c r="H1814">
        <v>1</v>
      </c>
      <c r="I1814">
        <v>30148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3</v>
      </c>
      <c r="BC1814" s="1">
        <v>1830148</v>
      </c>
      <c r="BD1814" t="s">
        <v>94</v>
      </c>
      <c r="BE1814" t="s">
        <v>4541</v>
      </c>
      <c r="BF1814" t="s">
        <v>4542</v>
      </c>
      <c r="BH1814" t="s">
        <v>97</v>
      </c>
      <c r="BI1814" t="s">
        <v>208</v>
      </c>
      <c r="BJ1814" t="s">
        <v>79</v>
      </c>
      <c r="BM1814">
        <v>0</v>
      </c>
      <c r="BN1814">
        <v>2</v>
      </c>
      <c r="BO1814">
        <v>2</v>
      </c>
      <c r="BP1814" t="s">
        <v>80</v>
      </c>
      <c r="BR1814">
        <v>0</v>
      </c>
      <c r="BS1814">
        <v>6</v>
      </c>
      <c r="BU1814">
        <v>960296</v>
      </c>
    </row>
    <row r="1815" spans="1:73" x14ac:dyDescent="0.3">
      <c r="A1815" t="s">
        <v>4543</v>
      </c>
      <c r="B1815">
        <v>0</v>
      </c>
      <c r="C1815">
        <v>0</v>
      </c>
      <c r="D1815">
        <v>5</v>
      </c>
      <c r="E1815">
        <v>620762</v>
      </c>
      <c r="F1815">
        <v>0</v>
      </c>
      <c r="G1815">
        <v>0</v>
      </c>
      <c r="H1815">
        <v>6</v>
      </c>
      <c r="I1815">
        <v>128800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12</v>
      </c>
      <c r="BC1815" s="1">
        <v>1281524</v>
      </c>
      <c r="BD1815" t="s">
        <v>94</v>
      </c>
      <c r="BE1815" t="s">
        <v>4544</v>
      </c>
      <c r="BF1815" t="s">
        <v>4545</v>
      </c>
      <c r="BH1815" t="s">
        <v>97</v>
      </c>
      <c r="BI1815" t="s">
        <v>119</v>
      </c>
      <c r="BJ1815" t="s">
        <v>79</v>
      </c>
      <c r="BM1815">
        <v>0</v>
      </c>
      <c r="BN1815">
        <v>2</v>
      </c>
      <c r="BO1815">
        <v>2</v>
      </c>
      <c r="BP1815" t="s">
        <v>80</v>
      </c>
      <c r="BR1815">
        <v>0</v>
      </c>
      <c r="BS1815">
        <v>6</v>
      </c>
      <c r="BU1815">
        <v>749562</v>
      </c>
    </row>
    <row r="1816" spans="1:73" x14ac:dyDescent="0.3">
      <c r="A1816" t="s">
        <v>4549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57208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 s="1">
        <v>57208</v>
      </c>
      <c r="BD1816" t="s">
        <v>94</v>
      </c>
      <c r="BE1816" t="s">
        <v>4550</v>
      </c>
      <c r="BF1816" t="s">
        <v>4551</v>
      </c>
      <c r="BH1816" t="s">
        <v>97</v>
      </c>
      <c r="BI1816" t="s">
        <v>119</v>
      </c>
      <c r="BJ1816" t="s">
        <v>79</v>
      </c>
      <c r="BM1816">
        <v>1</v>
      </c>
      <c r="BN1816">
        <v>0</v>
      </c>
      <c r="BO1816">
        <v>1</v>
      </c>
      <c r="BP1816" t="s">
        <v>80</v>
      </c>
      <c r="BR1816">
        <v>0</v>
      </c>
      <c r="BS1816">
        <v>6</v>
      </c>
      <c r="BU1816">
        <v>57208</v>
      </c>
    </row>
    <row r="1817" spans="1:73" x14ac:dyDescent="0.3">
      <c r="A1817" t="s">
        <v>4568</v>
      </c>
      <c r="B1817">
        <v>0</v>
      </c>
      <c r="C1817">
        <v>0</v>
      </c>
      <c r="D1817">
        <v>1</v>
      </c>
      <c r="E1817">
        <v>280519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2</v>
      </c>
      <c r="BC1817" s="1">
        <v>561038</v>
      </c>
      <c r="BD1817" t="s">
        <v>94</v>
      </c>
      <c r="BE1817" t="s">
        <v>4569</v>
      </c>
      <c r="BF1817" t="s">
        <v>4570</v>
      </c>
      <c r="BH1817" t="s">
        <v>97</v>
      </c>
      <c r="BI1817" t="s">
        <v>208</v>
      </c>
      <c r="BJ1817" t="s">
        <v>79</v>
      </c>
      <c r="BM1817">
        <v>0</v>
      </c>
      <c r="BN1817">
        <v>1</v>
      </c>
      <c r="BO1817">
        <v>1</v>
      </c>
      <c r="BP1817" t="s">
        <v>80</v>
      </c>
      <c r="BR1817">
        <v>0</v>
      </c>
      <c r="BS1817">
        <v>6</v>
      </c>
      <c r="BU1817">
        <v>280519</v>
      </c>
    </row>
    <row r="1818" spans="1:73" x14ac:dyDescent="0.3">
      <c r="A1818" t="s">
        <v>4577</v>
      </c>
      <c r="B1818">
        <v>0</v>
      </c>
      <c r="C1818">
        <v>0</v>
      </c>
      <c r="D1818">
        <v>1</v>
      </c>
      <c r="E1818">
        <v>480400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 s="1">
        <v>480400</v>
      </c>
      <c r="BD1818" t="s">
        <v>94</v>
      </c>
      <c r="BE1818" t="s">
        <v>4578</v>
      </c>
      <c r="BF1818" t="s">
        <v>4579</v>
      </c>
      <c r="BH1818" t="s">
        <v>97</v>
      </c>
      <c r="BI1818" t="s">
        <v>119</v>
      </c>
      <c r="BJ1818" t="s">
        <v>79</v>
      </c>
      <c r="BM1818">
        <v>0</v>
      </c>
      <c r="BN1818">
        <v>1</v>
      </c>
      <c r="BO1818">
        <v>1</v>
      </c>
      <c r="BP1818" t="s">
        <v>80</v>
      </c>
      <c r="BR1818">
        <v>0</v>
      </c>
      <c r="BS1818">
        <v>6</v>
      </c>
      <c r="BU1818">
        <v>480400</v>
      </c>
    </row>
    <row r="1819" spans="1:73" x14ac:dyDescent="0.3">
      <c r="A1819" t="s">
        <v>4580</v>
      </c>
      <c r="B1819">
        <v>0</v>
      </c>
      <c r="C1819">
        <v>0</v>
      </c>
      <c r="D1819">
        <v>1</v>
      </c>
      <c r="E1819">
        <v>230400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2</v>
      </c>
      <c r="BC1819" s="1">
        <v>460800</v>
      </c>
      <c r="BD1819" t="s">
        <v>94</v>
      </c>
      <c r="BE1819" t="s">
        <v>4581</v>
      </c>
      <c r="BF1819" t="s">
        <v>4582</v>
      </c>
      <c r="BH1819" t="s">
        <v>97</v>
      </c>
      <c r="BI1819" t="s">
        <v>119</v>
      </c>
      <c r="BJ1819" t="s">
        <v>79</v>
      </c>
      <c r="BM1819">
        <v>0</v>
      </c>
      <c r="BN1819">
        <v>1</v>
      </c>
      <c r="BO1819">
        <v>1</v>
      </c>
      <c r="BP1819" t="s">
        <v>80</v>
      </c>
      <c r="BR1819">
        <v>0</v>
      </c>
      <c r="BS1819">
        <v>6</v>
      </c>
      <c r="BU1819">
        <v>230400</v>
      </c>
    </row>
    <row r="1820" spans="1:73" x14ac:dyDescent="0.3">
      <c r="A1820" t="s">
        <v>4603</v>
      </c>
      <c r="B1820">
        <v>0</v>
      </c>
      <c r="C1820">
        <v>0</v>
      </c>
      <c r="D1820">
        <v>1</v>
      </c>
      <c r="E1820">
        <v>650000</v>
      </c>
      <c r="F1820">
        <v>0</v>
      </c>
      <c r="G1820">
        <v>0</v>
      </c>
      <c r="H1820">
        <v>2</v>
      </c>
      <c r="I1820">
        <v>40000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3</v>
      </c>
      <c r="BC1820" s="1">
        <v>690000</v>
      </c>
      <c r="BD1820" t="s">
        <v>94</v>
      </c>
      <c r="BE1820" t="s">
        <v>4604</v>
      </c>
      <c r="BF1820" t="s">
        <v>4605</v>
      </c>
      <c r="BH1820" t="s">
        <v>97</v>
      </c>
      <c r="BI1820" t="s">
        <v>559</v>
      </c>
      <c r="BJ1820" t="s">
        <v>79</v>
      </c>
      <c r="BM1820">
        <v>0</v>
      </c>
      <c r="BN1820">
        <v>2</v>
      </c>
      <c r="BO1820">
        <v>2</v>
      </c>
      <c r="BP1820" t="s">
        <v>80</v>
      </c>
      <c r="BR1820">
        <v>0</v>
      </c>
      <c r="BS1820">
        <v>6</v>
      </c>
      <c r="BU1820">
        <v>690000</v>
      </c>
    </row>
    <row r="1821" spans="1:73" x14ac:dyDescent="0.3">
      <c r="A1821" t="s">
        <v>4612</v>
      </c>
      <c r="B1821">
        <v>0</v>
      </c>
      <c r="C1821">
        <v>0</v>
      </c>
      <c r="D1821">
        <v>4</v>
      </c>
      <c r="E1821">
        <v>1340825</v>
      </c>
      <c r="F1821">
        <v>0</v>
      </c>
      <c r="G1821">
        <v>0</v>
      </c>
      <c r="H1821">
        <v>6</v>
      </c>
      <c r="I1821">
        <v>329650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8</v>
      </c>
      <c r="BC1821" s="1">
        <v>2681650</v>
      </c>
      <c r="BD1821" t="s">
        <v>94</v>
      </c>
      <c r="BE1821" t="s">
        <v>4613</v>
      </c>
      <c r="BF1821" t="s">
        <v>4614</v>
      </c>
      <c r="BH1821" t="s">
        <v>97</v>
      </c>
      <c r="BI1821" t="s">
        <v>119</v>
      </c>
      <c r="BJ1821" t="s">
        <v>79</v>
      </c>
      <c r="BM1821">
        <v>0</v>
      </c>
      <c r="BN1821">
        <v>2</v>
      </c>
      <c r="BO1821">
        <v>2</v>
      </c>
      <c r="BP1821" t="s">
        <v>80</v>
      </c>
      <c r="BR1821">
        <v>0</v>
      </c>
      <c r="BS1821">
        <v>6</v>
      </c>
      <c r="BU1821">
        <v>1670475</v>
      </c>
    </row>
    <row r="1822" spans="1:73" x14ac:dyDescent="0.3">
      <c r="A1822" t="s">
        <v>4615</v>
      </c>
      <c r="B1822">
        <v>0</v>
      </c>
      <c r="C1822">
        <v>0</v>
      </c>
      <c r="D1822">
        <v>1</v>
      </c>
      <c r="E1822">
        <v>193200</v>
      </c>
      <c r="F1822">
        <v>0</v>
      </c>
      <c r="G1822">
        <v>0</v>
      </c>
      <c r="H1822">
        <v>1</v>
      </c>
      <c r="I1822">
        <v>20000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2</v>
      </c>
      <c r="BC1822" s="1">
        <v>213200</v>
      </c>
      <c r="BD1822" t="s">
        <v>94</v>
      </c>
      <c r="BE1822" t="s">
        <v>4616</v>
      </c>
      <c r="BF1822" t="s">
        <v>4617</v>
      </c>
      <c r="BH1822" t="s">
        <v>97</v>
      </c>
      <c r="BI1822" t="s">
        <v>265</v>
      </c>
      <c r="BJ1822" t="s">
        <v>79</v>
      </c>
      <c r="BM1822">
        <v>0</v>
      </c>
      <c r="BN1822">
        <v>2</v>
      </c>
      <c r="BO1822">
        <v>2</v>
      </c>
      <c r="BP1822" t="s">
        <v>80</v>
      </c>
      <c r="BR1822">
        <v>0</v>
      </c>
      <c r="BS1822">
        <v>6</v>
      </c>
      <c r="BU1822">
        <v>213200</v>
      </c>
    </row>
    <row r="1823" spans="1:73" x14ac:dyDescent="0.3">
      <c r="A1823" t="s">
        <v>4624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7916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</v>
      </c>
      <c r="BC1823" s="1">
        <v>15832</v>
      </c>
      <c r="BD1823" t="s">
        <v>94</v>
      </c>
      <c r="BE1823" t="s">
        <v>4625</v>
      </c>
      <c r="BF1823" t="s">
        <v>4626</v>
      </c>
      <c r="BH1823" t="s">
        <v>97</v>
      </c>
      <c r="BI1823" t="s">
        <v>1006</v>
      </c>
      <c r="BJ1823" t="s">
        <v>79</v>
      </c>
      <c r="BM1823">
        <v>1</v>
      </c>
      <c r="BN1823">
        <v>0</v>
      </c>
      <c r="BO1823">
        <v>1</v>
      </c>
      <c r="BP1823" t="s">
        <v>80</v>
      </c>
      <c r="BR1823">
        <v>0</v>
      </c>
      <c r="BS1823">
        <v>6</v>
      </c>
      <c r="BU1823">
        <v>7916</v>
      </c>
    </row>
    <row r="1824" spans="1:73" x14ac:dyDescent="0.3">
      <c r="A1824" t="s">
        <v>4627</v>
      </c>
      <c r="B1824">
        <v>0</v>
      </c>
      <c r="C1824">
        <v>0</v>
      </c>
      <c r="D1824">
        <v>7</v>
      </c>
      <c r="E1824">
        <v>2197142</v>
      </c>
      <c r="F1824">
        <v>0</v>
      </c>
      <c r="G1824">
        <v>0</v>
      </c>
      <c r="H1824">
        <v>8</v>
      </c>
      <c r="I1824">
        <v>160000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17143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16</v>
      </c>
      <c r="BC1824" s="1">
        <v>4428570</v>
      </c>
      <c r="BD1824" t="s">
        <v>94</v>
      </c>
      <c r="BE1824" t="s">
        <v>4628</v>
      </c>
      <c r="BF1824" t="s">
        <v>4629</v>
      </c>
      <c r="BH1824" t="s">
        <v>97</v>
      </c>
      <c r="BI1824" t="s">
        <v>119</v>
      </c>
      <c r="BJ1824" t="s">
        <v>79</v>
      </c>
      <c r="BM1824">
        <v>0</v>
      </c>
      <c r="BN1824">
        <v>3</v>
      </c>
      <c r="BO1824">
        <v>3</v>
      </c>
      <c r="BP1824" t="s">
        <v>80</v>
      </c>
      <c r="BR1824">
        <v>0</v>
      </c>
      <c r="BS1824">
        <v>6</v>
      </c>
      <c r="BU1824">
        <v>2374285</v>
      </c>
    </row>
    <row r="1825" spans="1:73" x14ac:dyDescent="0.3">
      <c r="A1825" t="s">
        <v>4639</v>
      </c>
      <c r="B1825">
        <v>0</v>
      </c>
      <c r="C1825">
        <v>0</v>
      </c>
      <c r="D1825">
        <v>1</v>
      </c>
      <c r="E1825">
        <v>1800000</v>
      </c>
      <c r="F1825">
        <v>0</v>
      </c>
      <c r="G1825">
        <v>0</v>
      </c>
      <c r="H1825">
        <v>4</v>
      </c>
      <c r="I1825">
        <v>82747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6</v>
      </c>
      <c r="BC1825" s="1">
        <v>3682747</v>
      </c>
      <c r="BD1825" t="s">
        <v>94</v>
      </c>
      <c r="BE1825" t="s">
        <v>4640</v>
      </c>
      <c r="BF1825" t="s">
        <v>4641</v>
      </c>
      <c r="BH1825" t="s">
        <v>97</v>
      </c>
      <c r="BI1825" t="s">
        <v>265</v>
      </c>
      <c r="BJ1825" t="s">
        <v>79</v>
      </c>
      <c r="BM1825">
        <v>0</v>
      </c>
      <c r="BN1825">
        <v>2</v>
      </c>
      <c r="BO1825">
        <v>2</v>
      </c>
      <c r="BP1825" t="s">
        <v>80</v>
      </c>
      <c r="BR1825">
        <v>0</v>
      </c>
      <c r="BS1825">
        <v>6</v>
      </c>
      <c r="BU1825">
        <v>1882747</v>
      </c>
    </row>
    <row r="1826" spans="1:73" x14ac:dyDescent="0.3">
      <c r="A1826" t="s">
        <v>4642</v>
      </c>
      <c r="B1826">
        <v>0</v>
      </c>
      <c r="C1826">
        <v>0</v>
      </c>
      <c r="D1826">
        <v>8</v>
      </c>
      <c r="E1826">
        <v>984000</v>
      </c>
      <c r="F1826">
        <v>0</v>
      </c>
      <c r="G1826">
        <v>0</v>
      </c>
      <c r="H1826">
        <v>12</v>
      </c>
      <c r="I1826">
        <v>240000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16</v>
      </c>
      <c r="BC1826" s="1">
        <v>1968000</v>
      </c>
      <c r="BD1826" t="s">
        <v>94</v>
      </c>
      <c r="BE1826" t="s">
        <v>4643</v>
      </c>
      <c r="BF1826" t="s">
        <v>4644</v>
      </c>
      <c r="BH1826" t="s">
        <v>97</v>
      </c>
      <c r="BI1826" t="s">
        <v>119</v>
      </c>
      <c r="BJ1826" t="s">
        <v>79</v>
      </c>
      <c r="BM1826">
        <v>0</v>
      </c>
      <c r="BN1826">
        <v>2</v>
      </c>
      <c r="BO1826">
        <v>2</v>
      </c>
      <c r="BP1826" t="s">
        <v>80</v>
      </c>
      <c r="BR1826">
        <v>0</v>
      </c>
      <c r="BS1826">
        <v>6</v>
      </c>
      <c r="BU1826">
        <v>1224000</v>
      </c>
    </row>
    <row r="1827" spans="1:73" x14ac:dyDescent="0.3">
      <c r="A1827" t="s">
        <v>4654</v>
      </c>
      <c r="B1827">
        <v>0</v>
      </c>
      <c r="C1827">
        <v>0</v>
      </c>
      <c r="D1827">
        <v>8</v>
      </c>
      <c r="E1827">
        <v>2300000</v>
      </c>
      <c r="F1827">
        <v>0</v>
      </c>
      <c r="G1827">
        <v>0</v>
      </c>
      <c r="H1827">
        <v>14</v>
      </c>
      <c r="I1827">
        <v>280000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29334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19</v>
      </c>
      <c r="BC1827" s="1">
        <v>6030097</v>
      </c>
      <c r="BD1827" t="s">
        <v>94</v>
      </c>
      <c r="BE1827" t="s">
        <v>4655</v>
      </c>
      <c r="BF1827" t="s">
        <v>4656</v>
      </c>
      <c r="BH1827" t="s">
        <v>97</v>
      </c>
      <c r="BI1827" t="s">
        <v>265</v>
      </c>
      <c r="BJ1827" t="s">
        <v>79</v>
      </c>
      <c r="BM1827">
        <v>1</v>
      </c>
      <c r="BN1827">
        <v>2</v>
      </c>
      <c r="BO1827">
        <v>3</v>
      </c>
      <c r="BP1827" t="s">
        <v>80</v>
      </c>
      <c r="BR1827">
        <v>0</v>
      </c>
      <c r="BS1827">
        <v>6</v>
      </c>
      <c r="BU1827">
        <v>2609334</v>
      </c>
    </row>
    <row r="1828" spans="1:73" x14ac:dyDescent="0.3">
      <c r="A1828" t="s">
        <v>4657</v>
      </c>
      <c r="B1828">
        <v>0</v>
      </c>
      <c r="C1828">
        <v>0</v>
      </c>
      <c r="D1828">
        <v>2</v>
      </c>
      <c r="E1828">
        <v>538719</v>
      </c>
      <c r="F1828">
        <v>0</v>
      </c>
      <c r="G1828">
        <v>0</v>
      </c>
      <c r="H1828">
        <v>2</v>
      </c>
      <c r="I1828">
        <v>219256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6</v>
      </c>
      <c r="BC1828" s="1">
        <v>2152763</v>
      </c>
      <c r="BD1828" t="s">
        <v>94</v>
      </c>
      <c r="BE1828" t="s">
        <v>4658</v>
      </c>
      <c r="BF1828" t="s">
        <v>4659</v>
      </c>
      <c r="BH1828" t="s">
        <v>97</v>
      </c>
      <c r="BI1828" t="s">
        <v>98</v>
      </c>
      <c r="BJ1828" t="s">
        <v>79</v>
      </c>
      <c r="BM1828">
        <v>0</v>
      </c>
      <c r="BN1828">
        <v>2</v>
      </c>
      <c r="BO1828">
        <v>2</v>
      </c>
      <c r="BP1828" t="s">
        <v>80</v>
      </c>
      <c r="BR1828">
        <v>0</v>
      </c>
      <c r="BS1828">
        <v>6</v>
      </c>
      <c r="BU1828">
        <v>757975</v>
      </c>
    </row>
    <row r="1829" spans="1:73" x14ac:dyDescent="0.3">
      <c r="A1829" t="s">
        <v>4663</v>
      </c>
      <c r="B1829">
        <v>0</v>
      </c>
      <c r="C1829">
        <v>0</v>
      </c>
      <c r="D1829">
        <v>2</v>
      </c>
      <c r="E1829">
        <v>1647717</v>
      </c>
      <c r="F1829">
        <v>1</v>
      </c>
      <c r="G1829">
        <v>1070000</v>
      </c>
      <c r="H1829">
        <v>2</v>
      </c>
      <c r="I1829">
        <v>295434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7</v>
      </c>
      <c r="BC1829" s="1">
        <v>6264927</v>
      </c>
      <c r="BD1829" t="s">
        <v>94</v>
      </c>
      <c r="BE1829" t="s">
        <v>4664</v>
      </c>
      <c r="BF1829" t="s">
        <v>4665</v>
      </c>
      <c r="BH1829" t="s">
        <v>97</v>
      </c>
      <c r="BI1829" t="s">
        <v>119</v>
      </c>
      <c r="BJ1829" t="s">
        <v>79</v>
      </c>
      <c r="BM1829">
        <v>0</v>
      </c>
      <c r="BN1829">
        <v>3</v>
      </c>
      <c r="BO1829">
        <v>3</v>
      </c>
      <c r="BP1829" t="s">
        <v>80</v>
      </c>
      <c r="BR1829">
        <v>0</v>
      </c>
      <c r="BS1829">
        <v>6</v>
      </c>
      <c r="BU1829">
        <v>3013151</v>
      </c>
    </row>
    <row r="1830" spans="1:73" x14ac:dyDescent="0.3">
      <c r="A1830" t="s">
        <v>4666</v>
      </c>
      <c r="B1830">
        <v>0</v>
      </c>
      <c r="C1830">
        <v>0</v>
      </c>
      <c r="D1830">
        <v>4</v>
      </c>
      <c r="E1830">
        <v>970576</v>
      </c>
      <c r="F1830">
        <v>0</v>
      </c>
      <c r="G1830">
        <v>0</v>
      </c>
      <c r="H1830">
        <v>6</v>
      </c>
      <c r="I1830">
        <v>141152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8</v>
      </c>
      <c r="BC1830" s="1">
        <v>1941152</v>
      </c>
      <c r="BD1830" t="s">
        <v>94</v>
      </c>
      <c r="BE1830" t="s">
        <v>4667</v>
      </c>
      <c r="BF1830" t="s">
        <v>4668</v>
      </c>
      <c r="BH1830" t="s">
        <v>97</v>
      </c>
      <c r="BI1830" t="s">
        <v>119</v>
      </c>
      <c r="BJ1830" t="s">
        <v>79</v>
      </c>
      <c r="BM1830">
        <v>0</v>
      </c>
      <c r="BN1830">
        <v>2</v>
      </c>
      <c r="BO1830">
        <v>2</v>
      </c>
      <c r="BP1830" t="s">
        <v>80</v>
      </c>
      <c r="BR1830">
        <v>0</v>
      </c>
      <c r="BS1830">
        <v>6</v>
      </c>
      <c r="BU1830">
        <v>1111728</v>
      </c>
    </row>
    <row r="1831" spans="1:73" x14ac:dyDescent="0.3">
      <c r="A1831" t="s">
        <v>4678</v>
      </c>
      <c r="B1831">
        <v>0</v>
      </c>
      <c r="C1831">
        <v>0</v>
      </c>
      <c r="D1831">
        <v>2</v>
      </c>
      <c r="E1831">
        <v>625005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5</v>
      </c>
      <c r="BC1831" s="1">
        <v>2085575</v>
      </c>
      <c r="BD1831" t="s">
        <v>94</v>
      </c>
      <c r="BE1831" t="s">
        <v>4679</v>
      </c>
      <c r="BF1831" t="s">
        <v>4680</v>
      </c>
      <c r="BH1831" t="s">
        <v>97</v>
      </c>
      <c r="BI1831" t="s">
        <v>265</v>
      </c>
      <c r="BJ1831" t="s">
        <v>79</v>
      </c>
      <c r="BM1831">
        <v>0</v>
      </c>
      <c r="BN1831">
        <v>1</v>
      </c>
      <c r="BO1831">
        <v>1</v>
      </c>
      <c r="BP1831" t="s">
        <v>80</v>
      </c>
      <c r="BR1831">
        <v>0</v>
      </c>
      <c r="BS1831">
        <v>6</v>
      </c>
      <c r="BU1831">
        <v>625005</v>
      </c>
    </row>
    <row r="1832" spans="1:73" x14ac:dyDescent="0.3">
      <c r="A1832" t="s">
        <v>4690</v>
      </c>
      <c r="B1832">
        <v>0</v>
      </c>
      <c r="C1832">
        <v>0</v>
      </c>
      <c r="D1832">
        <v>18</v>
      </c>
      <c r="E1832">
        <v>5467548</v>
      </c>
      <c r="F1832">
        <v>0</v>
      </c>
      <c r="G1832">
        <v>0</v>
      </c>
      <c r="H1832">
        <v>25</v>
      </c>
      <c r="I1832">
        <v>674583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77</v>
      </c>
      <c r="BC1832" s="1">
        <v>17993011</v>
      </c>
      <c r="BD1832" t="s">
        <v>94</v>
      </c>
      <c r="BE1832" t="s">
        <v>4691</v>
      </c>
      <c r="BF1832" t="s">
        <v>4692</v>
      </c>
      <c r="BH1832" t="s">
        <v>97</v>
      </c>
      <c r="BI1832" t="s">
        <v>265</v>
      </c>
      <c r="BJ1832" t="s">
        <v>79</v>
      </c>
      <c r="BM1832">
        <v>0</v>
      </c>
      <c r="BN1832">
        <v>2</v>
      </c>
      <c r="BO1832">
        <v>2</v>
      </c>
      <c r="BP1832" t="s">
        <v>80</v>
      </c>
      <c r="BR1832">
        <v>0</v>
      </c>
      <c r="BS1832">
        <v>5</v>
      </c>
      <c r="BU1832">
        <v>6142131</v>
      </c>
    </row>
    <row r="1833" spans="1:73" x14ac:dyDescent="0.3">
      <c r="A1833" t="s">
        <v>4693</v>
      </c>
      <c r="B1833">
        <v>0</v>
      </c>
      <c r="C1833">
        <v>0</v>
      </c>
      <c r="D1833">
        <v>1</v>
      </c>
      <c r="E1833">
        <v>857143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2</v>
      </c>
      <c r="BC1833" s="1">
        <v>1714286</v>
      </c>
      <c r="BD1833" t="s">
        <v>94</v>
      </c>
      <c r="BE1833" t="s">
        <v>4694</v>
      </c>
      <c r="BF1833" t="s">
        <v>4695</v>
      </c>
      <c r="BH1833" t="s">
        <v>97</v>
      </c>
      <c r="BI1833" t="s">
        <v>119</v>
      </c>
      <c r="BJ1833" t="s">
        <v>79</v>
      </c>
      <c r="BM1833">
        <v>0</v>
      </c>
      <c r="BN1833">
        <v>1</v>
      </c>
      <c r="BO1833">
        <v>1</v>
      </c>
      <c r="BP1833" t="s">
        <v>80</v>
      </c>
      <c r="BR1833">
        <v>0</v>
      </c>
      <c r="BS1833">
        <v>6</v>
      </c>
      <c r="BU1833">
        <v>857143</v>
      </c>
    </row>
    <row r="1834" spans="1:73" x14ac:dyDescent="0.3">
      <c r="A1834" t="s">
        <v>4696</v>
      </c>
      <c r="B1834">
        <v>0</v>
      </c>
      <c r="C1834">
        <v>0</v>
      </c>
      <c r="D1834">
        <v>4</v>
      </c>
      <c r="E1834">
        <v>6238479</v>
      </c>
      <c r="F1834">
        <v>0</v>
      </c>
      <c r="G1834">
        <v>0</v>
      </c>
      <c r="H1834">
        <v>3</v>
      </c>
      <c r="I1834">
        <v>67050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29</v>
      </c>
      <c r="BC1834" s="1">
        <v>22638402</v>
      </c>
      <c r="BD1834" t="s">
        <v>94</v>
      </c>
      <c r="BE1834" t="s">
        <v>4697</v>
      </c>
      <c r="BF1834" t="s">
        <v>4698</v>
      </c>
      <c r="BH1834" t="s">
        <v>97</v>
      </c>
      <c r="BI1834" t="s">
        <v>98</v>
      </c>
      <c r="BJ1834" t="s">
        <v>79</v>
      </c>
      <c r="BM1834">
        <v>0</v>
      </c>
      <c r="BN1834">
        <v>2</v>
      </c>
      <c r="BO1834">
        <v>2</v>
      </c>
      <c r="BP1834" t="s">
        <v>80</v>
      </c>
      <c r="BR1834">
        <v>0</v>
      </c>
      <c r="BS1834">
        <v>6</v>
      </c>
      <c r="BU1834">
        <v>6305529</v>
      </c>
    </row>
    <row r="1835" spans="1:73" x14ac:dyDescent="0.3">
      <c r="A1835" t="s">
        <v>4702</v>
      </c>
      <c r="B1835">
        <v>0</v>
      </c>
      <c r="C1835">
        <v>0</v>
      </c>
      <c r="D1835">
        <v>3</v>
      </c>
      <c r="E1835">
        <v>1903405</v>
      </c>
      <c r="F1835">
        <v>0</v>
      </c>
      <c r="G1835">
        <v>0</v>
      </c>
      <c r="H1835">
        <v>2</v>
      </c>
      <c r="I1835">
        <v>90238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6</v>
      </c>
      <c r="BC1835" s="1">
        <v>5377096</v>
      </c>
      <c r="BD1835" t="s">
        <v>94</v>
      </c>
      <c r="BE1835" t="s">
        <v>4703</v>
      </c>
      <c r="BF1835" t="s">
        <v>4704</v>
      </c>
      <c r="BH1835" t="s">
        <v>97</v>
      </c>
      <c r="BI1835" t="s">
        <v>208</v>
      </c>
      <c r="BJ1835" t="s">
        <v>79</v>
      </c>
      <c r="BM1835">
        <v>0</v>
      </c>
      <c r="BN1835">
        <v>2</v>
      </c>
      <c r="BO1835">
        <v>2</v>
      </c>
      <c r="BP1835" t="s">
        <v>80</v>
      </c>
      <c r="BR1835">
        <v>0</v>
      </c>
      <c r="BS1835">
        <v>6</v>
      </c>
      <c r="BU1835">
        <v>1993643</v>
      </c>
    </row>
    <row r="1836" spans="1:73" x14ac:dyDescent="0.3">
      <c r="A1836" t="s">
        <v>4708</v>
      </c>
      <c r="B1836">
        <v>0</v>
      </c>
      <c r="C1836">
        <v>0</v>
      </c>
      <c r="D1836">
        <v>1</v>
      </c>
      <c r="E1836">
        <v>168000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2</v>
      </c>
      <c r="BC1836" s="1">
        <v>336000</v>
      </c>
      <c r="BD1836" t="s">
        <v>94</v>
      </c>
      <c r="BE1836" t="s">
        <v>4709</v>
      </c>
      <c r="BF1836" t="s">
        <v>4710</v>
      </c>
      <c r="BH1836" t="s">
        <v>97</v>
      </c>
      <c r="BI1836" t="s">
        <v>107</v>
      </c>
      <c r="BJ1836" t="s">
        <v>79</v>
      </c>
      <c r="BM1836">
        <v>0</v>
      </c>
      <c r="BN1836">
        <v>1</v>
      </c>
      <c r="BO1836">
        <v>1</v>
      </c>
      <c r="BP1836" t="s">
        <v>80</v>
      </c>
      <c r="BR1836">
        <v>0</v>
      </c>
      <c r="BS1836">
        <v>6</v>
      </c>
      <c r="BU1836">
        <v>168000</v>
      </c>
    </row>
    <row r="1837" spans="1:73" x14ac:dyDescent="0.3">
      <c r="A1837" t="s">
        <v>4711</v>
      </c>
      <c r="B1837">
        <v>0</v>
      </c>
      <c r="C1837">
        <v>0</v>
      </c>
      <c r="D1837">
        <v>2</v>
      </c>
      <c r="E1837">
        <v>898258</v>
      </c>
      <c r="F1837">
        <v>0</v>
      </c>
      <c r="G1837">
        <v>0</v>
      </c>
      <c r="H1837">
        <v>2</v>
      </c>
      <c r="I1837">
        <v>68516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5</v>
      </c>
      <c r="BC1837" s="1">
        <v>2122234</v>
      </c>
      <c r="BD1837" t="s">
        <v>94</v>
      </c>
      <c r="BE1837" t="s">
        <v>4712</v>
      </c>
      <c r="BF1837" t="s">
        <v>4713</v>
      </c>
      <c r="BH1837" t="s">
        <v>97</v>
      </c>
      <c r="BI1837" t="s">
        <v>265</v>
      </c>
      <c r="BJ1837" t="s">
        <v>79</v>
      </c>
      <c r="BM1837">
        <v>0</v>
      </c>
      <c r="BN1837">
        <v>2</v>
      </c>
      <c r="BO1837">
        <v>2</v>
      </c>
      <c r="BP1837" t="s">
        <v>80</v>
      </c>
      <c r="BR1837">
        <v>0</v>
      </c>
      <c r="BS1837">
        <v>6</v>
      </c>
      <c r="BU1837">
        <v>966774</v>
      </c>
    </row>
    <row r="1838" spans="1:73" x14ac:dyDescent="0.3">
      <c r="A1838" t="s">
        <v>4726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96439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6919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3</v>
      </c>
      <c r="BC1838" s="1">
        <v>199797</v>
      </c>
      <c r="BD1838" t="s">
        <v>94</v>
      </c>
      <c r="BE1838" t="s">
        <v>4727</v>
      </c>
      <c r="BF1838" t="s">
        <v>4728</v>
      </c>
      <c r="BH1838" t="s">
        <v>97</v>
      </c>
      <c r="BI1838" t="s">
        <v>1006</v>
      </c>
      <c r="BJ1838" t="s">
        <v>79</v>
      </c>
      <c r="BM1838">
        <v>2</v>
      </c>
      <c r="BN1838">
        <v>0</v>
      </c>
      <c r="BO1838">
        <v>2</v>
      </c>
      <c r="BP1838" t="s">
        <v>80</v>
      </c>
      <c r="BR1838">
        <v>0</v>
      </c>
      <c r="BS1838">
        <v>6</v>
      </c>
      <c r="BU1838">
        <v>103358</v>
      </c>
    </row>
    <row r="1839" spans="1:73" x14ac:dyDescent="0.3">
      <c r="A1839" t="s">
        <v>4729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73535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2</v>
      </c>
      <c r="BC1839" s="1">
        <v>147070</v>
      </c>
      <c r="BD1839" t="s">
        <v>94</v>
      </c>
      <c r="BE1839" t="s">
        <v>4730</v>
      </c>
      <c r="BF1839" t="s">
        <v>4731</v>
      </c>
      <c r="BH1839" t="s">
        <v>97</v>
      </c>
      <c r="BI1839" t="s">
        <v>208</v>
      </c>
      <c r="BJ1839" t="s">
        <v>79</v>
      </c>
      <c r="BM1839">
        <v>1</v>
      </c>
      <c r="BN1839">
        <v>0</v>
      </c>
      <c r="BO1839">
        <v>1</v>
      </c>
      <c r="BP1839" t="s">
        <v>80</v>
      </c>
      <c r="BR1839">
        <v>0</v>
      </c>
      <c r="BS1839">
        <v>0</v>
      </c>
      <c r="BU1839">
        <v>73535</v>
      </c>
    </row>
    <row r="1840" spans="1:73" x14ac:dyDescent="0.3">
      <c r="A1840" t="s">
        <v>4741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82993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2</v>
      </c>
      <c r="BC1840" s="1">
        <v>165986</v>
      </c>
      <c r="BD1840" t="s">
        <v>94</v>
      </c>
      <c r="BE1840" t="s">
        <v>4742</v>
      </c>
      <c r="BF1840" t="s">
        <v>4743</v>
      </c>
      <c r="BH1840" t="s">
        <v>97</v>
      </c>
      <c r="BI1840" t="s">
        <v>894</v>
      </c>
      <c r="BJ1840" t="s">
        <v>79</v>
      </c>
      <c r="BM1840">
        <v>1</v>
      </c>
      <c r="BN1840">
        <v>0</v>
      </c>
      <c r="BO1840">
        <v>1</v>
      </c>
      <c r="BP1840" t="s">
        <v>80</v>
      </c>
      <c r="BR1840">
        <v>0</v>
      </c>
      <c r="BS1840">
        <v>0</v>
      </c>
      <c r="BU1840">
        <v>82993</v>
      </c>
    </row>
    <row r="1841" spans="1:73" x14ac:dyDescent="0.3">
      <c r="A1841" t="s">
        <v>4760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19792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 s="1">
        <v>19792</v>
      </c>
      <c r="BD1841" t="s">
        <v>94</v>
      </c>
      <c r="BE1841" t="s">
        <v>4761</v>
      </c>
      <c r="BF1841" t="s">
        <v>4762</v>
      </c>
      <c r="BH1841" t="s">
        <v>97</v>
      </c>
      <c r="BI1841" t="s">
        <v>208</v>
      </c>
      <c r="BJ1841" t="s">
        <v>79</v>
      </c>
      <c r="BM1841">
        <v>1</v>
      </c>
      <c r="BN1841">
        <v>0</v>
      </c>
      <c r="BO1841">
        <v>1</v>
      </c>
      <c r="BP1841" t="s">
        <v>80</v>
      </c>
      <c r="BR1841">
        <v>0</v>
      </c>
      <c r="BS1841">
        <v>0</v>
      </c>
      <c r="BU1841">
        <v>19792</v>
      </c>
    </row>
    <row r="1842" spans="1:73" x14ac:dyDescent="0.3">
      <c r="A1842" t="s">
        <v>4763</v>
      </c>
      <c r="B1842">
        <v>6</v>
      </c>
      <c r="C1842">
        <v>1251359</v>
      </c>
      <c r="D1842">
        <v>5</v>
      </c>
      <c r="E1842">
        <v>1753298</v>
      </c>
      <c r="F1842">
        <v>0</v>
      </c>
      <c r="G1842">
        <v>0</v>
      </c>
      <c r="H1842">
        <v>2</v>
      </c>
      <c r="I1842">
        <v>40000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73535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31666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20</v>
      </c>
      <c r="BC1842" s="1">
        <v>4968357</v>
      </c>
      <c r="BD1842" t="s">
        <v>94</v>
      </c>
      <c r="BE1842" t="s">
        <v>4764</v>
      </c>
      <c r="BF1842" t="s">
        <v>4765</v>
      </c>
      <c r="BH1842" t="s">
        <v>123</v>
      </c>
      <c r="BI1842" t="s">
        <v>124</v>
      </c>
      <c r="BJ1842" t="s">
        <v>125</v>
      </c>
      <c r="BM1842">
        <v>2</v>
      </c>
      <c r="BN1842">
        <v>3</v>
      </c>
      <c r="BO1842">
        <v>5</v>
      </c>
      <c r="BP1842" t="s">
        <v>80</v>
      </c>
      <c r="BR1842">
        <v>0</v>
      </c>
      <c r="BS1842">
        <v>6</v>
      </c>
      <c r="BU1842">
        <v>3149858</v>
      </c>
    </row>
    <row r="1843" spans="1:73" x14ac:dyDescent="0.3">
      <c r="A1843" t="s">
        <v>4768</v>
      </c>
      <c r="B1843">
        <v>0</v>
      </c>
      <c r="C1843">
        <v>0</v>
      </c>
      <c r="D1843">
        <v>3</v>
      </c>
      <c r="E1843">
        <v>2875463</v>
      </c>
      <c r="F1843">
        <v>0</v>
      </c>
      <c r="G1843">
        <v>0</v>
      </c>
      <c r="H1843">
        <v>4</v>
      </c>
      <c r="I1843">
        <v>265212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6</v>
      </c>
      <c r="BC1843" s="1">
        <v>5750926</v>
      </c>
      <c r="BD1843" t="s">
        <v>94</v>
      </c>
      <c r="BE1843" t="s">
        <v>4769</v>
      </c>
      <c r="BF1843" t="s">
        <v>981</v>
      </c>
      <c r="BH1843" t="s">
        <v>97</v>
      </c>
      <c r="BI1843" t="s">
        <v>265</v>
      </c>
      <c r="BJ1843" t="s">
        <v>79</v>
      </c>
      <c r="BM1843">
        <v>0</v>
      </c>
      <c r="BN1843">
        <v>2</v>
      </c>
      <c r="BO1843">
        <v>2</v>
      </c>
      <c r="BP1843" t="s">
        <v>80</v>
      </c>
      <c r="BR1843">
        <v>0</v>
      </c>
      <c r="BS1843">
        <v>6</v>
      </c>
      <c r="BU1843">
        <v>3140675</v>
      </c>
    </row>
    <row r="1844" spans="1:73" x14ac:dyDescent="0.3">
      <c r="A1844" t="s">
        <v>4784</v>
      </c>
      <c r="B1844">
        <v>0</v>
      </c>
      <c r="C1844">
        <v>0</v>
      </c>
      <c r="D1844">
        <v>1</v>
      </c>
      <c r="E1844">
        <v>2400000</v>
      </c>
      <c r="F1844">
        <v>0</v>
      </c>
      <c r="G1844">
        <v>0</v>
      </c>
      <c r="H1844">
        <v>1</v>
      </c>
      <c r="I1844">
        <v>23875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4</v>
      </c>
      <c r="BC1844" s="1">
        <v>4995303</v>
      </c>
      <c r="BD1844" t="s">
        <v>94</v>
      </c>
      <c r="BE1844" t="s">
        <v>4785</v>
      </c>
      <c r="BF1844" t="s">
        <v>4786</v>
      </c>
      <c r="BH1844" t="s">
        <v>97</v>
      </c>
      <c r="BI1844" t="s">
        <v>119</v>
      </c>
      <c r="BJ1844" t="s">
        <v>79</v>
      </c>
      <c r="BM1844">
        <v>0</v>
      </c>
      <c r="BN1844">
        <v>2</v>
      </c>
      <c r="BO1844">
        <v>2</v>
      </c>
      <c r="BP1844" t="s">
        <v>80</v>
      </c>
      <c r="BR1844">
        <v>0</v>
      </c>
      <c r="BS1844">
        <v>6</v>
      </c>
      <c r="BU1844">
        <v>2423875</v>
      </c>
    </row>
    <row r="1845" spans="1:73" x14ac:dyDescent="0.3">
      <c r="A1845" t="s">
        <v>4787</v>
      </c>
      <c r="B1845">
        <v>0</v>
      </c>
      <c r="C1845">
        <v>0</v>
      </c>
      <c r="D1845">
        <v>1</v>
      </c>
      <c r="E1845">
        <v>1157143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2</v>
      </c>
      <c r="BC1845" s="1">
        <v>2314286</v>
      </c>
      <c r="BD1845" t="s">
        <v>94</v>
      </c>
      <c r="BE1845" t="s">
        <v>4788</v>
      </c>
      <c r="BF1845" t="s">
        <v>4789</v>
      </c>
      <c r="BH1845" t="s">
        <v>97</v>
      </c>
      <c r="BI1845" t="s">
        <v>98</v>
      </c>
      <c r="BJ1845" t="s">
        <v>79</v>
      </c>
      <c r="BM1845">
        <v>0</v>
      </c>
      <c r="BN1845">
        <v>1</v>
      </c>
      <c r="BO1845">
        <v>1</v>
      </c>
      <c r="BP1845" t="s">
        <v>80</v>
      </c>
      <c r="BR1845">
        <v>0</v>
      </c>
      <c r="BS1845">
        <v>6</v>
      </c>
      <c r="BU1845">
        <v>1157143</v>
      </c>
    </row>
    <row r="1846" spans="1:73" x14ac:dyDescent="0.3">
      <c r="A1846" t="s">
        <v>4790</v>
      </c>
      <c r="B1846">
        <v>6</v>
      </c>
      <c r="C1846">
        <v>1336362</v>
      </c>
      <c r="D1846">
        <v>8</v>
      </c>
      <c r="E1846">
        <v>3895382</v>
      </c>
      <c r="F1846">
        <v>0</v>
      </c>
      <c r="G1846">
        <v>0</v>
      </c>
      <c r="H1846">
        <v>10</v>
      </c>
      <c r="I1846">
        <v>263492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22</v>
      </c>
      <c r="BC1846" s="1">
        <v>9127126</v>
      </c>
      <c r="BD1846" t="s">
        <v>94</v>
      </c>
      <c r="BE1846" t="s">
        <v>4791</v>
      </c>
      <c r="BF1846" t="s">
        <v>4030</v>
      </c>
      <c r="BH1846" t="s">
        <v>123</v>
      </c>
      <c r="BI1846" t="s">
        <v>124</v>
      </c>
      <c r="BJ1846" t="s">
        <v>125</v>
      </c>
      <c r="BM1846">
        <v>0</v>
      </c>
      <c r="BN1846">
        <v>3</v>
      </c>
      <c r="BO1846">
        <v>3</v>
      </c>
      <c r="BP1846" t="s">
        <v>80</v>
      </c>
      <c r="BR1846">
        <v>0</v>
      </c>
      <c r="BS1846">
        <v>6</v>
      </c>
      <c r="BU1846">
        <v>5495236</v>
      </c>
    </row>
    <row r="1847" spans="1:73" x14ac:dyDescent="0.3">
      <c r="A1847" t="s">
        <v>4792</v>
      </c>
      <c r="B1847">
        <v>0</v>
      </c>
      <c r="C1847">
        <v>0</v>
      </c>
      <c r="D1847">
        <v>3</v>
      </c>
      <c r="E1847">
        <v>424035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62070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17929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8</v>
      </c>
      <c r="BC1847" s="1">
        <v>1025819</v>
      </c>
      <c r="BD1847" t="s">
        <v>94</v>
      </c>
      <c r="BE1847" t="s">
        <v>4793</v>
      </c>
      <c r="BF1847" t="s">
        <v>4794</v>
      </c>
      <c r="BH1847" t="s">
        <v>97</v>
      </c>
      <c r="BI1847" t="s">
        <v>265</v>
      </c>
      <c r="BJ1847" t="s">
        <v>79</v>
      </c>
      <c r="BM1847">
        <v>2</v>
      </c>
      <c r="BN1847">
        <v>1</v>
      </c>
      <c r="BO1847">
        <v>3</v>
      </c>
      <c r="BP1847" t="s">
        <v>80</v>
      </c>
      <c r="BR1847">
        <v>0</v>
      </c>
      <c r="BS1847">
        <v>6</v>
      </c>
      <c r="BU1847">
        <v>504034</v>
      </c>
    </row>
    <row r="1848" spans="1:73" x14ac:dyDescent="0.3">
      <c r="A1848" t="s">
        <v>4795</v>
      </c>
      <c r="B1848">
        <v>0</v>
      </c>
      <c r="C1848">
        <v>0</v>
      </c>
      <c r="D1848">
        <v>1</v>
      </c>
      <c r="E1848">
        <v>2400000</v>
      </c>
      <c r="F1848">
        <v>0</v>
      </c>
      <c r="G1848">
        <v>0</v>
      </c>
      <c r="H1848">
        <v>2</v>
      </c>
      <c r="I1848">
        <v>40000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3</v>
      </c>
      <c r="BC1848" s="1">
        <v>2440000</v>
      </c>
      <c r="BD1848" t="s">
        <v>94</v>
      </c>
      <c r="BE1848" t="s">
        <v>4796</v>
      </c>
      <c r="BF1848" t="s">
        <v>4797</v>
      </c>
      <c r="BH1848" t="s">
        <v>97</v>
      </c>
      <c r="BI1848" t="s">
        <v>98</v>
      </c>
      <c r="BJ1848" t="s">
        <v>79</v>
      </c>
      <c r="BM1848">
        <v>0</v>
      </c>
      <c r="BN1848">
        <v>2</v>
      </c>
      <c r="BO1848">
        <v>2</v>
      </c>
      <c r="BP1848" t="s">
        <v>80</v>
      </c>
      <c r="BR1848">
        <v>0</v>
      </c>
      <c r="BS1848">
        <v>6</v>
      </c>
      <c r="BU1848">
        <v>2440000</v>
      </c>
    </row>
    <row r="1849" spans="1:73" x14ac:dyDescent="0.3">
      <c r="A1849" t="s">
        <v>4798</v>
      </c>
      <c r="B1849">
        <v>0</v>
      </c>
      <c r="C1849">
        <v>0</v>
      </c>
      <c r="D1849">
        <v>1</v>
      </c>
      <c r="E1849">
        <v>857143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</v>
      </c>
      <c r="BC1849" s="1">
        <v>1714286</v>
      </c>
      <c r="BD1849" t="s">
        <v>94</v>
      </c>
      <c r="BE1849" t="s">
        <v>4799</v>
      </c>
      <c r="BF1849" t="s">
        <v>4800</v>
      </c>
      <c r="BH1849" t="s">
        <v>97</v>
      </c>
      <c r="BI1849" t="s">
        <v>119</v>
      </c>
      <c r="BJ1849" t="s">
        <v>79</v>
      </c>
      <c r="BM1849">
        <v>0</v>
      </c>
      <c r="BN1849">
        <v>1</v>
      </c>
      <c r="BO1849">
        <v>1</v>
      </c>
      <c r="BP1849" t="s">
        <v>80</v>
      </c>
      <c r="BR1849">
        <v>0</v>
      </c>
      <c r="BS1849">
        <v>6</v>
      </c>
      <c r="BU1849">
        <v>857143</v>
      </c>
    </row>
    <row r="1850" spans="1:73" x14ac:dyDescent="0.3">
      <c r="A1850" t="s">
        <v>4801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2</v>
      </c>
      <c r="Z1850">
        <v>147070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4</v>
      </c>
      <c r="BC1850" s="1">
        <v>294140</v>
      </c>
      <c r="BD1850" t="s">
        <v>94</v>
      </c>
      <c r="BE1850" t="s">
        <v>4802</v>
      </c>
      <c r="BF1850" t="s">
        <v>4803</v>
      </c>
      <c r="BH1850" t="s">
        <v>97</v>
      </c>
      <c r="BI1850" t="s">
        <v>265</v>
      </c>
      <c r="BJ1850" t="s">
        <v>79</v>
      </c>
      <c r="BM1850">
        <v>1</v>
      </c>
      <c r="BN1850">
        <v>0</v>
      </c>
      <c r="BO1850">
        <v>1</v>
      </c>
      <c r="BP1850" t="s">
        <v>80</v>
      </c>
      <c r="BR1850">
        <v>0</v>
      </c>
      <c r="BS1850">
        <v>6</v>
      </c>
      <c r="BU1850">
        <v>147070</v>
      </c>
    </row>
    <row r="1851" spans="1:73" x14ac:dyDescent="0.3">
      <c r="A1851" t="s">
        <v>4810</v>
      </c>
      <c r="B1851">
        <v>0</v>
      </c>
      <c r="C1851">
        <v>0</v>
      </c>
      <c r="D1851">
        <v>2</v>
      </c>
      <c r="E1851">
        <v>576000</v>
      </c>
      <c r="F1851">
        <v>0</v>
      </c>
      <c r="G1851">
        <v>0</v>
      </c>
      <c r="H1851">
        <v>2</v>
      </c>
      <c r="I1851">
        <v>40000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6</v>
      </c>
      <c r="BC1851" s="1">
        <v>1192000</v>
      </c>
      <c r="BD1851" t="s">
        <v>94</v>
      </c>
      <c r="BE1851" t="s">
        <v>4811</v>
      </c>
      <c r="BF1851" t="s">
        <v>4812</v>
      </c>
      <c r="BH1851" t="s">
        <v>97</v>
      </c>
      <c r="BI1851" t="s">
        <v>119</v>
      </c>
      <c r="BJ1851" t="s">
        <v>79</v>
      </c>
      <c r="BM1851">
        <v>0</v>
      </c>
      <c r="BN1851">
        <v>2</v>
      </c>
      <c r="BO1851">
        <v>2</v>
      </c>
      <c r="BP1851" t="s">
        <v>80</v>
      </c>
      <c r="BR1851">
        <v>0</v>
      </c>
      <c r="BS1851">
        <v>6</v>
      </c>
      <c r="BU1851">
        <v>616000</v>
      </c>
    </row>
    <row r="1852" spans="1:73" x14ac:dyDescent="0.3">
      <c r="A1852" t="s">
        <v>4813</v>
      </c>
      <c r="B1852">
        <v>1</v>
      </c>
      <c r="C1852">
        <v>167591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 s="1">
        <v>167591</v>
      </c>
      <c r="BD1852" t="s">
        <v>94</v>
      </c>
      <c r="BE1852" t="s">
        <v>4814</v>
      </c>
      <c r="BF1852" t="s">
        <v>4815</v>
      </c>
      <c r="BH1852" t="s">
        <v>97</v>
      </c>
      <c r="BI1852" t="s">
        <v>208</v>
      </c>
      <c r="BJ1852" t="s">
        <v>79</v>
      </c>
      <c r="BM1852">
        <v>0</v>
      </c>
      <c r="BN1852">
        <v>1</v>
      </c>
      <c r="BO1852">
        <v>1</v>
      </c>
      <c r="BP1852" t="s">
        <v>80</v>
      </c>
      <c r="BR1852">
        <v>0</v>
      </c>
      <c r="BS1852">
        <v>6</v>
      </c>
      <c r="BU1852">
        <v>167591</v>
      </c>
    </row>
    <row r="1853" spans="1:73" x14ac:dyDescent="0.3">
      <c r="A1853" t="s">
        <v>4816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19792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 s="1">
        <v>19792</v>
      </c>
      <c r="BD1853" t="s">
        <v>94</v>
      </c>
      <c r="BE1853" t="s">
        <v>4817</v>
      </c>
      <c r="BF1853" t="s">
        <v>4818</v>
      </c>
      <c r="BH1853" t="s">
        <v>97</v>
      </c>
      <c r="BI1853" t="s">
        <v>265</v>
      </c>
      <c r="BJ1853" t="s">
        <v>79</v>
      </c>
      <c r="BM1853">
        <v>1</v>
      </c>
      <c r="BN1853">
        <v>0</v>
      </c>
      <c r="BO1853">
        <v>1</v>
      </c>
      <c r="BP1853" t="s">
        <v>80</v>
      </c>
      <c r="BR1853">
        <v>0</v>
      </c>
      <c r="BS1853">
        <v>0</v>
      </c>
      <c r="BU1853">
        <v>19792</v>
      </c>
    </row>
    <row r="1854" spans="1:73" x14ac:dyDescent="0.3">
      <c r="A1854" t="s">
        <v>4825</v>
      </c>
      <c r="B1854">
        <v>0</v>
      </c>
      <c r="C1854">
        <v>0</v>
      </c>
      <c r="D1854">
        <v>1</v>
      </c>
      <c r="E1854">
        <v>462857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</v>
      </c>
      <c r="BC1854" s="1">
        <v>925714</v>
      </c>
      <c r="BD1854" t="s">
        <v>94</v>
      </c>
      <c r="BE1854" t="s">
        <v>4826</v>
      </c>
      <c r="BF1854" t="s">
        <v>4827</v>
      </c>
      <c r="BH1854" t="s">
        <v>123</v>
      </c>
      <c r="BI1854" t="s">
        <v>124</v>
      </c>
      <c r="BJ1854" t="s">
        <v>125</v>
      </c>
      <c r="BM1854">
        <v>0</v>
      </c>
      <c r="BN1854">
        <v>1</v>
      </c>
      <c r="BO1854">
        <v>1</v>
      </c>
      <c r="BP1854" t="s">
        <v>80</v>
      </c>
      <c r="BR1854">
        <v>0</v>
      </c>
      <c r="BS1854">
        <v>6</v>
      </c>
      <c r="BU1854">
        <v>462857</v>
      </c>
    </row>
    <row r="1855" spans="1:73" x14ac:dyDescent="0.3">
      <c r="A1855" t="s">
        <v>4828</v>
      </c>
      <c r="B1855">
        <v>0</v>
      </c>
      <c r="C1855">
        <v>0</v>
      </c>
      <c r="D1855">
        <v>1</v>
      </c>
      <c r="E1855">
        <v>205715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</v>
      </c>
      <c r="BC1855" s="1">
        <v>411430</v>
      </c>
      <c r="BD1855" t="s">
        <v>94</v>
      </c>
      <c r="BE1855" t="s">
        <v>4829</v>
      </c>
      <c r="BF1855" t="s">
        <v>4830</v>
      </c>
      <c r="BH1855" t="s">
        <v>123</v>
      </c>
      <c r="BI1855" t="s">
        <v>1532</v>
      </c>
      <c r="BJ1855" t="s">
        <v>125</v>
      </c>
      <c r="BM1855">
        <v>0</v>
      </c>
      <c r="BN1855">
        <v>1</v>
      </c>
      <c r="BO1855">
        <v>1</v>
      </c>
      <c r="BP1855" t="s">
        <v>80</v>
      </c>
      <c r="BR1855">
        <v>0</v>
      </c>
      <c r="BS1855">
        <v>6</v>
      </c>
      <c r="BU1855">
        <v>205715</v>
      </c>
    </row>
    <row r="1856" spans="1:73" x14ac:dyDescent="0.3">
      <c r="A1856" t="s">
        <v>4831</v>
      </c>
      <c r="B1856">
        <v>0</v>
      </c>
      <c r="C1856">
        <v>0</v>
      </c>
      <c r="D1856">
        <v>1</v>
      </c>
      <c r="E1856">
        <v>205715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</v>
      </c>
      <c r="BC1856" s="1">
        <v>205715</v>
      </c>
      <c r="BD1856" t="s">
        <v>94</v>
      </c>
      <c r="BE1856" t="s">
        <v>4832</v>
      </c>
      <c r="BF1856" t="s">
        <v>4833</v>
      </c>
      <c r="BH1856" t="s">
        <v>97</v>
      </c>
      <c r="BI1856" t="s">
        <v>119</v>
      </c>
      <c r="BJ1856" t="s">
        <v>79</v>
      </c>
      <c r="BM1856">
        <v>0</v>
      </c>
      <c r="BN1856">
        <v>1</v>
      </c>
      <c r="BO1856">
        <v>1</v>
      </c>
      <c r="BP1856" t="s">
        <v>80</v>
      </c>
      <c r="BR1856">
        <v>0</v>
      </c>
      <c r="BS1856">
        <v>6</v>
      </c>
      <c r="BU1856">
        <v>205715</v>
      </c>
    </row>
    <row r="1857" spans="1:73" x14ac:dyDescent="0.3">
      <c r="A1857" t="s">
        <v>4840</v>
      </c>
      <c r="B1857">
        <v>0</v>
      </c>
      <c r="C1857">
        <v>0</v>
      </c>
      <c r="D1857">
        <v>1</v>
      </c>
      <c r="E1857">
        <v>516364</v>
      </c>
      <c r="F1857">
        <v>0</v>
      </c>
      <c r="G1857">
        <v>0</v>
      </c>
      <c r="H1857">
        <v>2</v>
      </c>
      <c r="I1857">
        <v>109685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73535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6</v>
      </c>
      <c r="BC1857" s="1">
        <v>1387376</v>
      </c>
      <c r="BD1857" t="s">
        <v>94</v>
      </c>
      <c r="BE1857" t="s">
        <v>4841</v>
      </c>
      <c r="BF1857" t="s">
        <v>4842</v>
      </c>
      <c r="BH1857" t="s">
        <v>97</v>
      </c>
      <c r="BI1857" t="s">
        <v>119</v>
      </c>
      <c r="BJ1857" t="s">
        <v>79</v>
      </c>
      <c r="BM1857">
        <v>1</v>
      </c>
      <c r="BN1857">
        <v>2</v>
      </c>
      <c r="BO1857">
        <v>3</v>
      </c>
      <c r="BP1857" t="s">
        <v>80</v>
      </c>
      <c r="BR1857">
        <v>0</v>
      </c>
      <c r="BS1857">
        <v>6</v>
      </c>
      <c r="BU1857">
        <v>699584</v>
      </c>
    </row>
    <row r="1858" spans="1:73" x14ac:dyDescent="0.3">
      <c r="A1858" t="s">
        <v>4849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96439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2</v>
      </c>
      <c r="BC1858" s="1">
        <v>192878</v>
      </c>
      <c r="BD1858" t="s">
        <v>94</v>
      </c>
      <c r="BE1858" t="s">
        <v>4850</v>
      </c>
      <c r="BF1858" t="s">
        <v>4851</v>
      </c>
      <c r="BH1858" t="s">
        <v>97</v>
      </c>
      <c r="BI1858" t="s">
        <v>208</v>
      </c>
      <c r="BJ1858" t="s">
        <v>79</v>
      </c>
      <c r="BM1858">
        <v>1</v>
      </c>
      <c r="BN1858">
        <v>0</v>
      </c>
      <c r="BO1858">
        <v>1</v>
      </c>
      <c r="BP1858" t="s">
        <v>80</v>
      </c>
      <c r="BR1858">
        <v>0</v>
      </c>
      <c r="BS1858">
        <v>0</v>
      </c>
      <c r="BU1858">
        <v>96439</v>
      </c>
    </row>
    <row r="1859" spans="1:73" x14ac:dyDescent="0.3">
      <c r="A1859" t="s">
        <v>4855</v>
      </c>
      <c r="B1859">
        <v>0</v>
      </c>
      <c r="C1859">
        <v>0</v>
      </c>
      <c r="D1859">
        <v>1</v>
      </c>
      <c r="E1859">
        <v>144000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2</v>
      </c>
      <c r="BC1859" s="1">
        <v>288000</v>
      </c>
      <c r="BD1859" t="s">
        <v>94</v>
      </c>
      <c r="BE1859" t="s">
        <v>4856</v>
      </c>
      <c r="BF1859" t="s">
        <v>4857</v>
      </c>
      <c r="BH1859" t="s">
        <v>97</v>
      </c>
      <c r="BI1859" t="s">
        <v>265</v>
      </c>
      <c r="BJ1859" t="s">
        <v>79</v>
      </c>
      <c r="BM1859">
        <v>0</v>
      </c>
      <c r="BN1859">
        <v>1</v>
      </c>
      <c r="BO1859">
        <v>1</v>
      </c>
      <c r="BP1859" t="s">
        <v>80</v>
      </c>
      <c r="BR1859">
        <v>0</v>
      </c>
      <c r="BS1859">
        <v>6</v>
      </c>
      <c r="BU1859">
        <v>144000</v>
      </c>
    </row>
    <row r="1860" spans="1:73" x14ac:dyDescent="0.3">
      <c r="A1860" t="s">
        <v>4864</v>
      </c>
      <c r="B1860">
        <v>3</v>
      </c>
      <c r="C1860">
        <v>442849</v>
      </c>
      <c r="D1860">
        <v>3</v>
      </c>
      <c r="E1860">
        <v>217236</v>
      </c>
      <c r="F1860">
        <v>0</v>
      </c>
      <c r="G1860">
        <v>0</v>
      </c>
      <c r="H1860">
        <v>6</v>
      </c>
      <c r="I1860">
        <v>434472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10</v>
      </c>
      <c r="BC1860" s="1">
        <v>1305896</v>
      </c>
      <c r="BD1860" t="s">
        <v>94</v>
      </c>
      <c r="BE1860" t="s">
        <v>4865</v>
      </c>
      <c r="BF1860" t="s">
        <v>4866</v>
      </c>
      <c r="BH1860" t="s">
        <v>123</v>
      </c>
      <c r="BI1860" t="s">
        <v>124</v>
      </c>
      <c r="BJ1860" t="s">
        <v>125</v>
      </c>
      <c r="BM1860">
        <v>0</v>
      </c>
      <c r="BN1860">
        <v>3</v>
      </c>
      <c r="BO1860">
        <v>3</v>
      </c>
      <c r="BP1860" t="s">
        <v>80</v>
      </c>
      <c r="BR1860">
        <v>0</v>
      </c>
      <c r="BS1860">
        <v>6</v>
      </c>
      <c r="BU1860">
        <v>1094557</v>
      </c>
    </row>
    <row r="1861" spans="1:73" x14ac:dyDescent="0.3">
      <c r="A1861" t="s">
        <v>4876</v>
      </c>
      <c r="B1861">
        <v>0</v>
      </c>
      <c r="C1861">
        <v>0</v>
      </c>
      <c r="D1861">
        <v>2</v>
      </c>
      <c r="E1861">
        <v>768000</v>
      </c>
      <c r="F1861">
        <v>0</v>
      </c>
      <c r="G1861">
        <v>0</v>
      </c>
      <c r="H1861">
        <v>1</v>
      </c>
      <c r="I1861">
        <v>20000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3</v>
      </c>
      <c r="BC1861" s="1">
        <v>788000</v>
      </c>
      <c r="BD1861" t="s">
        <v>94</v>
      </c>
      <c r="BE1861" t="s">
        <v>4877</v>
      </c>
      <c r="BF1861" t="s">
        <v>4878</v>
      </c>
      <c r="BH1861" t="s">
        <v>97</v>
      </c>
      <c r="BI1861" t="s">
        <v>119</v>
      </c>
      <c r="BJ1861" t="s">
        <v>79</v>
      </c>
      <c r="BM1861">
        <v>0</v>
      </c>
      <c r="BN1861">
        <v>2</v>
      </c>
      <c r="BO1861">
        <v>2</v>
      </c>
      <c r="BP1861" t="s">
        <v>80</v>
      </c>
      <c r="BR1861">
        <v>0</v>
      </c>
      <c r="BS1861">
        <v>6</v>
      </c>
      <c r="BU1861">
        <v>788000</v>
      </c>
    </row>
    <row r="1862" spans="1:73" x14ac:dyDescent="0.3">
      <c r="A1862" t="s">
        <v>4879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2</v>
      </c>
      <c r="I1862">
        <v>2090476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2</v>
      </c>
      <c r="BC1862" s="1">
        <v>2090476</v>
      </c>
      <c r="BD1862" t="s">
        <v>94</v>
      </c>
      <c r="BE1862" t="s">
        <v>4880</v>
      </c>
      <c r="BF1862" t="s">
        <v>4881</v>
      </c>
      <c r="BH1862" t="s">
        <v>97</v>
      </c>
      <c r="BI1862" t="s">
        <v>265</v>
      </c>
      <c r="BJ1862" t="s">
        <v>79</v>
      </c>
      <c r="BM1862">
        <v>0</v>
      </c>
      <c r="BN1862">
        <v>1</v>
      </c>
      <c r="BO1862">
        <v>1</v>
      </c>
      <c r="BP1862" t="s">
        <v>80</v>
      </c>
      <c r="BR1862">
        <v>0</v>
      </c>
      <c r="BS1862">
        <v>6</v>
      </c>
      <c r="BU1862">
        <v>2090476</v>
      </c>
    </row>
    <row r="1863" spans="1:73" x14ac:dyDescent="0.3">
      <c r="A1863" t="s">
        <v>4885</v>
      </c>
      <c r="B1863">
        <v>19</v>
      </c>
      <c r="C1863">
        <v>4403413</v>
      </c>
      <c r="D1863">
        <v>15</v>
      </c>
      <c r="E1863">
        <v>9335150</v>
      </c>
      <c r="F1863">
        <v>0</v>
      </c>
      <c r="G1863">
        <v>0</v>
      </c>
      <c r="H1863">
        <v>20</v>
      </c>
      <c r="I1863">
        <v>557158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51</v>
      </c>
      <c r="BC1863" s="1">
        <v>31439428</v>
      </c>
      <c r="BD1863" t="s">
        <v>94</v>
      </c>
      <c r="BE1863" t="s">
        <v>4886</v>
      </c>
      <c r="BF1863" t="s">
        <v>4887</v>
      </c>
      <c r="BH1863" t="s">
        <v>123</v>
      </c>
      <c r="BI1863" t="s">
        <v>124</v>
      </c>
      <c r="BJ1863" t="s">
        <v>125</v>
      </c>
      <c r="BM1863">
        <v>0</v>
      </c>
      <c r="BN1863">
        <v>3</v>
      </c>
      <c r="BO1863">
        <v>3</v>
      </c>
      <c r="BP1863" t="s">
        <v>80</v>
      </c>
      <c r="BR1863">
        <v>0</v>
      </c>
      <c r="BS1863">
        <v>4</v>
      </c>
      <c r="BU1863">
        <v>14295721</v>
      </c>
    </row>
    <row r="1864" spans="1:73" x14ac:dyDescent="0.3">
      <c r="A1864" t="s">
        <v>4891</v>
      </c>
      <c r="B1864">
        <v>6</v>
      </c>
      <c r="C1864">
        <v>2428637</v>
      </c>
      <c r="D1864">
        <v>5</v>
      </c>
      <c r="E1864">
        <v>4957431</v>
      </c>
      <c r="F1864">
        <v>0</v>
      </c>
      <c r="G1864">
        <v>0</v>
      </c>
      <c r="H1864">
        <v>4</v>
      </c>
      <c r="I1864">
        <v>164862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73535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38788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20</v>
      </c>
      <c r="BC1864" s="1">
        <v>12568145</v>
      </c>
      <c r="BD1864" t="s">
        <v>94</v>
      </c>
      <c r="BE1864" t="s">
        <v>4892</v>
      </c>
      <c r="BF1864" t="s">
        <v>4893</v>
      </c>
      <c r="BH1864" t="s">
        <v>123</v>
      </c>
      <c r="BI1864" t="s">
        <v>124</v>
      </c>
      <c r="BJ1864" t="s">
        <v>125</v>
      </c>
      <c r="BM1864">
        <v>2</v>
      </c>
      <c r="BN1864">
        <v>3</v>
      </c>
      <c r="BO1864">
        <v>5</v>
      </c>
      <c r="BP1864" t="s">
        <v>80</v>
      </c>
      <c r="BR1864">
        <v>0</v>
      </c>
      <c r="BS1864">
        <v>5</v>
      </c>
      <c r="BU1864">
        <v>7663253</v>
      </c>
    </row>
    <row r="1865" spans="1:73" x14ac:dyDescent="0.3">
      <c r="A1865" t="s">
        <v>4894</v>
      </c>
      <c r="B1865">
        <v>0</v>
      </c>
      <c r="C1865">
        <v>0</v>
      </c>
      <c r="D1865">
        <v>1</v>
      </c>
      <c r="E1865">
        <v>700000</v>
      </c>
      <c r="F1865">
        <v>0</v>
      </c>
      <c r="G1865">
        <v>0</v>
      </c>
      <c r="H1865">
        <v>2</v>
      </c>
      <c r="I1865">
        <v>40000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4</v>
      </c>
      <c r="BC1865" s="1">
        <v>1440000</v>
      </c>
      <c r="BD1865" t="s">
        <v>94</v>
      </c>
      <c r="BE1865" t="s">
        <v>4895</v>
      </c>
      <c r="BF1865" t="s">
        <v>4896</v>
      </c>
      <c r="BH1865" t="s">
        <v>97</v>
      </c>
      <c r="BI1865" t="s">
        <v>160</v>
      </c>
      <c r="BJ1865" t="s">
        <v>79</v>
      </c>
      <c r="BM1865">
        <v>0</v>
      </c>
      <c r="BN1865">
        <v>2</v>
      </c>
      <c r="BO1865">
        <v>2</v>
      </c>
      <c r="BP1865" t="s">
        <v>80</v>
      </c>
      <c r="BR1865">
        <v>0</v>
      </c>
      <c r="BS1865">
        <v>6</v>
      </c>
      <c r="BU1865">
        <v>740000</v>
      </c>
    </row>
    <row r="1866" spans="1:73" x14ac:dyDescent="0.3">
      <c r="A1866" t="s">
        <v>4897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82993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3</v>
      </c>
      <c r="BC1866" s="1">
        <v>262425</v>
      </c>
      <c r="BD1866" t="s">
        <v>94</v>
      </c>
      <c r="BE1866" t="s">
        <v>4898</v>
      </c>
      <c r="BF1866" t="s">
        <v>4899</v>
      </c>
      <c r="BH1866" t="s">
        <v>97</v>
      </c>
      <c r="BI1866" t="s">
        <v>103</v>
      </c>
      <c r="BJ1866" t="s">
        <v>79</v>
      </c>
      <c r="BM1866">
        <v>1</v>
      </c>
      <c r="BN1866">
        <v>0</v>
      </c>
      <c r="BO1866">
        <v>1</v>
      </c>
      <c r="BP1866" t="s">
        <v>80</v>
      </c>
      <c r="BR1866">
        <v>0</v>
      </c>
      <c r="BS1866">
        <v>6</v>
      </c>
      <c r="BU1866">
        <v>82993</v>
      </c>
    </row>
    <row r="1867" spans="1:73" x14ac:dyDescent="0.3">
      <c r="A1867" t="s">
        <v>4914</v>
      </c>
      <c r="B1867">
        <v>0</v>
      </c>
      <c r="C1867">
        <v>0</v>
      </c>
      <c r="D1867">
        <v>2</v>
      </c>
      <c r="E1867">
        <v>4500000</v>
      </c>
      <c r="F1867">
        <v>0</v>
      </c>
      <c r="G1867">
        <v>0</v>
      </c>
      <c r="H1867">
        <v>4</v>
      </c>
      <c r="I1867">
        <v>140001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96439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7</v>
      </c>
      <c r="BC1867" s="1">
        <v>4736440</v>
      </c>
      <c r="BD1867" t="s">
        <v>94</v>
      </c>
      <c r="BE1867" t="s">
        <v>4915</v>
      </c>
      <c r="BF1867" t="s">
        <v>4225</v>
      </c>
      <c r="BH1867" t="s">
        <v>97</v>
      </c>
      <c r="BI1867" t="s">
        <v>265</v>
      </c>
      <c r="BJ1867" t="s">
        <v>79</v>
      </c>
      <c r="BM1867">
        <v>1</v>
      </c>
      <c r="BN1867">
        <v>2</v>
      </c>
      <c r="BO1867">
        <v>3</v>
      </c>
      <c r="BP1867" t="s">
        <v>80</v>
      </c>
      <c r="BR1867">
        <v>0</v>
      </c>
      <c r="BS1867">
        <v>6</v>
      </c>
      <c r="BU1867">
        <v>4736440</v>
      </c>
    </row>
    <row r="1868" spans="1:73" x14ac:dyDescent="0.3">
      <c r="A1868" t="s">
        <v>4925</v>
      </c>
      <c r="B1868">
        <v>0</v>
      </c>
      <c r="C1868">
        <v>0</v>
      </c>
      <c r="D1868">
        <v>2</v>
      </c>
      <c r="E1868">
        <v>1548829</v>
      </c>
      <c r="F1868">
        <v>0</v>
      </c>
      <c r="G1868">
        <v>0</v>
      </c>
      <c r="H1868">
        <v>6</v>
      </c>
      <c r="I1868">
        <v>238328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10</v>
      </c>
      <c r="BC1868" s="1">
        <v>3335986</v>
      </c>
      <c r="BD1868" t="s">
        <v>94</v>
      </c>
      <c r="BE1868" t="s">
        <v>4926</v>
      </c>
      <c r="BF1868" t="s">
        <v>4927</v>
      </c>
      <c r="BH1868" t="s">
        <v>97</v>
      </c>
      <c r="BI1868" t="s">
        <v>98</v>
      </c>
      <c r="BJ1868" t="s">
        <v>79</v>
      </c>
      <c r="BM1868">
        <v>0</v>
      </c>
      <c r="BN1868">
        <v>2</v>
      </c>
      <c r="BO1868">
        <v>2</v>
      </c>
      <c r="BP1868" t="s">
        <v>80</v>
      </c>
      <c r="BR1868">
        <v>0</v>
      </c>
      <c r="BS1868">
        <v>6</v>
      </c>
      <c r="BU1868">
        <v>1787157</v>
      </c>
    </row>
    <row r="1869" spans="1:73" x14ac:dyDescent="0.3">
      <c r="A1869" t="s">
        <v>4931</v>
      </c>
      <c r="B1869">
        <v>1</v>
      </c>
      <c r="C1869">
        <v>232182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 s="1">
        <v>232182</v>
      </c>
      <c r="BD1869" t="s">
        <v>94</v>
      </c>
      <c r="BE1869" t="s">
        <v>4932</v>
      </c>
      <c r="BF1869" t="s">
        <v>4933</v>
      </c>
      <c r="BH1869" t="s">
        <v>97</v>
      </c>
      <c r="BI1869" t="s">
        <v>265</v>
      </c>
      <c r="BJ1869" t="s">
        <v>79</v>
      </c>
      <c r="BM1869">
        <v>0</v>
      </c>
      <c r="BN1869">
        <v>1</v>
      </c>
      <c r="BO1869">
        <v>1</v>
      </c>
      <c r="BP1869" t="s">
        <v>80</v>
      </c>
      <c r="BR1869">
        <v>0</v>
      </c>
      <c r="BS1869">
        <v>6</v>
      </c>
      <c r="BU1869">
        <v>232182</v>
      </c>
    </row>
    <row r="1870" spans="1:73" x14ac:dyDescent="0.3">
      <c r="A1870" t="s">
        <v>4937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7916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 s="1">
        <v>7916</v>
      </c>
      <c r="BD1870" t="s">
        <v>94</v>
      </c>
      <c r="BE1870" t="s">
        <v>4938</v>
      </c>
      <c r="BF1870" t="s">
        <v>4939</v>
      </c>
      <c r="BH1870" t="s">
        <v>97</v>
      </c>
      <c r="BI1870" t="s">
        <v>208</v>
      </c>
      <c r="BJ1870" t="s">
        <v>79</v>
      </c>
      <c r="BM1870">
        <v>1</v>
      </c>
      <c r="BN1870">
        <v>0</v>
      </c>
      <c r="BO1870">
        <v>1</v>
      </c>
      <c r="BP1870" t="s">
        <v>80</v>
      </c>
      <c r="BR1870">
        <v>0</v>
      </c>
      <c r="BS1870">
        <v>0</v>
      </c>
      <c r="BU1870">
        <v>7916</v>
      </c>
    </row>
    <row r="1871" spans="1:73" x14ac:dyDescent="0.3">
      <c r="A1871" t="s">
        <v>4940</v>
      </c>
      <c r="B1871">
        <v>0</v>
      </c>
      <c r="C1871">
        <v>0</v>
      </c>
      <c r="D1871">
        <v>1</v>
      </c>
      <c r="E1871">
        <v>163636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2</v>
      </c>
      <c r="BC1871" s="1">
        <v>327272</v>
      </c>
      <c r="BD1871" t="s">
        <v>94</v>
      </c>
      <c r="BE1871" t="s">
        <v>4941</v>
      </c>
      <c r="BF1871" t="s">
        <v>4942</v>
      </c>
      <c r="BH1871" t="s">
        <v>97</v>
      </c>
      <c r="BI1871" t="s">
        <v>119</v>
      </c>
      <c r="BJ1871" t="s">
        <v>79</v>
      </c>
      <c r="BM1871">
        <v>0</v>
      </c>
      <c r="BN1871">
        <v>1</v>
      </c>
      <c r="BO1871">
        <v>1</v>
      </c>
      <c r="BP1871" t="s">
        <v>80</v>
      </c>
      <c r="BR1871">
        <v>0</v>
      </c>
      <c r="BS1871">
        <v>6</v>
      </c>
      <c r="BU1871">
        <v>163636</v>
      </c>
    </row>
    <row r="1872" spans="1:73" x14ac:dyDescent="0.3">
      <c r="A1872" t="s">
        <v>4946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78585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 s="1">
        <v>78585</v>
      </c>
      <c r="BD1872" t="s">
        <v>94</v>
      </c>
      <c r="BE1872" t="s">
        <v>4947</v>
      </c>
      <c r="BF1872" t="s">
        <v>4948</v>
      </c>
      <c r="BH1872" t="s">
        <v>97</v>
      </c>
      <c r="BI1872" t="s">
        <v>119</v>
      </c>
      <c r="BJ1872" t="s">
        <v>79</v>
      </c>
      <c r="BM1872">
        <v>1</v>
      </c>
      <c r="BN1872">
        <v>0</v>
      </c>
      <c r="BO1872">
        <v>1</v>
      </c>
      <c r="BP1872" t="s">
        <v>80</v>
      </c>
      <c r="BR1872">
        <v>0</v>
      </c>
      <c r="BS1872">
        <v>0</v>
      </c>
      <c r="BU1872">
        <v>78585</v>
      </c>
    </row>
    <row r="1873" spans="1:73" x14ac:dyDescent="0.3">
      <c r="A1873" t="s">
        <v>4955</v>
      </c>
      <c r="B1873">
        <v>0</v>
      </c>
      <c r="C1873">
        <v>0</v>
      </c>
      <c r="D1873">
        <v>4</v>
      </c>
      <c r="E1873">
        <v>1914503</v>
      </c>
      <c r="F1873">
        <v>0</v>
      </c>
      <c r="G1873">
        <v>0</v>
      </c>
      <c r="H1873">
        <v>3</v>
      </c>
      <c r="I1873">
        <v>111634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6</v>
      </c>
      <c r="BC1873" s="1">
        <v>3674606</v>
      </c>
      <c r="BD1873" t="s">
        <v>94</v>
      </c>
      <c r="BE1873" t="s">
        <v>4956</v>
      </c>
      <c r="BF1873" t="s">
        <v>981</v>
      </c>
      <c r="BH1873" t="s">
        <v>123</v>
      </c>
      <c r="BI1873" t="s">
        <v>124</v>
      </c>
      <c r="BJ1873" t="s">
        <v>125</v>
      </c>
      <c r="BM1873">
        <v>0</v>
      </c>
      <c r="BN1873">
        <v>2</v>
      </c>
      <c r="BO1873">
        <v>2</v>
      </c>
      <c r="BP1873" t="s">
        <v>80</v>
      </c>
      <c r="BR1873">
        <v>0</v>
      </c>
      <c r="BS1873">
        <v>6</v>
      </c>
      <c r="BU1873">
        <v>2026137</v>
      </c>
    </row>
    <row r="1874" spans="1:73" x14ac:dyDescent="0.3">
      <c r="A1874" t="s">
        <v>4957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78585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 s="1">
        <v>78585</v>
      </c>
      <c r="BD1874" t="s">
        <v>94</v>
      </c>
      <c r="BE1874" t="s">
        <v>4958</v>
      </c>
      <c r="BF1874" t="s">
        <v>4959</v>
      </c>
      <c r="BH1874" t="s">
        <v>97</v>
      </c>
      <c r="BI1874" t="s">
        <v>265</v>
      </c>
      <c r="BJ1874" t="s">
        <v>79</v>
      </c>
      <c r="BM1874">
        <v>1</v>
      </c>
      <c r="BN1874">
        <v>0</v>
      </c>
      <c r="BO1874">
        <v>1</v>
      </c>
      <c r="BP1874" t="s">
        <v>80</v>
      </c>
      <c r="BR1874">
        <v>0</v>
      </c>
      <c r="BS1874">
        <v>6</v>
      </c>
      <c r="BU1874">
        <v>78585</v>
      </c>
    </row>
    <row r="1875" spans="1:73" x14ac:dyDescent="0.3">
      <c r="A1875" t="s">
        <v>4960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78585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 s="1">
        <v>78585</v>
      </c>
      <c r="BD1875" t="s">
        <v>94</v>
      </c>
      <c r="BE1875" t="s">
        <v>4961</v>
      </c>
      <c r="BF1875" t="s">
        <v>4962</v>
      </c>
      <c r="BH1875" t="s">
        <v>97</v>
      </c>
      <c r="BI1875" t="s">
        <v>265</v>
      </c>
      <c r="BJ1875" t="s">
        <v>79</v>
      </c>
      <c r="BM1875">
        <v>1</v>
      </c>
      <c r="BN1875">
        <v>0</v>
      </c>
      <c r="BO1875">
        <v>1</v>
      </c>
      <c r="BP1875" t="s">
        <v>80</v>
      </c>
      <c r="BR1875">
        <v>0</v>
      </c>
      <c r="BS1875">
        <v>0</v>
      </c>
      <c r="BU1875">
        <v>78585</v>
      </c>
    </row>
    <row r="1876" spans="1:73" x14ac:dyDescent="0.3">
      <c r="A1876" t="s">
        <v>4965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78585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19792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2</v>
      </c>
      <c r="BC1876" s="1">
        <v>98377</v>
      </c>
      <c r="BD1876" t="s">
        <v>94</v>
      </c>
      <c r="BE1876" t="s">
        <v>4966</v>
      </c>
      <c r="BF1876" t="s">
        <v>4967</v>
      </c>
      <c r="BH1876" t="s">
        <v>97</v>
      </c>
      <c r="BI1876" t="s">
        <v>119</v>
      </c>
      <c r="BJ1876" t="s">
        <v>79</v>
      </c>
      <c r="BM1876">
        <v>2</v>
      </c>
      <c r="BN1876">
        <v>0</v>
      </c>
      <c r="BO1876">
        <v>2</v>
      </c>
      <c r="BP1876" t="s">
        <v>80</v>
      </c>
      <c r="BR1876">
        <v>0</v>
      </c>
      <c r="BS1876">
        <v>0</v>
      </c>
      <c r="BU1876">
        <v>98377</v>
      </c>
    </row>
    <row r="1877" spans="1:73" x14ac:dyDescent="0.3">
      <c r="A1877" t="s">
        <v>4968</v>
      </c>
      <c r="B1877">
        <v>0</v>
      </c>
      <c r="C1877">
        <v>0</v>
      </c>
      <c r="D1877">
        <v>2</v>
      </c>
      <c r="E1877">
        <v>740000</v>
      </c>
      <c r="F1877">
        <v>0</v>
      </c>
      <c r="G1877">
        <v>0</v>
      </c>
      <c r="H1877">
        <v>2</v>
      </c>
      <c r="I1877">
        <v>40000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4</v>
      </c>
      <c r="BC1877" s="1">
        <v>1480000</v>
      </c>
      <c r="BD1877" t="s">
        <v>94</v>
      </c>
      <c r="BE1877" t="s">
        <v>4969</v>
      </c>
      <c r="BF1877" t="s">
        <v>4970</v>
      </c>
      <c r="BH1877" t="s">
        <v>123</v>
      </c>
      <c r="BI1877" t="s">
        <v>124</v>
      </c>
      <c r="BJ1877" t="s">
        <v>125</v>
      </c>
      <c r="BM1877">
        <v>0</v>
      </c>
      <c r="BN1877">
        <v>2</v>
      </c>
      <c r="BO1877">
        <v>2</v>
      </c>
      <c r="BP1877" t="s">
        <v>80</v>
      </c>
      <c r="BR1877">
        <v>0</v>
      </c>
      <c r="BS1877">
        <v>6</v>
      </c>
      <c r="BU1877">
        <v>780000</v>
      </c>
    </row>
    <row r="1878" spans="1:73" x14ac:dyDescent="0.3">
      <c r="A1878" t="s">
        <v>4971</v>
      </c>
      <c r="B1878">
        <v>0</v>
      </c>
      <c r="C1878">
        <v>0</v>
      </c>
      <c r="D1878">
        <v>1</v>
      </c>
      <c r="E1878">
        <v>171428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</v>
      </c>
      <c r="BC1878" s="1">
        <v>171428</v>
      </c>
      <c r="BD1878" t="s">
        <v>94</v>
      </c>
      <c r="BE1878" t="s">
        <v>4972</v>
      </c>
      <c r="BF1878" t="s">
        <v>4973</v>
      </c>
      <c r="BH1878" t="s">
        <v>97</v>
      </c>
      <c r="BI1878" t="s">
        <v>119</v>
      </c>
      <c r="BJ1878" t="s">
        <v>79</v>
      </c>
      <c r="BM1878">
        <v>0</v>
      </c>
      <c r="BN1878">
        <v>1</v>
      </c>
      <c r="BO1878">
        <v>1</v>
      </c>
      <c r="BP1878" t="s">
        <v>80</v>
      </c>
      <c r="BR1878">
        <v>0</v>
      </c>
      <c r="BS1878">
        <v>6</v>
      </c>
      <c r="BU1878">
        <v>171428</v>
      </c>
    </row>
    <row r="1879" spans="1:73" x14ac:dyDescent="0.3">
      <c r="A1879" t="s">
        <v>4974</v>
      </c>
      <c r="B1879">
        <v>0</v>
      </c>
      <c r="C1879">
        <v>0</v>
      </c>
      <c r="D1879">
        <v>1</v>
      </c>
      <c r="E1879">
        <v>1350000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2</v>
      </c>
      <c r="BC1879" s="1">
        <v>2700000</v>
      </c>
      <c r="BD1879" t="s">
        <v>94</v>
      </c>
      <c r="BE1879" t="s">
        <v>4975</v>
      </c>
      <c r="BF1879" t="s">
        <v>4976</v>
      </c>
      <c r="BH1879" t="s">
        <v>97</v>
      </c>
      <c r="BI1879" t="s">
        <v>208</v>
      </c>
      <c r="BJ1879" t="s">
        <v>79</v>
      </c>
      <c r="BM1879">
        <v>0</v>
      </c>
      <c r="BN1879">
        <v>1</v>
      </c>
      <c r="BO1879">
        <v>1</v>
      </c>
      <c r="BP1879" t="s">
        <v>514</v>
      </c>
      <c r="BR1879">
        <v>0</v>
      </c>
      <c r="BS1879">
        <v>6</v>
      </c>
      <c r="BU1879">
        <v>1350000</v>
      </c>
    </row>
    <row r="1880" spans="1:73" x14ac:dyDescent="0.3">
      <c r="A1880" t="s">
        <v>4977</v>
      </c>
      <c r="B1880">
        <v>0</v>
      </c>
      <c r="C1880">
        <v>0</v>
      </c>
      <c r="D1880">
        <v>4</v>
      </c>
      <c r="E1880">
        <v>760000</v>
      </c>
      <c r="F1880">
        <v>0</v>
      </c>
      <c r="G1880">
        <v>0</v>
      </c>
      <c r="H1880">
        <v>6</v>
      </c>
      <c r="I1880">
        <v>120000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8</v>
      </c>
      <c r="BC1880" s="1">
        <v>1520000</v>
      </c>
      <c r="BD1880" t="s">
        <v>94</v>
      </c>
      <c r="BE1880" t="s">
        <v>4978</v>
      </c>
      <c r="BF1880" t="s">
        <v>4979</v>
      </c>
      <c r="BH1880" t="s">
        <v>97</v>
      </c>
      <c r="BI1880" t="s">
        <v>559</v>
      </c>
      <c r="BJ1880" t="s">
        <v>79</v>
      </c>
      <c r="BM1880">
        <v>0</v>
      </c>
      <c r="BN1880">
        <v>2</v>
      </c>
      <c r="BO1880">
        <v>2</v>
      </c>
      <c r="BP1880" t="s">
        <v>80</v>
      </c>
      <c r="BR1880">
        <v>0</v>
      </c>
      <c r="BS1880">
        <v>6</v>
      </c>
      <c r="BU1880">
        <v>880000</v>
      </c>
    </row>
    <row r="1881" spans="1:73" x14ac:dyDescent="0.3">
      <c r="A1881" t="s">
        <v>4980</v>
      </c>
      <c r="B1881">
        <v>0</v>
      </c>
      <c r="C1881">
        <v>0</v>
      </c>
      <c r="D1881">
        <v>1</v>
      </c>
      <c r="E1881">
        <v>428571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3</v>
      </c>
      <c r="BC1881" s="1">
        <v>930677</v>
      </c>
      <c r="BD1881" t="s">
        <v>94</v>
      </c>
      <c r="BE1881" t="s">
        <v>4981</v>
      </c>
      <c r="BF1881" t="s">
        <v>4982</v>
      </c>
      <c r="BH1881" t="s">
        <v>97</v>
      </c>
      <c r="BI1881" t="s">
        <v>119</v>
      </c>
      <c r="BJ1881" t="s">
        <v>79</v>
      </c>
      <c r="BM1881">
        <v>0</v>
      </c>
      <c r="BN1881">
        <v>1</v>
      </c>
      <c r="BO1881">
        <v>1</v>
      </c>
      <c r="BP1881" t="s">
        <v>80</v>
      </c>
      <c r="BR1881">
        <v>0</v>
      </c>
      <c r="BS1881">
        <v>6</v>
      </c>
      <c r="BU1881">
        <v>428571</v>
      </c>
    </row>
    <row r="1882" spans="1:73" x14ac:dyDescent="0.3">
      <c r="A1882" t="s">
        <v>4986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11111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2</v>
      </c>
      <c r="BC1882" s="1">
        <v>22222</v>
      </c>
      <c r="BD1882" t="s">
        <v>94</v>
      </c>
      <c r="BE1882" t="s">
        <v>4987</v>
      </c>
      <c r="BF1882" t="s">
        <v>4988</v>
      </c>
      <c r="BH1882" t="s">
        <v>97</v>
      </c>
      <c r="BI1882" t="s">
        <v>894</v>
      </c>
      <c r="BJ1882" t="s">
        <v>79</v>
      </c>
      <c r="BM1882">
        <v>1</v>
      </c>
      <c r="BN1882">
        <v>0</v>
      </c>
      <c r="BO1882">
        <v>1</v>
      </c>
      <c r="BP1882" t="s">
        <v>80</v>
      </c>
      <c r="BR1882">
        <v>0</v>
      </c>
      <c r="BS1882">
        <v>0</v>
      </c>
      <c r="BU1882">
        <v>11111</v>
      </c>
    </row>
    <row r="1883" spans="1:73" x14ac:dyDescent="0.3">
      <c r="A1883" t="s">
        <v>4995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78585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 s="1">
        <v>78585</v>
      </c>
      <c r="BD1883" t="s">
        <v>94</v>
      </c>
      <c r="BE1883" t="s">
        <v>4996</v>
      </c>
      <c r="BF1883" t="s">
        <v>4997</v>
      </c>
      <c r="BH1883" t="s">
        <v>97</v>
      </c>
      <c r="BI1883" t="s">
        <v>119</v>
      </c>
      <c r="BJ1883" t="s">
        <v>79</v>
      </c>
      <c r="BM1883">
        <v>1</v>
      </c>
      <c r="BN1883">
        <v>0</v>
      </c>
      <c r="BO1883">
        <v>1</v>
      </c>
      <c r="BP1883" t="s">
        <v>80</v>
      </c>
      <c r="BR1883">
        <v>0</v>
      </c>
      <c r="BS1883">
        <v>0</v>
      </c>
      <c r="BU1883">
        <v>78585</v>
      </c>
    </row>
    <row r="1884" spans="1:73" x14ac:dyDescent="0.3">
      <c r="A1884" t="s">
        <v>4998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78585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 s="1">
        <v>78585</v>
      </c>
      <c r="BD1884" t="s">
        <v>94</v>
      </c>
      <c r="BE1884" t="s">
        <v>4999</v>
      </c>
      <c r="BF1884" t="s">
        <v>5000</v>
      </c>
      <c r="BH1884" t="s">
        <v>97</v>
      </c>
      <c r="BI1884" t="s">
        <v>103</v>
      </c>
      <c r="BJ1884" t="s">
        <v>79</v>
      </c>
      <c r="BM1884">
        <v>1</v>
      </c>
      <c r="BN1884">
        <v>0</v>
      </c>
      <c r="BO1884">
        <v>1</v>
      </c>
      <c r="BP1884" t="s">
        <v>80</v>
      </c>
      <c r="BR1884">
        <v>0</v>
      </c>
      <c r="BS1884">
        <v>0</v>
      </c>
      <c r="BU1884">
        <v>78585</v>
      </c>
    </row>
    <row r="1885" spans="1:73" x14ac:dyDescent="0.3">
      <c r="A1885" t="s">
        <v>5001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78585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</v>
      </c>
      <c r="BC1885" s="1">
        <v>78585</v>
      </c>
      <c r="BD1885" t="s">
        <v>94</v>
      </c>
      <c r="BE1885" t="s">
        <v>5002</v>
      </c>
      <c r="BF1885" t="s">
        <v>1122</v>
      </c>
      <c r="BH1885" t="s">
        <v>97</v>
      </c>
      <c r="BI1885" t="s">
        <v>559</v>
      </c>
      <c r="BJ1885" t="s">
        <v>79</v>
      </c>
      <c r="BM1885">
        <v>1</v>
      </c>
      <c r="BN1885">
        <v>0</v>
      </c>
      <c r="BO1885">
        <v>1</v>
      </c>
      <c r="BP1885" t="s">
        <v>80</v>
      </c>
      <c r="BR1885">
        <v>0</v>
      </c>
      <c r="BS1885">
        <v>0</v>
      </c>
      <c r="BU1885">
        <v>78585</v>
      </c>
    </row>
    <row r="1886" spans="1:73" x14ac:dyDescent="0.3">
      <c r="A1886" t="s">
        <v>5015</v>
      </c>
      <c r="B1886">
        <v>1</v>
      </c>
      <c r="C1886">
        <v>109091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3</v>
      </c>
      <c r="BC1886" s="1">
        <v>200001</v>
      </c>
      <c r="BD1886" t="s">
        <v>94</v>
      </c>
      <c r="BE1886" t="s">
        <v>5016</v>
      </c>
      <c r="BF1886" t="s">
        <v>5017</v>
      </c>
      <c r="BH1886" t="s">
        <v>97</v>
      </c>
      <c r="BI1886" t="s">
        <v>208</v>
      </c>
      <c r="BJ1886" t="s">
        <v>79</v>
      </c>
      <c r="BM1886">
        <v>0</v>
      </c>
      <c r="BN1886">
        <v>1</v>
      </c>
      <c r="BO1886">
        <v>1</v>
      </c>
      <c r="BP1886" t="s">
        <v>80</v>
      </c>
      <c r="BR1886">
        <v>0</v>
      </c>
      <c r="BS1886">
        <v>6</v>
      </c>
      <c r="BU1886">
        <v>109091</v>
      </c>
    </row>
    <row r="1887" spans="1:73" x14ac:dyDescent="0.3">
      <c r="A1887" t="s">
        <v>5018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78585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 s="1">
        <v>78585</v>
      </c>
      <c r="BD1887" t="s">
        <v>94</v>
      </c>
      <c r="BE1887" t="s">
        <v>5019</v>
      </c>
      <c r="BF1887" t="s">
        <v>5020</v>
      </c>
      <c r="BH1887" t="s">
        <v>97</v>
      </c>
      <c r="BI1887" t="s">
        <v>208</v>
      </c>
      <c r="BJ1887" t="s">
        <v>79</v>
      </c>
      <c r="BM1887">
        <v>1</v>
      </c>
      <c r="BN1887">
        <v>0</v>
      </c>
      <c r="BO1887">
        <v>1</v>
      </c>
      <c r="BP1887" t="s">
        <v>80</v>
      </c>
      <c r="BR1887">
        <v>0</v>
      </c>
      <c r="BS1887">
        <v>0</v>
      </c>
      <c r="BU1887">
        <v>78585</v>
      </c>
    </row>
    <row r="1888" spans="1:73" x14ac:dyDescent="0.3">
      <c r="A1888" t="s">
        <v>5021</v>
      </c>
      <c r="B1888">
        <v>0</v>
      </c>
      <c r="C1888">
        <v>0</v>
      </c>
      <c r="D1888">
        <v>2</v>
      </c>
      <c r="E1888">
        <v>342856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2</v>
      </c>
      <c r="BC1888" s="1">
        <v>342856</v>
      </c>
      <c r="BD1888" t="s">
        <v>94</v>
      </c>
      <c r="BE1888" t="s">
        <v>5022</v>
      </c>
      <c r="BF1888" t="s">
        <v>5023</v>
      </c>
      <c r="BH1888" t="s">
        <v>97</v>
      </c>
      <c r="BI1888" t="s">
        <v>103</v>
      </c>
      <c r="BJ1888" t="s">
        <v>79</v>
      </c>
      <c r="BM1888">
        <v>0</v>
      </c>
      <c r="BN1888">
        <v>1</v>
      </c>
      <c r="BO1888">
        <v>1</v>
      </c>
      <c r="BP1888" t="s">
        <v>80</v>
      </c>
      <c r="BR1888">
        <v>0</v>
      </c>
      <c r="BS1888">
        <v>6</v>
      </c>
      <c r="BU1888">
        <v>342856</v>
      </c>
    </row>
    <row r="1889" spans="1:73" x14ac:dyDescent="0.3">
      <c r="A1889" t="s">
        <v>5024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78585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3</v>
      </c>
      <c r="BC1889" s="1">
        <v>176962</v>
      </c>
      <c r="BD1889" t="s">
        <v>94</v>
      </c>
      <c r="BE1889" t="s">
        <v>5025</v>
      </c>
      <c r="BF1889" t="s">
        <v>5026</v>
      </c>
      <c r="BH1889" t="s">
        <v>97</v>
      </c>
      <c r="BI1889" t="s">
        <v>1006</v>
      </c>
      <c r="BJ1889" t="s">
        <v>79</v>
      </c>
      <c r="BM1889">
        <v>1</v>
      </c>
      <c r="BN1889">
        <v>0</v>
      </c>
      <c r="BO1889">
        <v>1</v>
      </c>
      <c r="BP1889" t="s">
        <v>80</v>
      </c>
      <c r="BR1889">
        <v>0</v>
      </c>
      <c r="BS1889">
        <v>6</v>
      </c>
      <c r="BU1889">
        <v>78585</v>
      </c>
    </row>
    <row r="1890" spans="1:73" x14ac:dyDescent="0.3">
      <c r="A1890" t="s">
        <v>5027</v>
      </c>
      <c r="B1890">
        <v>0</v>
      </c>
      <c r="C1890">
        <v>0</v>
      </c>
      <c r="D1890">
        <v>1</v>
      </c>
      <c r="E1890">
        <v>230400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 s="1">
        <v>230400</v>
      </c>
      <c r="BD1890" t="s">
        <v>94</v>
      </c>
      <c r="BE1890" t="s">
        <v>5028</v>
      </c>
      <c r="BF1890" t="s">
        <v>5029</v>
      </c>
      <c r="BH1890" t="s">
        <v>97</v>
      </c>
      <c r="BI1890" t="s">
        <v>119</v>
      </c>
      <c r="BJ1890" t="s">
        <v>79</v>
      </c>
      <c r="BM1890">
        <v>0</v>
      </c>
      <c r="BN1890">
        <v>1</v>
      </c>
      <c r="BO1890">
        <v>1</v>
      </c>
      <c r="BP1890" t="s">
        <v>80</v>
      </c>
      <c r="BR1890">
        <v>0</v>
      </c>
      <c r="BS1890">
        <v>6</v>
      </c>
      <c r="BU1890">
        <v>230400</v>
      </c>
    </row>
    <row r="1891" spans="1:73" x14ac:dyDescent="0.3">
      <c r="A1891" t="s">
        <v>5030</v>
      </c>
      <c r="B1891">
        <v>0</v>
      </c>
      <c r="C1891">
        <v>0</v>
      </c>
      <c r="D1891">
        <v>1</v>
      </c>
      <c r="E1891">
        <v>459740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 s="1">
        <v>459740</v>
      </c>
      <c r="BD1891" t="s">
        <v>94</v>
      </c>
      <c r="BE1891" t="s">
        <v>5031</v>
      </c>
      <c r="BF1891" t="s">
        <v>5032</v>
      </c>
      <c r="BH1891" t="s">
        <v>97</v>
      </c>
      <c r="BI1891" t="s">
        <v>208</v>
      </c>
      <c r="BJ1891" t="s">
        <v>79</v>
      </c>
      <c r="BM1891">
        <v>0</v>
      </c>
      <c r="BN1891">
        <v>1</v>
      </c>
      <c r="BO1891">
        <v>1</v>
      </c>
      <c r="BP1891" t="s">
        <v>80</v>
      </c>
      <c r="BR1891">
        <v>0</v>
      </c>
      <c r="BS1891">
        <v>6</v>
      </c>
      <c r="BU1891">
        <v>459740</v>
      </c>
    </row>
    <row r="1892" spans="1:73" x14ac:dyDescent="0.3">
      <c r="A1892" t="s">
        <v>5042</v>
      </c>
      <c r="B1892">
        <v>0</v>
      </c>
      <c r="C1892">
        <v>0</v>
      </c>
      <c r="D1892">
        <v>1</v>
      </c>
      <c r="E1892">
        <v>144000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2</v>
      </c>
      <c r="BC1892" s="1">
        <v>288000</v>
      </c>
      <c r="BD1892" t="s">
        <v>94</v>
      </c>
      <c r="BE1892" t="s">
        <v>5043</v>
      </c>
      <c r="BF1892" t="s">
        <v>5044</v>
      </c>
      <c r="BH1892" t="s">
        <v>97</v>
      </c>
      <c r="BI1892" t="s">
        <v>242</v>
      </c>
      <c r="BJ1892" t="s">
        <v>79</v>
      </c>
      <c r="BM1892">
        <v>0</v>
      </c>
      <c r="BN1892">
        <v>1</v>
      </c>
      <c r="BO1892">
        <v>1</v>
      </c>
      <c r="BP1892" t="s">
        <v>80</v>
      </c>
      <c r="BR1892">
        <v>0</v>
      </c>
      <c r="BS1892">
        <v>6</v>
      </c>
      <c r="BU1892">
        <v>144000</v>
      </c>
    </row>
    <row r="1893" spans="1:73" x14ac:dyDescent="0.3">
      <c r="A1893" t="s">
        <v>5048</v>
      </c>
      <c r="B1893">
        <v>0</v>
      </c>
      <c r="C1893">
        <v>0</v>
      </c>
      <c r="D1893">
        <v>2</v>
      </c>
      <c r="E1893">
        <v>1788686</v>
      </c>
      <c r="F1893">
        <v>0</v>
      </c>
      <c r="G1893">
        <v>0</v>
      </c>
      <c r="H1893">
        <v>2</v>
      </c>
      <c r="I1893">
        <v>148800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4</v>
      </c>
      <c r="BC1893" s="1">
        <v>3577372</v>
      </c>
      <c r="BD1893" t="s">
        <v>94</v>
      </c>
      <c r="BE1893" t="s">
        <v>5049</v>
      </c>
      <c r="BF1893" t="s">
        <v>373</v>
      </c>
      <c r="BH1893" t="s">
        <v>123</v>
      </c>
      <c r="BI1893" t="s">
        <v>288</v>
      </c>
      <c r="BJ1893" t="s">
        <v>125</v>
      </c>
      <c r="BM1893">
        <v>0</v>
      </c>
      <c r="BN1893">
        <v>2</v>
      </c>
      <c r="BO1893">
        <v>2</v>
      </c>
      <c r="BP1893" t="s">
        <v>80</v>
      </c>
      <c r="BR1893">
        <v>0</v>
      </c>
      <c r="BS1893">
        <v>6</v>
      </c>
      <c r="BU1893">
        <v>1937486</v>
      </c>
    </row>
    <row r="1894" spans="1:73" x14ac:dyDescent="0.3">
      <c r="A1894" t="s">
        <v>5056</v>
      </c>
      <c r="B1894">
        <v>0</v>
      </c>
      <c r="C1894">
        <v>0</v>
      </c>
      <c r="D1894">
        <v>1</v>
      </c>
      <c r="E1894">
        <v>630000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 s="1">
        <v>630000</v>
      </c>
      <c r="BD1894" t="s">
        <v>94</v>
      </c>
      <c r="BE1894" t="s">
        <v>5057</v>
      </c>
      <c r="BF1894" t="s">
        <v>5058</v>
      </c>
      <c r="BH1894" t="s">
        <v>97</v>
      </c>
      <c r="BI1894" t="s">
        <v>119</v>
      </c>
      <c r="BJ1894" t="s">
        <v>79</v>
      </c>
      <c r="BM1894">
        <v>0</v>
      </c>
      <c r="BN1894">
        <v>1</v>
      </c>
      <c r="BO1894">
        <v>1</v>
      </c>
      <c r="BP1894" t="s">
        <v>80</v>
      </c>
      <c r="BR1894">
        <v>0</v>
      </c>
      <c r="BS1894">
        <v>6</v>
      </c>
      <c r="BU1894">
        <v>630000</v>
      </c>
    </row>
    <row r="1895" spans="1:73" x14ac:dyDescent="0.3">
      <c r="A1895" t="s">
        <v>5062</v>
      </c>
      <c r="B1895">
        <v>1</v>
      </c>
      <c r="C1895">
        <v>423963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 s="1">
        <v>423963</v>
      </c>
      <c r="BD1895" t="s">
        <v>94</v>
      </c>
      <c r="BE1895" t="s">
        <v>5063</v>
      </c>
      <c r="BF1895" t="s">
        <v>5064</v>
      </c>
      <c r="BH1895" t="s">
        <v>97</v>
      </c>
      <c r="BI1895" t="s">
        <v>1006</v>
      </c>
      <c r="BJ1895" t="s">
        <v>79</v>
      </c>
      <c r="BM1895">
        <v>0</v>
      </c>
      <c r="BN1895">
        <v>1</v>
      </c>
      <c r="BO1895">
        <v>1</v>
      </c>
      <c r="BP1895" t="s">
        <v>80</v>
      </c>
      <c r="BR1895">
        <v>0</v>
      </c>
      <c r="BS1895">
        <v>6</v>
      </c>
      <c r="BU1895">
        <v>423963</v>
      </c>
    </row>
    <row r="1896" spans="1:73" x14ac:dyDescent="0.3">
      <c r="A1896" t="s">
        <v>5071</v>
      </c>
      <c r="B1896">
        <v>0</v>
      </c>
      <c r="C1896">
        <v>0</v>
      </c>
      <c r="D1896">
        <v>3</v>
      </c>
      <c r="E1896">
        <v>543421</v>
      </c>
      <c r="F1896">
        <v>0</v>
      </c>
      <c r="G1896">
        <v>0</v>
      </c>
      <c r="H1896">
        <v>4</v>
      </c>
      <c r="I1896">
        <v>86842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6</v>
      </c>
      <c r="BC1896" s="1">
        <v>1086842</v>
      </c>
      <c r="BD1896" t="s">
        <v>94</v>
      </c>
      <c r="BE1896" t="s">
        <v>5072</v>
      </c>
      <c r="BF1896" t="s">
        <v>1943</v>
      </c>
      <c r="BH1896" t="s">
        <v>97</v>
      </c>
      <c r="BI1896" t="s">
        <v>119</v>
      </c>
      <c r="BJ1896" t="s">
        <v>79</v>
      </c>
      <c r="BM1896">
        <v>0</v>
      </c>
      <c r="BN1896">
        <v>2</v>
      </c>
      <c r="BO1896">
        <v>2</v>
      </c>
      <c r="BP1896" t="s">
        <v>80</v>
      </c>
      <c r="BR1896">
        <v>0</v>
      </c>
      <c r="BS1896">
        <v>6</v>
      </c>
      <c r="BU1896">
        <v>630263</v>
      </c>
    </row>
    <row r="1897" spans="1:73" x14ac:dyDescent="0.3">
      <c r="A1897" t="s">
        <v>5076</v>
      </c>
      <c r="B1897">
        <v>0</v>
      </c>
      <c r="C1897">
        <v>0</v>
      </c>
      <c r="D1897">
        <v>1</v>
      </c>
      <c r="E1897">
        <v>2400000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 s="1">
        <v>2400000</v>
      </c>
      <c r="BD1897" t="s">
        <v>94</v>
      </c>
      <c r="BE1897" t="s">
        <v>5077</v>
      </c>
      <c r="BF1897" t="s">
        <v>5078</v>
      </c>
      <c r="BH1897" t="s">
        <v>97</v>
      </c>
      <c r="BI1897" t="s">
        <v>208</v>
      </c>
      <c r="BJ1897" t="s">
        <v>79</v>
      </c>
      <c r="BM1897">
        <v>0</v>
      </c>
      <c r="BN1897">
        <v>1</v>
      </c>
      <c r="BO1897">
        <v>1</v>
      </c>
      <c r="BP1897" t="s">
        <v>80</v>
      </c>
      <c r="BR1897">
        <v>0</v>
      </c>
      <c r="BS1897">
        <v>6</v>
      </c>
      <c r="BU1897">
        <v>2400000</v>
      </c>
    </row>
    <row r="1898" spans="1:73" x14ac:dyDescent="0.3">
      <c r="A1898" t="s">
        <v>5079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78585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2</v>
      </c>
      <c r="BC1898" s="1">
        <v>157170</v>
      </c>
      <c r="BD1898" t="s">
        <v>94</v>
      </c>
      <c r="BE1898" t="s">
        <v>5080</v>
      </c>
      <c r="BF1898" t="s">
        <v>5081</v>
      </c>
      <c r="BH1898" t="s">
        <v>97</v>
      </c>
      <c r="BI1898" t="s">
        <v>242</v>
      </c>
      <c r="BJ1898" t="s">
        <v>79</v>
      </c>
      <c r="BM1898">
        <v>1</v>
      </c>
      <c r="BN1898">
        <v>0</v>
      </c>
      <c r="BO1898">
        <v>1</v>
      </c>
      <c r="BP1898" t="s">
        <v>80</v>
      </c>
      <c r="BR1898">
        <v>0</v>
      </c>
      <c r="BS1898">
        <v>6</v>
      </c>
      <c r="BU1898">
        <v>78585</v>
      </c>
    </row>
    <row r="1899" spans="1:73" x14ac:dyDescent="0.3">
      <c r="A1899" t="s">
        <v>5082</v>
      </c>
      <c r="B1899">
        <v>0</v>
      </c>
      <c r="C1899">
        <v>0</v>
      </c>
      <c r="D1899">
        <v>1</v>
      </c>
      <c r="E1899">
        <v>432000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2</v>
      </c>
      <c r="BC1899" s="1">
        <v>864000</v>
      </c>
      <c r="BD1899" t="s">
        <v>94</v>
      </c>
      <c r="BE1899" t="s">
        <v>5083</v>
      </c>
      <c r="BF1899" t="s">
        <v>5084</v>
      </c>
      <c r="BH1899" t="s">
        <v>97</v>
      </c>
      <c r="BI1899" t="s">
        <v>265</v>
      </c>
      <c r="BJ1899" t="s">
        <v>79</v>
      </c>
      <c r="BM1899">
        <v>0</v>
      </c>
      <c r="BN1899">
        <v>1</v>
      </c>
      <c r="BO1899">
        <v>1</v>
      </c>
      <c r="BP1899" t="s">
        <v>80</v>
      </c>
      <c r="BR1899">
        <v>0</v>
      </c>
      <c r="BS1899">
        <v>6</v>
      </c>
      <c r="BU1899">
        <v>432000</v>
      </c>
    </row>
    <row r="1900" spans="1:73" x14ac:dyDescent="0.3">
      <c r="A1900" t="s">
        <v>5090</v>
      </c>
      <c r="B1900">
        <v>0</v>
      </c>
      <c r="C1900">
        <v>0</v>
      </c>
      <c r="D1900">
        <v>1</v>
      </c>
      <c r="E1900">
        <v>172727</v>
      </c>
      <c r="F1900">
        <v>0</v>
      </c>
      <c r="G1900">
        <v>0</v>
      </c>
      <c r="H1900">
        <v>2</v>
      </c>
      <c r="I1900">
        <v>40000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4</v>
      </c>
      <c r="BC1900" s="1">
        <v>385454</v>
      </c>
      <c r="BD1900" t="s">
        <v>94</v>
      </c>
      <c r="BE1900" t="s">
        <v>5091</v>
      </c>
      <c r="BF1900" t="s">
        <v>5092</v>
      </c>
      <c r="BH1900" t="s">
        <v>97</v>
      </c>
      <c r="BI1900" t="s">
        <v>119</v>
      </c>
      <c r="BJ1900" t="s">
        <v>79</v>
      </c>
      <c r="BM1900">
        <v>0</v>
      </c>
      <c r="BN1900">
        <v>2</v>
      </c>
      <c r="BO1900">
        <v>2</v>
      </c>
      <c r="BP1900" t="s">
        <v>80</v>
      </c>
      <c r="BR1900">
        <v>0</v>
      </c>
      <c r="BS1900">
        <v>6</v>
      </c>
      <c r="BU1900">
        <v>212727</v>
      </c>
    </row>
    <row r="1901" spans="1:73" x14ac:dyDescent="0.3">
      <c r="A1901" t="s">
        <v>5093</v>
      </c>
      <c r="B1901">
        <v>1</v>
      </c>
      <c r="C1901">
        <v>730296</v>
      </c>
      <c r="D1901">
        <v>3</v>
      </c>
      <c r="E1901">
        <v>235455</v>
      </c>
      <c r="F1901">
        <v>0</v>
      </c>
      <c r="G1901">
        <v>0</v>
      </c>
      <c r="H1901">
        <v>4</v>
      </c>
      <c r="I1901">
        <v>80000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7</v>
      </c>
      <c r="BC1901" s="1">
        <v>1201206</v>
      </c>
      <c r="BD1901" t="s">
        <v>94</v>
      </c>
      <c r="BE1901" t="s">
        <v>5094</v>
      </c>
      <c r="BF1901" t="s">
        <v>5095</v>
      </c>
      <c r="BH1901" t="s">
        <v>123</v>
      </c>
      <c r="BI1901" t="s">
        <v>288</v>
      </c>
      <c r="BJ1901" t="s">
        <v>125</v>
      </c>
      <c r="BM1901">
        <v>0</v>
      </c>
      <c r="BN1901">
        <v>3</v>
      </c>
      <c r="BO1901">
        <v>3</v>
      </c>
      <c r="BP1901" t="s">
        <v>80</v>
      </c>
      <c r="BR1901">
        <v>0</v>
      </c>
      <c r="BS1901">
        <v>6</v>
      </c>
      <c r="BU1901">
        <v>1045751</v>
      </c>
    </row>
    <row r="1902" spans="1:73" x14ac:dyDescent="0.3">
      <c r="A1902" t="s">
        <v>5102</v>
      </c>
      <c r="B1902">
        <v>3</v>
      </c>
      <c r="C1902">
        <v>893399</v>
      </c>
      <c r="D1902">
        <v>7</v>
      </c>
      <c r="E1902">
        <v>2331897</v>
      </c>
      <c r="F1902">
        <v>0</v>
      </c>
      <c r="G1902">
        <v>0</v>
      </c>
      <c r="H1902">
        <v>6</v>
      </c>
      <c r="I1902">
        <v>145406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17</v>
      </c>
      <c r="BC1902" s="1">
        <v>5557193</v>
      </c>
      <c r="BD1902" t="s">
        <v>94</v>
      </c>
      <c r="BE1902" t="s">
        <v>5103</v>
      </c>
      <c r="BF1902" t="s">
        <v>5104</v>
      </c>
      <c r="BH1902" t="s">
        <v>97</v>
      </c>
      <c r="BI1902" t="s">
        <v>98</v>
      </c>
      <c r="BJ1902" t="s">
        <v>79</v>
      </c>
      <c r="BM1902">
        <v>0</v>
      </c>
      <c r="BN1902">
        <v>3</v>
      </c>
      <c r="BO1902">
        <v>3</v>
      </c>
      <c r="BP1902" t="s">
        <v>80</v>
      </c>
      <c r="BR1902">
        <v>0</v>
      </c>
      <c r="BS1902">
        <v>6</v>
      </c>
      <c r="BU1902">
        <v>3370702</v>
      </c>
    </row>
    <row r="1903" spans="1:73" x14ac:dyDescent="0.3">
      <c r="A1903" t="s">
        <v>5105</v>
      </c>
      <c r="B1903">
        <v>0</v>
      </c>
      <c r="C1903">
        <v>0</v>
      </c>
      <c r="D1903">
        <v>1</v>
      </c>
      <c r="E1903">
        <v>1452994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2</v>
      </c>
      <c r="BC1903" s="1">
        <v>2905988</v>
      </c>
      <c r="BD1903" t="s">
        <v>94</v>
      </c>
      <c r="BE1903" t="s">
        <v>5106</v>
      </c>
      <c r="BF1903" t="s">
        <v>5107</v>
      </c>
      <c r="BH1903" t="s">
        <v>97</v>
      </c>
      <c r="BI1903" t="s">
        <v>119</v>
      </c>
      <c r="BJ1903" t="s">
        <v>79</v>
      </c>
      <c r="BM1903">
        <v>0</v>
      </c>
      <c r="BN1903">
        <v>1</v>
      </c>
      <c r="BO1903">
        <v>1</v>
      </c>
      <c r="BP1903" t="s">
        <v>80</v>
      </c>
      <c r="BR1903">
        <v>0</v>
      </c>
      <c r="BS1903">
        <v>6</v>
      </c>
      <c r="BU1903">
        <v>1452994</v>
      </c>
    </row>
    <row r="1904" spans="1:73" x14ac:dyDescent="0.3">
      <c r="A1904" t="s">
        <v>5114</v>
      </c>
      <c r="B1904">
        <v>0</v>
      </c>
      <c r="C1904">
        <v>0</v>
      </c>
      <c r="D1904">
        <v>3</v>
      </c>
      <c r="E1904">
        <v>4420769</v>
      </c>
      <c r="F1904">
        <v>0</v>
      </c>
      <c r="G1904">
        <v>0</v>
      </c>
      <c r="H1904">
        <v>4</v>
      </c>
      <c r="I1904">
        <v>270110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6</v>
      </c>
      <c r="BC1904" s="1">
        <v>8841538</v>
      </c>
      <c r="BD1904" t="s">
        <v>94</v>
      </c>
      <c r="BE1904" t="s">
        <v>5115</v>
      </c>
      <c r="BF1904" t="s">
        <v>5116</v>
      </c>
      <c r="BH1904" t="s">
        <v>97</v>
      </c>
      <c r="BI1904" t="s">
        <v>265</v>
      </c>
      <c r="BJ1904" t="s">
        <v>79</v>
      </c>
      <c r="BM1904">
        <v>0</v>
      </c>
      <c r="BN1904">
        <v>2</v>
      </c>
      <c r="BO1904">
        <v>2</v>
      </c>
      <c r="BP1904" t="s">
        <v>80</v>
      </c>
      <c r="BR1904">
        <v>0</v>
      </c>
      <c r="BS1904">
        <v>6</v>
      </c>
      <c r="BU1904">
        <v>4690879</v>
      </c>
    </row>
    <row r="1905" spans="1:73" x14ac:dyDescent="0.3">
      <c r="A1905" t="s">
        <v>5117</v>
      </c>
      <c r="B1905">
        <v>0</v>
      </c>
      <c r="C1905">
        <v>0</v>
      </c>
      <c r="D1905">
        <v>2</v>
      </c>
      <c r="E1905">
        <v>740000</v>
      </c>
      <c r="F1905">
        <v>0</v>
      </c>
      <c r="G1905">
        <v>0</v>
      </c>
      <c r="H1905">
        <v>2</v>
      </c>
      <c r="I1905">
        <v>40000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4</v>
      </c>
      <c r="BC1905" s="1">
        <v>1480000</v>
      </c>
      <c r="BD1905" t="s">
        <v>94</v>
      </c>
      <c r="BE1905" t="s">
        <v>5118</v>
      </c>
      <c r="BF1905" t="s">
        <v>5119</v>
      </c>
      <c r="BH1905" t="s">
        <v>97</v>
      </c>
      <c r="BI1905" t="s">
        <v>98</v>
      </c>
      <c r="BJ1905" t="s">
        <v>79</v>
      </c>
      <c r="BM1905">
        <v>0</v>
      </c>
      <c r="BN1905">
        <v>2</v>
      </c>
      <c r="BO1905">
        <v>2</v>
      </c>
      <c r="BP1905" t="s">
        <v>80</v>
      </c>
      <c r="BR1905">
        <v>0</v>
      </c>
      <c r="BS1905">
        <v>6</v>
      </c>
      <c r="BU1905">
        <v>780000</v>
      </c>
    </row>
    <row r="1906" spans="1:73" x14ac:dyDescent="0.3">
      <c r="A1906" t="s">
        <v>5123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78585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1</v>
      </c>
      <c r="BC1906" s="1">
        <v>78585</v>
      </c>
      <c r="BD1906" t="s">
        <v>94</v>
      </c>
      <c r="BE1906" t="s">
        <v>5124</v>
      </c>
      <c r="BF1906" t="s">
        <v>5125</v>
      </c>
      <c r="BH1906" t="s">
        <v>97</v>
      </c>
      <c r="BI1906" t="s">
        <v>160</v>
      </c>
      <c r="BJ1906" t="s">
        <v>79</v>
      </c>
      <c r="BM1906">
        <v>1</v>
      </c>
      <c r="BN1906">
        <v>0</v>
      </c>
      <c r="BO1906">
        <v>1</v>
      </c>
      <c r="BP1906" t="s">
        <v>80</v>
      </c>
      <c r="BR1906">
        <v>0</v>
      </c>
      <c r="BS1906">
        <v>0</v>
      </c>
      <c r="BU1906">
        <v>78585</v>
      </c>
    </row>
    <row r="1907" spans="1:73" x14ac:dyDescent="0.3">
      <c r="A1907" t="s">
        <v>5126</v>
      </c>
      <c r="B1907">
        <v>0</v>
      </c>
      <c r="C1907">
        <v>352730</v>
      </c>
      <c r="D1907">
        <v>1</v>
      </c>
      <c r="E1907">
        <v>163634</v>
      </c>
      <c r="F1907">
        <v>0</v>
      </c>
      <c r="G1907">
        <v>0</v>
      </c>
      <c r="H1907">
        <v>1</v>
      </c>
      <c r="I1907">
        <v>20000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2</v>
      </c>
      <c r="BC1907" s="1">
        <v>536364</v>
      </c>
      <c r="BD1907" t="s">
        <v>94</v>
      </c>
      <c r="BE1907" t="s">
        <v>5127</v>
      </c>
      <c r="BF1907" t="s">
        <v>5128</v>
      </c>
      <c r="BH1907" t="s">
        <v>97</v>
      </c>
      <c r="BI1907" t="s">
        <v>208</v>
      </c>
      <c r="BJ1907" t="s">
        <v>79</v>
      </c>
      <c r="BM1907">
        <v>0</v>
      </c>
      <c r="BN1907">
        <v>2</v>
      </c>
      <c r="BO1907">
        <v>2</v>
      </c>
      <c r="BP1907" t="s">
        <v>80</v>
      </c>
      <c r="BR1907">
        <v>0</v>
      </c>
      <c r="BS1907">
        <v>6</v>
      </c>
      <c r="BU1907">
        <v>536364</v>
      </c>
    </row>
    <row r="1908" spans="1:73" x14ac:dyDescent="0.3">
      <c r="A1908" t="s">
        <v>5129</v>
      </c>
      <c r="B1908">
        <v>0</v>
      </c>
      <c r="C1908">
        <v>0</v>
      </c>
      <c r="D1908">
        <v>1</v>
      </c>
      <c r="E1908">
        <v>6000000</v>
      </c>
      <c r="F1908">
        <v>0</v>
      </c>
      <c r="G1908">
        <v>0</v>
      </c>
      <c r="H1908">
        <v>5</v>
      </c>
      <c r="I1908">
        <v>43335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78585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9</v>
      </c>
      <c r="BC1908" s="1">
        <v>12200505</v>
      </c>
      <c r="BD1908" t="s">
        <v>94</v>
      </c>
      <c r="BE1908" t="s">
        <v>5130</v>
      </c>
      <c r="BF1908" t="s">
        <v>5131</v>
      </c>
      <c r="BH1908" t="s">
        <v>97</v>
      </c>
      <c r="BI1908" t="s">
        <v>98</v>
      </c>
      <c r="BJ1908" t="s">
        <v>79</v>
      </c>
      <c r="BM1908">
        <v>1</v>
      </c>
      <c r="BN1908">
        <v>2</v>
      </c>
      <c r="BO1908">
        <v>3</v>
      </c>
      <c r="BP1908" t="s">
        <v>80</v>
      </c>
      <c r="BR1908">
        <v>0</v>
      </c>
      <c r="BS1908">
        <v>5</v>
      </c>
      <c r="BU1908">
        <v>6121920</v>
      </c>
    </row>
    <row r="1909" spans="1:73" x14ac:dyDescent="0.3">
      <c r="A1909" t="s">
        <v>5132</v>
      </c>
      <c r="B1909">
        <v>0</v>
      </c>
      <c r="C1909">
        <v>0</v>
      </c>
      <c r="D1909">
        <v>1</v>
      </c>
      <c r="E1909">
        <v>428571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1</v>
      </c>
      <c r="BC1909" s="1">
        <v>428571</v>
      </c>
      <c r="BD1909" t="s">
        <v>94</v>
      </c>
      <c r="BE1909" t="s">
        <v>5133</v>
      </c>
      <c r="BF1909" t="s">
        <v>5134</v>
      </c>
      <c r="BH1909" t="s">
        <v>97</v>
      </c>
      <c r="BI1909" t="s">
        <v>119</v>
      </c>
      <c r="BJ1909" t="s">
        <v>79</v>
      </c>
      <c r="BM1909">
        <v>0</v>
      </c>
      <c r="BN1909">
        <v>1</v>
      </c>
      <c r="BO1909">
        <v>1</v>
      </c>
      <c r="BP1909" t="s">
        <v>80</v>
      </c>
      <c r="BR1909">
        <v>0</v>
      </c>
      <c r="BS1909">
        <v>6</v>
      </c>
      <c r="BU1909">
        <v>428571</v>
      </c>
    </row>
    <row r="1910" spans="1:73" x14ac:dyDescent="0.3">
      <c r="A1910" t="s">
        <v>5138</v>
      </c>
      <c r="B1910">
        <v>1</v>
      </c>
      <c r="C1910">
        <v>228534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1207174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333334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4</v>
      </c>
      <c r="BC1910" s="1">
        <v>2102376</v>
      </c>
      <c r="BD1910" t="s">
        <v>94</v>
      </c>
      <c r="BE1910" t="s">
        <v>5139</v>
      </c>
      <c r="BF1910" t="s">
        <v>5140</v>
      </c>
      <c r="BH1910" t="s">
        <v>123</v>
      </c>
      <c r="BI1910" t="s">
        <v>288</v>
      </c>
      <c r="BJ1910" t="s">
        <v>125</v>
      </c>
      <c r="BM1910">
        <v>1</v>
      </c>
      <c r="BN1910">
        <v>2</v>
      </c>
      <c r="BO1910">
        <v>3</v>
      </c>
      <c r="BP1910" t="s">
        <v>80</v>
      </c>
      <c r="BR1910">
        <v>0</v>
      </c>
      <c r="BS1910">
        <v>6</v>
      </c>
      <c r="BU1910">
        <v>1769042</v>
      </c>
    </row>
    <row r="1911" spans="1:73" x14ac:dyDescent="0.3">
      <c r="A1911" t="s">
        <v>5144</v>
      </c>
      <c r="B1911">
        <v>0</v>
      </c>
      <c r="C1911">
        <v>0</v>
      </c>
      <c r="D1911">
        <v>1</v>
      </c>
      <c r="E1911">
        <v>429091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1</v>
      </c>
      <c r="BC1911" s="1">
        <v>429091</v>
      </c>
      <c r="BD1911" t="s">
        <v>94</v>
      </c>
      <c r="BE1911" t="s">
        <v>5145</v>
      </c>
      <c r="BF1911" t="s">
        <v>5146</v>
      </c>
      <c r="BH1911" t="s">
        <v>97</v>
      </c>
      <c r="BI1911" t="s">
        <v>559</v>
      </c>
      <c r="BJ1911" t="s">
        <v>79</v>
      </c>
      <c r="BM1911">
        <v>0</v>
      </c>
      <c r="BN1911">
        <v>1</v>
      </c>
      <c r="BO1911">
        <v>1</v>
      </c>
      <c r="BP1911" t="s">
        <v>80</v>
      </c>
      <c r="BR1911">
        <v>0</v>
      </c>
      <c r="BS1911">
        <v>6</v>
      </c>
      <c r="BU1911">
        <v>429091</v>
      </c>
    </row>
    <row r="1912" spans="1:73" x14ac:dyDescent="0.3">
      <c r="A1912" t="s">
        <v>5159</v>
      </c>
      <c r="B1912">
        <v>0</v>
      </c>
      <c r="C1912">
        <v>0</v>
      </c>
      <c r="D1912">
        <v>3</v>
      </c>
      <c r="E1912">
        <v>953002</v>
      </c>
      <c r="F1912">
        <v>0</v>
      </c>
      <c r="G1912">
        <v>0</v>
      </c>
      <c r="H1912">
        <v>4</v>
      </c>
      <c r="I1912">
        <v>106004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78585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8</v>
      </c>
      <c r="BC1912" s="1">
        <v>2063174</v>
      </c>
      <c r="BD1912" t="s">
        <v>94</v>
      </c>
      <c r="BE1912" t="s">
        <v>5160</v>
      </c>
      <c r="BF1912" t="s">
        <v>287</v>
      </c>
      <c r="BH1912" t="s">
        <v>97</v>
      </c>
      <c r="BI1912" t="s">
        <v>98</v>
      </c>
      <c r="BJ1912" t="s">
        <v>79</v>
      </c>
      <c r="BM1912">
        <v>1</v>
      </c>
      <c r="BN1912">
        <v>2</v>
      </c>
      <c r="BO1912">
        <v>3</v>
      </c>
      <c r="BP1912" t="s">
        <v>80</v>
      </c>
      <c r="BR1912">
        <v>0</v>
      </c>
      <c r="BS1912">
        <v>6</v>
      </c>
      <c r="BU1912">
        <v>1137591</v>
      </c>
    </row>
    <row r="1913" spans="1:73" x14ac:dyDescent="0.3">
      <c r="A1913" t="s">
        <v>5164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78585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2</v>
      </c>
      <c r="BC1913" s="1">
        <v>157170</v>
      </c>
      <c r="BD1913" t="s">
        <v>94</v>
      </c>
      <c r="BE1913" t="s">
        <v>5165</v>
      </c>
      <c r="BF1913" t="s">
        <v>5166</v>
      </c>
      <c r="BH1913" t="s">
        <v>97</v>
      </c>
      <c r="BI1913" t="s">
        <v>208</v>
      </c>
      <c r="BJ1913" t="s">
        <v>79</v>
      </c>
      <c r="BM1913">
        <v>1</v>
      </c>
      <c r="BN1913">
        <v>0</v>
      </c>
      <c r="BO1913">
        <v>1</v>
      </c>
      <c r="BP1913" t="s">
        <v>80</v>
      </c>
      <c r="BR1913">
        <v>0</v>
      </c>
      <c r="BS1913">
        <v>6</v>
      </c>
      <c r="BU1913">
        <v>78585</v>
      </c>
    </row>
    <row r="1914" spans="1:73" x14ac:dyDescent="0.3">
      <c r="A1914" t="s">
        <v>5173</v>
      </c>
      <c r="B1914">
        <v>0</v>
      </c>
      <c r="C1914">
        <v>0</v>
      </c>
      <c r="D1914">
        <v>6</v>
      </c>
      <c r="E1914">
        <v>3131544</v>
      </c>
      <c r="F1914">
        <v>0</v>
      </c>
      <c r="G1914">
        <v>0</v>
      </c>
      <c r="H1914">
        <v>3</v>
      </c>
      <c r="I1914">
        <v>65831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12</v>
      </c>
      <c r="BC1914" s="1">
        <v>6408685</v>
      </c>
      <c r="BD1914" t="s">
        <v>94</v>
      </c>
      <c r="BE1914" t="s">
        <v>5174</v>
      </c>
      <c r="BF1914" t="s">
        <v>5175</v>
      </c>
      <c r="BH1914" t="s">
        <v>97</v>
      </c>
      <c r="BI1914" t="s">
        <v>98</v>
      </c>
      <c r="BJ1914" t="s">
        <v>79</v>
      </c>
      <c r="BM1914">
        <v>0</v>
      </c>
      <c r="BN1914">
        <v>2</v>
      </c>
      <c r="BO1914">
        <v>2</v>
      </c>
      <c r="BP1914" t="s">
        <v>80</v>
      </c>
      <c r="BR1914">
        <v>0</v>
      </c>
      <c r="BS1914">
        <v>6</v>
      </c>
      <c r="BU1914">
        <v>3197375</v>
      </c>
    </row>
    <row r="1915" spans="1:73" x14ac:dyDescent="0.3">
      <c r="A1915" t="s">
        <v>5185</v>
      </c>
      <c r="B1915">
        <v>0</v>
      </c>
      <c r="C1915">
        <v>0</v>
      </c>
      <c r="D1915">
        <v>1</v>
      </c>
      <c r="E1915">
        <v>123115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81818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2</v>
      </c>
      <c r="BC1915" s="1">
        <v>204933</v>
      </c>
      <c r="BD1915" t="s">
        <v>94</v>
      </c>
      <c r="BE1915" t="s">
        <v>5186</v>
      </c>
      <c r="BF1915" t="s">
        <v>5187</v>
      </c>
      <c r="BH1915" t="s">
        <v>97</v>
      </c>
      <c r="BI1915" t="s">
        <v>119</v>
      </c>
      <c r="BJ1915" t="s">
        <v>79</v>
      </c>
      <c r="BM1915">
        <v>1</v>
      </c>
      <c r="BN1915">
        <v>1</v>
      </c>
      <c r="BO1915">
        <v>2</v>
      </c>
      <c r="BP1915" t="s">
        <v>80</v>
      </c>
      <c r="BR1915">
        <v>0</v>
      </c>
      <c r="BS1915">
        <v>6</v>
      </c>
      <c r="BU1915">
        <v>204933</v>
      </c>
    </row>
    <row r="1916" spans="1:73" x14ac:dyDescent="0.3">
      <c r="A1916" t="s">
        <v>5194</v>
      </c>
      <c r="B1916">
        <v>0</v>
      </c>
      <c r="C1916">
        <v>0</v>
      </c>
      <c r="D1916">
        <v>1</v>
      </c>
      <c r="E1916">
        <v>476000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78585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5</v>
      </c>
      <c r="BC1916" s="1">
        <v>1717465</v>
      </c>
      <c r="BD1916" t="s">
        <v>94</v>
      </c>
      <c r="BE1916" t="s">
        <v>5195</v>
      </c>
      <c r="BF1916" t="s">
        <v>5196</v>
      </c>
      <c r="BH1916" t="s">
        <v>97</v>
      </c>
      <c r="BI1916" t="s">
        <v>103</v>
      </c>
      <c r="BJ1916" t="s">
        <v>79</v>
      </c>
      <c r="BM1916">
        <v>1</v>
      </c>
      <c r="BN1916">
        <v>1</v>
      </c>
      <c r="BO1916">
        <v>2</v>
      </c>
      <c r="BP1916" t="s">
        <v>80</v>
      </c>
      <c r="BR1916">
        <v>0</v>
      </c>
      <c r="BS1916">
        <v>6</v>
      </c>
      <c r="BU1916">
        <v>554585</v>
      </c>
    </row>
    <row r="1917" spans="1:73" x14ac:dyDescent="0.3">
      <c r="A1917" t="s">
        <v>5200</v>
      </c>
      <c r="B1917">
        <v>0</v>
      </c>
      <c r="C1917">
        <v>0</v>
      </c>
      <c r="D1917">
        <v>8</v>
      </c>
      <c r="E1917">
        <v>3421566</v>
      </c>
      <c r="F1917">
        <v>0</v>
      </c>
      <c r="G1917">
        <v>0</v>
      </c>
      <c r="H1917">
        <v>13</v>
      </c>
      <c r="I1917">
        <v>423132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2</v>
      </c>
      <c r="Z1917">
        <v>147070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20</v>
      </c>
      <c r="BC1917" s="1">
        <v>8400880</v>
      </c>
      <c r="BD1917" t="s">
        <v>94</v>
      </c>
      <c r="BE1917" t="s">
        <v>5201</v>
      </c>
      <c r="BF1917" t="s">
        <v>1613</v>
      </c>
      <c r="BH1917" t="s">
        <v>97</v>
      </c>
      <c r="BI1917" t="s">
        <v>208</v>
      </c>
      <c r="BJ1917" t="s">
        <v>79</v>
      </c>
      <c r="BM1917">
        <v>1</v>
      </c>
      <c r="BN1917">
        <v>2</v>
      </c>
      <c r="BO1917">
        <v>3</v>
      </c>
      <c r="BP1917" t="s">
        <v>80</v>
      </c>
      <c r="BR1917">
        <v>0</v>
      </c>
      <c r="BS1917">
        <v>6</v>
      </c>
      <c r="BU1917">
        <v>3991768</v>
      </c>
    </row>
    <row r="1918" spans="1:73" x14ac:dyDescent="0.3">
      <c r="A1918" t="s">
        <v>5202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96439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2</v>
      </c>
      <c r="BC1918" s="1">
        <v>192878</v>
      </c>
      <c r="BD1918" t="s">
        <v>94</v>
      </c>
      <c r="BE1918" t="s">
        <v>5203</v>
      </c>
      <c r="BF1918" t="s">
        <v>719</v>
      </c>
      <c r="BH1918" t="s">
        <v>97</v>
      </c>
      <c r="BI1918" t="s">
        <v>265</v>
      </c>
      <c r="BM1918">
        <v>1</v>
      </c>
      <c r="BN1918">
        <v>0</v>
      </c>
      <c r="BO1918">
        <v>1</v>
      </c>
      <c r="BP1918" t="s">
        <v>80</v>
      </c>
      <c r="BR1918">
        <v>0</v>
      </c>
      <c r="BS1918">
        <v>6</v>
      </c>
      <c r="BU1918">
        <v>96439</v>
      </c>
    </row>
    <row r="1919" spans="1:73" x14ac:dyDescent="0.3">
      <c r="A1919" t="s">
        <v>5207</v>
      </c>
      <c r="B1919">
        <v>0</v>
      </c>
      <c r="C1919">
        <v>1054546</v>
      </c>
      <c r="D1919">
        <v>4</v>
      </c>
      <c r="E1919">
        <v>339480</v>
      </c>
      <c r="F1919">
        <v>0</v>
      </c>
      <c r="G1919">
        <v>0</v>
      </c>
      <c r="H1919">
        <v>4</v>
      </c>
      <c r="I1919">
        <v>80000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7</v>
      </c>
      <c r="BC1919" s="1">
        <v>1604935</v>
      </c>
      <c r="BD1919" t="s">
        <v>94</v>
      </c>
      <c r="BE1919" t="s">
        <v>5208</v>
      </c>
      <c r="BF1919" t="s">
        <v>1227</v>
      </c>
      <c r="BH1919" t="s">
        <v>97</v>
      </c>
      <c r="BI1919" t="s">
        <v>119</v>
      </c>
      <c r="BJ1919" t="s">
        <v>79</v>
      </c>
      <c r="BM1919">
        <v>0</v>
      </c>
      <c r="BN1919">
        <v>2</v>
      </c>
      <c r="BO1919">
        <v>2</v>
      </c>
      <c r="BP1919" t="s">
        <v>80</v>
      </c>
      <c r="BR1919">
        <v>0</v>
      </c>
      <c r="BS1919">
        <v>6</v>
      </c>
      <c r="BU1919">
        <v>1474026</v>
      </c>
    </row>
    <row r="1920" spans="1:73" x14ac:dyDescent="0.3">
      <c r="A1920" t="s">
        <v>5217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2</v>
      </c>
      <c r="Z1920">
        <v>157170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871000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5</v>
      </c>
      <c r="BC1920" s="1">
        <v>1185340</v>
      </c>
      <c r="BD1920" t="s">
        <v>94</v>
      </c>
      <c r="BE1920" t="s">
        <v>5218</v>
      </c>
      <c r="BF1920" t="s">
        <v>5219</v>
      </c>
      <c r="BH1920" t="s">
        <v>97</v>
      </c>
      <c r="BI1920" t="s">
        <v>119</v>
      </c>
      <c r="BJ1920" t="s">
        <v>79</v>
      </c>
      <c r="BM1920">
        <v>2</v>
      </c>
      <c r="BN1920">
        <v>0</v>
      </c>
      <c r="BO1920">
        <v>2</v>
      </c>
      <c r="BP1920" t="s">
        <v>80</v>
      </c>
      <c r="BR1920">
        <v>0</v>
      </c>
      <c r="BS1920">
        <v>6</v>
      </c>
      <c r="BU1920">
        <v>1028170</v>
      </c>
    </row>
    <row r="1921" spans="1:73" x14ac:dyDescent="0.3">
      <c r="A1921" t="s">
        <v>5223</v>
      </c>
      <c r="B1921">
        <v>0</v>
      </c>
      <c r="C1921">
        <v>0</v>
      </c>
      <c r="D1921">
        <v>1</v>
      </c>
      <c r="E1921">
        <v>432000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3</v>
      </c>
      <c r="BC1921" s="1">
        <v>942585</v>
      </c>
      <c r="BD1921" t="s">
        <v>94</v>
      </c>
      <c r="BE1921" t="s">
        <v>5224</v>
      </c>
      <c r="BF1921" t="s">
        <v>568</v>
      </c>
      <c r="BH1921" t="s">
        <v>97</v>
      </c>
      <c r="BI1921" t="s">
        <v>265</v>
      </c>
      <c r="BJ1921" t="s">
        <v>79</v>
      </c>
      <c r="BM1921">
        <v>0</v>
      </c>
      <c r="BN1921">
        <v>1</v>
      </c>
      <c r="BO1921">
        <v>1</v>
      </c>
      <c r="BP1921" t="s">
        <v>80</v>
      </c>
      <c r="BR1921">
        <v>0</v>
      </c>
      <c r="BS1921">
        <v>6</v>
      </c>
      <c r="BU1921">
        <v>432000</v>
      </c>
    </row>
    <row r="1922" spans="1:73" x14ac:dyDescent="0.3">
      <c r="A1922" t="s">
        <v>5225</v>
      </c>
      <c r="B1922">
        <v>0</v>
      </c>
      <c r="C1922">
        <v>705460</v>
      </c>
      <c r="D1922">
        <v>3</v>
      </c>
      <c r="E1922">
        <v>356361</v>
      </c>
      <c r="F1922">
        <v>0</v>
      </c>
      <c r="G1922">
        <v>0</v>
      </c>
      <c r="H1922">
        <v>2</v>
      </c>
      <c r="I1922">
        <v>40000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7</v>
      </c>
      <c r="BC1922" s="1">
        <v>1918182</v>
      </c>
      <c r="BD1922" t="s">
        <v>94</v>
      </c>
      <c r="BE1922" t="s">
        <v>5226</v>
      </c>
      <c r="BF1922" t="s">
        <v>5227</v>
      </c>
      <c r="BH1922" t="s">
        <v>97</v>
      </c>
      <c r="BI1922" t="s">
        <v>160</v>
      </c>
      <c r="BJ1922" t="s">
        <v>79</v>
      </c>
      <c r="BM1922">
        <v>0</v>
      </c>
      <c r="BN1922">
        <v>2</v>
      </c>
      <c r="BO1922">
        <v>2</v>
      </c>
      <c r="BP1922" t="s">
        <v>514</v>
      </c>
      <c r="BR1922">
        <v>0</v>
      </c>
      <c r="BS1922">
        <v>6</v>
      </c>
      <c r="BU1922">
        <v>1101821</v>
      </c>
    </row>
    <row r="1923" spans="1:73" x14ac:dyDescent="0.3">
      <c r="A1923" t="s">
        <v>5245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53167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6225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</v>
      </c>
      <c r="BC1923" s="1">
        <v>59392</v>
      </c>
      <c r="BD1923" t="s">
        <v>94</v>
      </c>
      <c r="BE1923" t="s">
        <v>5246</v>
      </c>
      <c r="BF1923" t="s">
        <v>5247</v>
      </c>
      <c r="BH1923" t="s">
        <v>97</v>
      </c>
      <c r="BI1923" t="s">
        <v>265</v>
      </c>
      <c r="BJ1923" t="s">
        <v>79</v>
      </c>
      <c r="BM1923">
        <v>2</v>
      </c>
      <c r="BN1923">
        <v>0</v>
      </c>
      <c r="BO1923">
        <v>2</v>
      </c>
      <c r="BP1923" t="s">
        <v>80</v>
      </c>
      <c r="BR1923">
        <v>0</v>
      </c>
      <c r="BS1923">
        <v>0</v>
      </c>
      <c r="BU1923">
        <v>59392</v>
      </c>
    </row>
    <row r="1924" spans="1:73" x14ac:dyDescent="0.3">
      <c r="A1924" t="s">
        <v>5251</v>
      </c>
      <c r="B1924">
        <v>0</v>
      </c>
      <c r="C1924">
        <v>0</v>
      </c>
      <c r="D1924">
        <v>2</v>
      </c>
      <c r="E1924">
        <v>360000</v>
      </c>
      <c r="F1924">
        <v>0</v>
      </c>
      <c r="G1924">
        <v>0</v>
      </c>
      <c r="H1924">
        <v>2</v>
      </c>
      <c r="I1924">
        <v>40000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4</v>
      </c>
      <c r="BC1924" s="1">
        <v>720000</v>
      </c>
      <c r="BD1924" t="s">
        <v>94</v>
      </c>
      <c r="BE1924" t="s">
        <v>5252</v>
      </c>
      <c r="BF1924" t="s">
        <v>5253</v>
      </c>
      <c r="BH1924" t="s">
        <v>97</v>
      </c>
      <c r="BI1924" t="s">
        <v>98</v>
      </c>
      <c r="BJ1924" t="s">
        <v>79</v>
      </c>
      <c r="BM1924">
        <v>0</v>
      </c>
      <c r="BN1924">
        <v>2</v>
      </c>
      <c r="BO1924">
        <v>2</v>
      </c>
      <c r="BP1924" t="s">
        <v>80</v>
      </c>
      <c r="BR1924">
        <v>0</v>
      </c>
      <c r="BS1924">
        <v>6</v>
      </c>
      <c r="BU1924">
        <v>400000</v>
      </c>
    </row>
    <row r="1925" spans="1:73" x14ac:dyDescent="0.3">
      <c r="A1925" t="s">
        <v>5254</v>
      </c>
      <c r="B1925">
        <v>0</v>
      </c>
      <c r="C1925">
        <v>0</v>
      </c>
      <c r="D1925">
        <v>1</v>
      </c>
      <c r="E1925">
        <v>700000</v>
      </c>
      <c r="F1925">
        <v>0</v>
      </c>
      <c r="G1925">
        <v>0</v>
      </c>
      <c r="H1925">
        <v>2</v>
      </c>
      <c r="I1925">
        <v>40000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3</v>
      </c>
      <c r="BC1925" s="1">
        <v>740000</v>
      </c>
      <c r="BD1925" t="s">
        <v>94</v>
      </c>
      <c r="BE1925" t="s">
        <v>5255</v>
      </c>
      <c r="BF1925" t="s">
        <v>5256</v>
      </c>
      <c r="BH1925" t="s">
        <v>97</v>
      </c>
      <c r="BI1925" t="s">
        <v>119</v>
      </c>
      <c r="BJ1925" t="s">
        <v>79</v>
      </c>
      <c r="BM1925">
        <v>0</v>
      </c>
      <c r="BN1925">
        <v>2</v>
      </c>
      <c r="BO1925">
        <v>2</v>
      </c>
      <c r="BP1925" t="s">
        <v>80</v>
      </c>
      <c r="BR1925">
        <v>0</v>
      </c>
      <c r="BS1925">
        <v>6</v>
      </c>
      <c r="BU1925">
        <v>740000</v>
      </c>
    </row>
    <row r="1926" spans="1:73" x14ac:dyDescent="0.3">
      <c r="A1926" t="s">
        <v>5257</v>
      </c>
      <c r="B1926">
        <v>2</v>
      </c>
      <c r="C1926">
        <v>402211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2</v>
      </c>
      <c r="BC1926" s="1">
        <v>402211</v>
      </c>
      <c r="BD1926" t="s">
        <v>94</v>
      </c>
      <c r="BE1926" t="s">
        <v>5258</v>
      </c>
      <c r="BF1926" t="s">
        <v>3088</v>
      </c>
      <c r="BH1926" t="s">
        <v>97</v>
      </c>
      <c r="BI1926" t="s">
        <v>680</v>
      </c>
      <c r="BJ1926" t="s">
        <v>79</v>
      </c>
      <c r="BM1926">
        <v>0</v>
      </c>
      <c r="BN1926">
        <v>1</v>
      </c>
      <c r="BO1926">
        <v>1</v>
      </c>
      <c r="BP1926" t="s">
        <v>80</v>
      </c>
      <c r="BR1926">
        <v>0</v>
      </c>
      <c r="BS1926">
        <v>6</v>
      </c>
      <c r="BU1926">
        <v>402211</v>
      </c>
    </row>
    <row r="1927" spans="1:73" x14ac:dyDescent="0.3">
      <c r="A1927" t="s">
        <v>5271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73535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19792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4</v>
      </c>
      <c r="BC1927" s="1">
        <v>186654</v>
      </c>
      <c r="BD1927" t="s">
        <v>94</v>
      </c>
      <c r="BE1927" t="s">
        <v>5272</v>
      </c>
      <c r="BF1927" t="s">
        <v>5273</v>
      </c>
      <c r="BH1927" t="s">
        <v>97</v>
      </c>
      <c r="BI1927" t="s">
        <v>1006</v>
      </c>
      <c r="BJ1927" t="s">
        <v>79</v>
      </c>
      <c r="BM1927">
        <v>2</v>
      </c>
      <c r="BN1927">
        <v>0</v>
      </c>
      <c r="BO1927">
        <v>2</v>
      </c>
      <c r="BP1927" t="s">
        <v>80</v>
      </c>
      <c r="BR1927">
        <v>0</v>
      </c>
      <c r="BS1927">
        <v>6</v>
      </c>
      <c r="BU1927">
        <v>93327</v>
      </c>
    </row>
    <row r="1928" spans="1:73" x14ac:dyDescent="0.3">
      <c r="A1928" t="s">
        <v>5284</v>
      </c>
      <c r="B1928">
        <v>1</v>
      </c>
      <c r="C1928">
        <v>322460</v>
      </c>
      <c r="D1928">
        <v>1</v>
      </c>
      <c r="E1928">
        <v>150000</v>
      </c>
      <c r="F1928">
        <v>0</v>
      </c>
      <c r="G1928">
        <v>0</v>
      </c>
      <c r="H1928">
        <v>1</v>
      </c>
      <c r="I1928">
        <v>25000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3</v>
      </c>
      <c r="BC1928" s="1">
        <v>497460</v>
      </c>
      <c r="BD1928" t="s">
        <v>94</v>
      </c>
      <c r="BE1928" t="s">
        <v>5285</v>
      </c>
      <c r="BF1928" t="s">
        <v>5286</v>
      </c>
      <c r="BH1928" t="s">
        <v>97</v>
      </c>
      <c r="BI1928" t="s">
        <v>242</v>
      </c>
      <c r="BJ1928" t="s">
        <v>79</v>
      </c>
      <c r="BM1928">
        <v>0</v>
      </c>
      <c r="BN1928">
        <v>3</v>
      </c>
      <c r="BO1928">
        <v>3</v>
      </c>
      <c r="BP1928" t="s">
        <v>80</v>
      </c>
      <c r="BR1928">
        <v>0</v>
      </c>
      <c r="BS1928">
        <v>6</v>
      </c>
      <c r="BU1928">
        <v>497460</v>
      </c>
    </row>
    <row r="1929" spans="1:73" x14ac:dyDescent="0.3">
      <c r="A1929" t="s">
        <v>5287</v>
      </c>
      <c r="B1929">
        <v>1</v>
      </c>
      <c r="C1929">
        <v>198884</v>
      </c>
      <c r="D1929">
        <v>2</v>
      </c>
      <c r="E1929">
        <v>165454</v>
      </c>
      <c r="F1929">
        <v>0</v>
      </c>
      <c r="G1929">
        <v>0</v>
      </c>
      <c r="H1929">
        <v>2</v>
      </c>
      <c r="I1929">
        <v>40000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5</v>
      </c>
      <c r="BC1929" s="1">
        <v>529792</v>
      </c>
      <c r="BD1929" t="s">
        <v>94</v>
      </c>
      <c r="BE1929" t="s">
        <v>5288</v>
      </c>
      <c r="BF1929" t="s">
        <v>942</v>
      </c>
      <c r="BH1929" t="s">
        <v>97</v>
      </c>
      <c r="BI1929" t="s">
        <v>242</v>
      </c>
      <c r="BJ1929" t="s">
        <v>79</v>
      </c>
      <c r="BM1929">
        <v>0</v>
      </c>
      <c r="BN1929">
        <v>3</v>
      </c>
      <c r="BO1929">
        <v>3</v>
      </c>
      <c r="BP1929" t="s">
        <v>80</v>
      </c>
      <c r="BR1929">
        <v>0</v>
      </c>
      <c r="BS1929">
        <v>6</v>
      </c>
      <c r="BU1929">
        <v>404338</v>
      </c>
    </row>
    <row r="1930" spans="1:73" x14ac:dyDescent="0.3">
      <c r="A1930" t="s">
        <v>5314</v>
      </c>
      <c r="B1930">
        <v>0</v>
      </c>
      <c r="C1930">
        <v>0</v>
      </c>
      <c r="D1930">
        <v>1</v>
      </c>
      <c r="E1930">
        <v>462857</v>
      </c>
      <c r="F1930">
        <v>0</v>
      </c>
      <c r="G1930">
        <v>0</v>
      </c>
      <c r="H1930">
        <v>1</v>
      </c>
      <c r="I1930">
        <v>20000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</v>
      </c>
      <c r="BC1930" s="1">
        <v>945714</v>
      </c>
      <c r="BD1930" t="s">
        <v>94</v>
      </c>
      <c r="BE1930" t="s">
        <v>5315</v>
      </c>
      <c r="BF1930" t="s">
        <v>5316</v>
      </c>
      <c r="BH1930" t="s">
        <v>97</v>
      </c>
      <c r="BI1930" t="s">
        <v>119</v>
      </c>
      <c r="BJ1930" t="s">
        <v>79</v>
      </c>
      <c r="BM1930">
        <v>0</v>
      </c>
      <c r="BN1930">
        <v>2</v>
      </c>
      <c r="BO1930">
        <v>2</v>
      </c>
      <c r="BP1930" t="s">
        <v>80</v>
      </c>
      <c r="BR1930">
        <v>0</v>
      </c>
      <c r="BS1930">
        <v>6</v>
      </c>
      <c r="BU1930">
        <v>482857</v>
      </c>
    </row>
    <row r="1931" spans="1:73" x14ac:dyDescent="0.3">
      <c r="A1931" t="s">
        <v>5328</v>
      </c>
      <c r="B1931">
        <v>3</v>
      </c>
      <c r="C1931">
        <v>805197</v>
      </c>
      <c r="D1931">
        <v>3</v>
      </c>
      <c r="E1931">
        <v>740000</v>
      </c>
      <c r="F1931">
        <v>0</v>
      </c>
      <c r="G1931">
        <v>0</v>
      </c>
      <c r="H1931">
        <v>4</v>
      </c>
      <c r="I1931">
        <v>80000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9</v>
      </c>
      <c r="BC1931" s="1">
        <v>2285197</v>
      </c>
      <c r="BD1931" t="s">
        <v>94</v>
      </c>
      <c r="BE1931" t="s">
        <v>5329</v>
      </c>
      <c r="BF1931" t="s">
        <v>5330</v>
      </c>
      <c r="BH1931" t="s">
        <v>123</v>
      </c>
      <c r="BI1931" t="s">
        <v>124</v>
      </c>
      <c r="BJ1931" t="s">
        <v>125</v>
      </c>
      <c r="BM1931">
        <v>0</v>
      </c>
      <c r="BN1931">
        <v>3</v>
      </c>
      <c r="BO1931">
        <v>3</v>
      </c>
      <c r="BP1931" t="s">
        <v>80</v>
      </c>
      <c r="BR1931">
        <v>0</v>
      </c>
      <c r="BS1931">
        <v>6</v>
      </c>
      <c r="BU1931">
        <v>1625197</v>
      </c>
    </row>
    <row r="1932" spans="1:73" x14ac:dyDescent="0.3">
      <c r="A1932" t="s">
        <v>5333</v>
      </c>
      <c r="B1932">
        <v>0</v>
      </c>
      <c r="C1932">
        <v>0</v>
      </c>
      <c r="D1932">
        <v>4</v>
      </c>
      <c r="E1932">
        <v>1765332</v>
      </c>
      <c r="F1932">
        <v>0</v>
      </c>
      <c r="G1932">
        <v>0</v>
      </c>
      <c r="H1932">
        <v>6</v>
      </c>
      <c r="I1932">
        <v>650664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8</v>
      </c>
      <c r="BC1932" s="1">
        <v>3530664</v>
      </c>
      <c r="BD1932" t="s">
        <v>94</v>
      </c>
      <c r="BE1932" t="s">
        <v>5334</v>
      </c>
      <c r="BF1932" t="s">
        <v>5335</v>
      </c>
      <c r="BH1932" t="s">
        <v>97</v>
      </c>
      <c r="BI1932" t="s">
        <v>265</v>
      </c>
      <c r="BJ1932" t="s">
        <v>79</v>
      </c>
      <c r="BM1932">
        <v>0</v>
      </c>
      <c r="BN1932">
        <v>2</v>
      </c>
      <c r="BO1932">
        <v>2</v>
      </c>
      <c r="BP1932" t="s">
        <v>80</v>
      </c>
      <c r="BR1932">
        <v>0</v>
      </c>
      <c r="BS1932">
        <v>6</v>
      </c>
      <c r="BU1932">
        <v>2415996</v>
      </c>
    </row>
    <row r="1933" spans="1:73" x14ac:dyDescent="0.3">
      <c r="A1933" t="s">
        <v>5344</v>
      </c>
      <c r="B1933">
        <v>0</v>
      </c>
      <c r="C1933">
        <v>0</v>
      </c>
      <c r="D1933">
        <v>4</v>
      </c>
      <c r="E1933">
        <v>2058366</v>
      </c>
      <c r="F1933">
        <v>0</v>
      </c>
      <c r="G1933">
        <v>0</v>
      </c>
      <c r="H1933">
        <v>4</v>
      </c>
      <c r="I1933">
        <v>116732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73535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31666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10</v>
      </c>
      <c r="BC1933" s="1">
        <v>4221933</v>
      </c>
      <c r="BD1933" t="s">
        <v>94</v>
      </c>
      <c r="BE1933" t="s">
        <v>5345</v>
      </c>
      <c r="BF1933" t="s">
        <v>5346</v>
      </c>
      <c r="BH1933" t="s">
        <v>97</v>
      </c>
      <c r="BI1933" t="s">
        <v>119</v>
      </c>
      <c r="BJ1933" t="s">
        <v>79</v>
      </c>
      <c r="BM1933">
        <v>2</v>
      </c>
      <c r="BN1933">
        <v>2</v>
      </c>
      <c r="BO1933">
        <v>4</v>
      </c>
      <c r="BP1933" t="s">
        <v>80</v>
      </c>
      <c r="BR1933">
        <v>0</v>
      </c>
      <c r="BS1933">
        <v>6</v>
      </c>
      <c r="BU1933">
        <v>2280299</v>
      </c>
    </row>
    <row r="1934" spans="1:73" x14ac:dyDescent="0.3">
      <c r="A1934" t="s">
        <v>5359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53167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6225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4</v>
      </c>
      <c r="BC1934" s="1">
        <v>118784</v>
      </c>
      <c r="BD1934" t="s">
        <v>94</v>
      </c>
      <c r="BE1934" t="s">
        <v>5360</v>
      </c>
      <c r="BF1934" t="s">
        <v>5361</v>
      </c>
      <c r="BH1934" t="s">
        <v>97</v>
      </c>
      <c r="BI1934" t="s">
        <v>208</v>
      </c>
      <c r="BJ1934" t="s">
        <v>79</v>
      </c>
      <c r="BM1934">
        <v>2</v>
      </c>
      <c r="BN1934">
        <v>0</v>
      </c>
      <c r="BO1934">
        <v>2</v>
      </c>
      <c r="BP1934" t="s">
        <v>80</v>
      </c>
      <c r="BR1934">
        <v>0</v>
      </c>
      <c r="BS1934">
        <v>6</v>
      </c>
      <c r="BU1934">
        <v>59392</v>
      </c>
    </row>
    <row r="1935" spans="1:73" x14ac:dyDescent="0.3">
      <c r="A1935" t="s">
        <v>5365</v>
      </c>
      <c r="B1935">
        <v>1</v>
      </c>
      <c r="C1935">
        <v>49122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 s="1">
        <v>49122</v>
      </c>
      <c r="BD1935" t="s">
        <v>94</v>
      </c>
      <c r="BE1935" t="s">
        <v>5366</v>
      </c>
      <c r="BF1935" t="s">
        <v>5367</v>
      </c>
      <c r="BM1935">
        <v>0</v>
      </c>
      <c r="BN1935">
        <v>1</v>
      </c>
      <c r="BO1935">
        <v>1</v>
      </c>
      <c r="BP1935" t="s">
        <v>80</v>
      </c>
      <c r="BR1935">
        <v>0</v>
      </c>
      <c r="BS1935">
        <v>6</v>
      </c>
      <c r="BU1935">
        <v>49122</v>
      </c>
    </row>
    <row r="1936" spans="1:73" x14ac:dyDescent="0.3">
      <c r="A1936" t="s">
        <v>5379</v>
      </c>
      <c r="B1936">
        <v>0</v>
      </c>
      <c r="C1936">
        <v>0</v>
      </c>
      <c r="D1936">
        <v>1</v>
      </c>
      <c r="E1936">
        <v>240000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1</v>
      </c>
      <c r="BC1936" s="1">
        <v>240000</v>
      </c>
      <c r="BD1936" t="s">
        <v>94</v>
      </c>
      <c r="BE1936" t="s">
        <v>5380</v>
      </c>
      <c r="BF1936" t="s">
        <v>5381</v>
      </c>
      <c r="BH1936" t="s">
        <v>77</v>
      </c>
      <c r="BI1936" t="s">
        <v>204</v>
      </c>
      <c r="BJ1936" t="s">
        <v>79</v>
      </c>
      <c r="BM1936">
        <v>0</v>
      </c>
      <c r="BN1936">
        <v>1</v>
      </c>
      <c r="BO1936">
        <v>1</v>
      </c>
      <c r="BP1936" t="s">
        <v>80</v>
      </c>
      <c r="BR1936">
        <v>0</v>
      </c>
      <c r="BS1936">
        <v>6</v>
      </c>
      <c r="BU1936">
        <v>240000</v>
      </c>
    </row>
    <row r="1937" spans="1:73" x14ac:dyDescent="0.3">
      <c r="A1937" t="s">
        <v>5388</v>
      </c>
      <c r="B1937">
        <v>0</v>
      </c>
      <c r="C1937">
        <v>0</v>
      </c>
      <c r="D1937">
        <v>2</v>
      </c>
      <c r="E1937">
        <v>40000</v>
      </c>
      <c r="F1937">
        <v>0</v>
      </c>
      <c r="G1937">
        <v>0</v>
      </c>
      <c r="H1937">
        <v>4</v>
      </c>
      <c r="I1937">
        <v>80000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5</v>
      </c>
      <c r="BC1937" s="1">
        <v>508571</v>
      </c>
      <c r="BD1937" t="s">
        <v>94</v>
      </c>
      <c r="BE1937" t="s">
        <v>5389</v>
      </c>
      <c r="BF1937" t="s">
        <v>5390</v>
      </c>
      <c r="BH1937" t="s">
        <v>97</v>
      </c>
      <c r="BI1937" t="s">
        <v>265</v>
      </c>
      <c r="BJ1937" t="s">
        <v>79</v>
      </c>
      <c r="BM1937">
        <v>0</v>
      </c>
      <c r="BN1937">
        <v>2</v>
      </c>
      <c r="BO1937">
        <v>2</v>
      </c>
      <c r="BP1937" t="s">
        <v>80</v>
      </c>
      <c r="BR1937">
        <v>0</v>
      </c>
      <c r="BS1937">
        <v>6</v>
      </c>
      <c r="BU1937">
        <v>120000</v>
      </c>
    </row>
    <row r="1938" spans="1:73" x14ac:dyDescent="0.3">
      <c r="A1938" t="s">
        <v>5394</v>
      </c>
      <c r="B1938">
        <v>0</v>
      </c>
      <c r="C1938">
        <v>0</v>
      </c>
      <c r="D1938">
        <v>8</v>
      </c>
      <c r="E1938">
        <v>5258116</v>
      </c>
      <c r="F1938">
        <v>0</v>
      </c>
      <c r="G1938">
        <v>0</v>
      </c>
      <c r="H1938">
        <v>12</v>
      </c>
      <c r="I1938">
        <v>401948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16</v>
      </c>
      <c r="BC1938" s="1">
        <v>10516232</v>
      </c>
      <c r="BD1938" t="s">
        <v>94</v>
      </c>
      <c r="BE1938" t="s">
        <v>5395</v>
      </c>
      <c r="BF1938" t="s">
        <v>5396</v>
      </c>
      <c r="BH1938" t="s">
        <v>97</v>
      </c>
      <c r="BI1938" t="s">
        <v>119</v>
      </c>
      <c r="BJ1938" t="s">
        <v>79</v>
      </c>
      <c r="BM1938">
        <v>0</v>
      </c>
      <c r="BN1938">
        <v>2</v>
      </c>
      <c r="BO1938">
        <v>2</v>
      </c>
      <c r="BP1938" t="s">
        <v>80</v>
      </c>
      <c r="BR1938">
        <v>0</v>
      </c>
      <c r="BS1938">
        <v>5</v>
      </c>
      <c r="BU1938">
        <v>5660064</v>
      </c>
    </row>
    <row r="1939" spans="1:73" x14ac:dyDescent="0.3">
      <c r="A1939" t="s">
        <v>5397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73535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  <c r="BC1939" s="1">
        <v>73535</v>
      </c>
      <c r="BD1939" t="s">
        <v>94</v>
      </c>
      <c r="BE1939" t="s">
        <v>5398</v>
      </c>
      <c r="BF1939" t="s">
        <v>5399</v>
      </c>
      <c r="BH1939" t="s">
        <v>97</v>
      </c>
      <c r="BI1939" t="s">
        <v>119</v>
      </c>
      <c r="BJ1939" t="s">
        <v>79</v>
      </c>
      <c r="BM1939">
        <v>1</v>
      </c>
      <c r="BN1939">
        <v>0</v>
      </c>
      <c r="BO1939">
        <v>1</v>
      </c>
      <c r="BP1939" t="s">
        <v>80</v>
      </c>
      <c r="BR1939">
        <v>0</v>
      </c>
      <c r="BS1939">
        <v>0</v>
      </c>
      <c r="BU1939">
        <v>73535</v>
      </c>
    </row>
    <row r="1940" spans="1:73" x14ac:dyDescent="0.3">
      <c r="A1940" t="s">
        <v>5400</v>
      </c>
      <c r="B1940">
        <v>3</v>
      </c>
      <c r="C1940">
        <v>972807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3</v>
      </c>
      <c r="BC1940" s="1">
        <v>972807</v>
      </c>
      <c r="BD1940" t="s">
        <v>94</v>
      </c>
      <c r="BE1940" t="s">
        <v>5401</v>
      </c>
      <c r="BF1940" t="s">
        <v>5402</v>
      </c>
      <c r="BH1940" t="s">
        <v>77</v>
      </c>
      <c r="BI1940" t="s">
        <v>204</v>
      </c>
      <c r="BJ1940" t="s">
        <v>79</v>
      </c>
      <c r="BM1940">
        <v>0</v>
      </c>
      <c r="BN1940">
        <v>1</v>
      </c>
      <c r="BO1940">
        <v>1</v>
      </c>
      <c r="BP1940" t="s">
        <v>80</v>
      </c>
      <c r="BR1940">
        <v>0</v>
      </c>
      <c r="BS1940">
        <v>6</v>
      </c>
      <c r="BU1940">
        <v>972807</v>
      </c>
    </row>
    <row r="1941" spans="1:73" x14ac:dyDescent="0.3">
      <c r="A1941" t="s">
        <v>5406</v>
      </c>
      <c r="B1941">
        <v>0</v>
      </c>
      <c r="C1941">
        <v>0</v>
      </c>
      <c r="D1941">
        <v>1</v>
      </c>
      <c r="E1941">
        <v>540000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3</v>
      </c>
      <c r="BC1941" s="1">
        <v>1354286</v>
      </c>
      <c r="BD1941" t="s">
        <v>94</v>
      </c>
      <c r="BE1941" t="s">
        <v>5407</v>
      </c>
      <c r="BF1941" t="s">
        <v>5408</v>
      </c>
      <c r="BH1941" t="s">
        <v>476</v>
      </c>
      <c r="BI1941" t="s">
        <v>1037</v>
      </c>
      <c r="BJ1941" t="s">
        <v>125</v>
      </c>
      <c r="BM1941">
        <v>0</v>
      </c>
      <c r="BN1941">
        <v>1</v>
      </c>
      <c r="BO1941">
        <v>1</v>
      </c>
      <c r="BP1941" t="s">
        <v>80</v>
      </c>
      <c r="BR1941">
        <v>0</v>
      </c>
      <c r="BS1941">
        <v>6</v>
      </c>
      <c r="BU1941">
        <v>540000</v>
      </c>
    </row>
    <row r="1942" spans="1:73" x14ac:dyDescent="0.3">
      <c r="A1942" t="s">
        <v>5409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73535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</v>
      </c>
      <c r="BC1942" s="1">
        <v>73535</v>
      </c>
      <c r="BD1942" t="s">
        <v>94</v>
      </c>
      <c r="BE1942" t="s">
        <v>5410</v>
      </c>
      <c r="BF1942" t="s">
        <v>5411</v>
      </c>
      <c r="BH1942" t="s">
        <v>97</v>
      </c>
      <c r="BI1942" t="s">
        <v>559</v>
      </c>
      <c r="BJ1942" t="s">
        <v>79</v>
      </c>
      <c r="BM1942">
        <v>1</v>
      </c>
      <c r="BN1942">
        <v>0</v>
      </c>
      <c r="BO1942">
        <v>1</v>
      </c>
      <c r="BP1942" t="s">
        <v>80</v>
      </c>
      <c r="BR1942">
        <v>0</v>
      </c>
      <c r="BS1942">
        <v>0</v>
      </c>
      <c r="BU1942">
        <v>73535</v>
      </c>
    </row>
    <row r="1943" spans="1:73" x14ac:dyDescent="0.3">
      <c r="A1943" t="s">
        <v>5415</v>
      </c>
      <c r="B1943">
        <v>1</v>
      </c>
      <c r="C1943">
        <v>554908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</v>
      </c>
      <c r="BC1943" s="1">
        <v>554908</v>
      </c>
      <c r="BD1943" t="s">
        <v>94</v>
      </c>
      <c r="BE1943" t="s">
        <v>5416</v>
      </c>
      <c r="BF1943" t="s">
        <v>5417</v>
      </c>
      <c r="BM1943">
        <v>0</v>
      </c>
      <c r="BN1943">
        <v>1</v>
      </c>
      <c r="BO1943">
        <v>1</v>
      </c>
      <c r="BP1943" t="s">
        <v>80</v>
      </c>
      <c r="BR1943">
        <v>0</v>
      </c>
      <c r="BS1943">
        <v>6</v>
      </c>
      <c r="BU1943">
        <v>554908</v>
      </c>
    </row>
    <row r="1944" spans="1:73" x14ac:dyDescent="0.3">
      <c r="A1944" t="s">
        <v>5421</v>
      </c>
      <c r="B1944">
        <v>0</v>
      </c>
      <c r="C1944">
        <v>0</v>
      </c>
      <c r="D1944">
        <v>4</v>
      </c>
      <c r="E1944">
        <v>590000</v>
      </c>
      <c r="F1944">
        <v>0</v>
      </c>
      <c r="G1944">
        <v>0</v>
      </c>
      <c r="H1944">
        <v>1</v>
      </c>
      <c r="I1944">
        <v>22344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8</v>
      </c>
      <c r="BC1944" s="1">
        <v>1052344</v>
      </c>
      <c r="BD1944" t="s">
        <v>94</v>
      </c>
      <c r="BE1944" t="s">
        <v>5422</v>
      </c>
      <c r="BF1944" t="s">
        <v>5423</v>
      </c>
      <c r="BH1944" t="s">
        <v>164</v>
      </c>
      <c r="BI1944" t="s">
        <v>165</v>
      </c>
      <c r="BJ1944" t="s">
        <v>79</v>
      </c>
      <c r="BM1944">
        <v>0</v>
      </c>
      <c r="BN1944">
        <v>2</v>
      </c>
      <c r="BO1944">
        <v>2</v>
      </c>
      <c r="BP1944" t="s">
        <v>80</v>
      </c>
      <c r="BR1944">
        <v>0</v>
      </c>
      <c r="BS1944">
        <v>6</v>
      </c>
      <c r="BU1944">
        <v>612344</v>
      </c>
    </row>
    <row r="1945" spans="1:73" x14ac:dyDescent="0.3">
      <c r="A1945" t="s">
        <v>5427</v>
      </c>
      <c r="B1945">
        <v>0</v>
      </c>
      <c r="C1945">
        <v>0</v>
      </c>
      <c r="D1945">
        <v>1</v>
      </c>
      <c r="E1945">
        <v>480000</v>
      </c>
      <c r="F1945">
        <v>0</v>
      </c>
      <c r="G1945">
        <v>0</v>
      </c>
      <c r="H1945">
        <v>1</v>
      </c>
      <c r="I1945">
        <v>20000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2</v>
      </c>
      <c r="BC1945" s="1">
        <v>500000</v>
      </c>
      <c r="BD1945" t="s">
        <v>94</v>
      </c>
      <c r="BE1945" t="s">
        <v>5428</v>
      </c>
      <c r="BF1945" t="s">
        <v>5429</v>
      </c>
      <c r="BH1945" t="s">
        <v>97</v>
      </c>
      <c r="BI1945" t="s">
        <v>119</v>
      </c>
      <c r="BJ1945" t="s">
        <v>79</v>
      </c>
      <c r="BM1945">
        <v>0</v>
      </c>
      <c r="BN1945">
        <v>2</v>
      </c>
      <c r="BO1945">
        <v>2</v>
      </c>
      <c r="BP1945" t="s">
        <v>80</v>
      </c>
      <c r="BR1945">
        <v>0</v>
      </c>
      <c r="BS1945">
        <v>6</v>
      </c>
      <c r="BU1945">
        <v>500000</v>
      </c>
    </row>
    <row r="1946" spans="1:73" x14ac:dyDescent="0.3">
      <c r="A1946" t="s">
        <v>5430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19792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</v>
      </c>
      <c r="BC1946" s="1">
        <v>19792</v>
      </c>
      <c r="BD1946" t="s">
        <v>94</v>
      </c>
      <c r="BE1946" t="s">
        <v>5431</v>
      </c>
      <c r="BF1946" t="s">
        <v>5432</v>
      </c>
      <c r="BH1946" t="s">
        <v>97</v>
      </c>
      <c r="BI1946" t="s">
        <v>242</v>
      </c>
      <c r="BJ1946" t="s">
        <v>79</v>
      </c>
      <c r="BM1946">
        <v>1</v>
      </c>
      <c r="BN1946">
        <v>0</v>
      </c>
      <c r="BO1946">
        <v>1</v>
      </c>
      <c r="BP1946" t="s">
        <v>80</v>
      </c>
      <c r="BR1946">
        <v>0</v>
      </c>
      <c r="BS1946">
        <v>0</v>
      </c>
      <c r="BU1946">
        <v>19792</v>
      </c>
    </row>
    <row r="1947" spans="1:73" x14ac:dyDescent="0.3">
      <c r="A1947" t="s">
        <v>5445</v>
      </c>
      <c r="B1947">
        <v>1</v>
      </c>
      <c r="C1947">
        <v>192806</v>
      </c>
      <c r="D1947">
        <v>2</v>
      </c>
      <c r="E1947">
        <v>219090</v>
      </c>
      <c r="F1947">
        <v>0</v>
      </c>
      <c r="G1947">
        <v>0</v>
      </c>
      <c r="H1947">
        <v>3</v>
      </c>
      <c r="I1947">
        <v>60000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60000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8</v>
      </c>
      <c r="BC1947" s="1">
        <v>770986</v>
      </c>
      <c r="BD1947" t="s">
        <v>94</v>
      </c>
      <c r="BE1947" t="s">
        <v>5446</v>
      </c>
      <c r="BF1947" t="s">
        <v>5447</v>
      </c>
      <c r="BH1947" t="s">
        <v>123</v>
      </c>
      <c r="BI1947" t="s">
        <v>1532</v>
      </c>
      <c r="BJ1947" t="s">
        <v>125</v>
      </c>
      <c r="BM1947">
        <v>0</v>
      </c>
      <c r="BN1947">
        <v>4</v>
      </c>
      <c r="BO1947">
        <v>4</v>
      </c>
      <c r="BP1947" t="s">
        <v>80</v>
      </c>
      <c r="BR1947">
        <v>0</v>
      </c>
      <c r="BS1947">
        <v>6</v>
      </c>
      <c r="BU1947">
        <v>531896</v>
      </c>
    </row>
    <row r="1948" spans="1:73" x14ac:dyDescent="0.3">
      <c r="A1948" t="s">
        <v>5450</v>
      </c>
      <c r="B1948">
        <v>3</v>
      </c>
      <c r="C1948">
        <v>1223274</v>
      </c>
      <c r="D1948">
        <v>1</v>
      </c>
      <c r="E1948">
        <v>1600000</v>
      </c>
      <c r="F1948">
        <v>0</v>
      </c>
      <c r="G1948">
        <v>0</v>
      </c>
      <c r="H1948">
        <v>3</v>
      </c>
      <c r="I1948">
        <v>2401054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583334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11</v>
      </c>
      <c r="BC1948" s="1">
        <v>7957662</v>
      </c>
      <c r="BD1948" t="s">
        <v>94</v>
      </c>
      <c r="BE1948" t="s">
        <v>5451</v>
      </c>
      <c r="BF1948" t="s">
        <v>5452</v>
      </c>
      <c r="BH1948" t="s">
        <v>97</v>
      </c>
      <c r="BI1948" t="s">
        <v>265</v>
      </c>
      <c r="BJ1948" t="s">
        <v>79</v>
      </c>
      <c r="BM1948">
        <v>1</v>
      </c>
      <c r="BN1948">
        <v>3</v>
      </c>
      <c r="BO1948">
        <v>4</v>
      </c>
      <c r="BP1948" t="s">
        <v>80</v>
      </c>
      <c r="BR1948">
        <v>0</v>
      </c>
      <c r="BS1948">
        <v>6</v>
      </c>
      <c r="BU1948">
        <v>5807662</v>
      </c>
    </row>
    <row r="1949" spans="1:73" x14ac:dyDescent="0.3">
      <c r="A1949" t="s">
        <v>5453</v>
      </c>
      <c r="B1949">
        <v>0</v>
      </c>
      <c r="C1949">
        <v>0</v>
      </c>
      <c r="D1949">
        <v>7</v>
      </c>
      <c r="E1949">
        <v>4721111</v>
      </c>
      <c r="F1949">
        <v>0</v>
      </c>
      <c r="G1949">
        <v>0</v>
      </c>
      <c r="H1949">
        <v>8</v>
      </c>
      <c r="I1949">
        <v>169494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16</v>
      </c>
      <c r="BC1949" s="1">
        <v>9482222</v>
      </c>
      <c r="BD1949" t="s">
        <v>94</v>
      </c>
      <c r="BE1949" t="s">
        <v>5454</v>
      </c>
      <c r="BF1949" t="s">
        <v>5455</v>
      </c>
      <c r="BH1949" t="s">
        <v>97</v>
      </c>
      <c r="BI1949" t="s">
        <v>119</v>
      </c>
      <c r="BJ1949" t="s">
        <v>79</v>
      </c>
      <c r="BM1949">
        <v>0</v>
      </c>
      <c r="BN1949">
        <v>2</v>
      </c>
      <c r="BO1949">
        <v>2</v>
      </c>
      <c r="BP1949" t="s">
        <v>80</v>
      </c>
      <c r="BR1949">
        <v>0</v>
      </c>
      <c r="BS1949">
        <v>6</v>
      </c>
      <c r="BU1949">
        <v>4890605</v>
      </c>
    </row>
    <row r="1950" spans="1:73" x14ac:dyDescent="0.3">
      <c r="A1950" t="s">
        <v>5459</v>
      </c>
      <c r="B1950">
        <v>0</v>
      </c>
      <c r="C1950">
        <v>0</v>
      </c>
      <c r="D1950">
        <v>1</v>
      </c>
      <c r="E1950">
        <v>205715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1</v>
      </c>
      <c r="BC1950" s="1">
        <v>205715</v>
      </c>
      <c r="BD1950" t="s">
        <v>94</v>
      </c>
      <c r="BE1950" t="s">
        <v>5460</v>
      </c>
      <c r="BF1950" t="s">
        <v>589</v>
      </c>
      <c r="BH1950" t="s">
        <v>97</v>
      </c>
      <c r="BI1950" t="s">
        <v>103</v>
      </c>
      <c r="BJ1950" t="s">
        <v>79</v>
      </c>
      <c r="BM1950">
        <v>0</v>
      </c>
      <c r="BN1950">
        <v>1</v>
      </c>
      <c r="BO1950">
        <v>1</v>
      </c>
      <c r="BP1950" t="s">
        <v>80</v>
      </c>
      <c r="BR1950">
        <v>0</v>
      </c>
      <c r="BS1950">
        <v>6</v>
      </c>
      <c r="BU1950">
        <v>205715</v>
      </c>
    </row>
    <row r="1951" spans="1:73" x14ac:dyDescent="0.3">
      <c r="A1951" t="s">
        <v>5464</v>
      </c>
      <c r="B1951">
        <v>0</v>
      </c>
      <c r="C1951">
        <v>2109092</v>
      </c>
      <c r="D1951">
        <v>4</v>
      </c>
      <c r="E1951">
        <v>430687</v>
      </c>
      <c r="F1951">
        <v>0</v>
      </c>
      <c r="G1951">
        <v>0</v>
      </c>
      <c r="H1951">
        <v>4</v>
      </c>
      <c r="I1951">
        <v>177738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8</v>
      </c>
      <c r="BC1951" s="1">
        <v>2970466</v>
      </c>
      <c r="BD1951" t="s">
        <v>94</v>
      </c>
      <c r="BE1951" t="s">
        <v>5465</v>
      </c>
      <c r="BF1951" t="s">
        <v>1923</v>
      </c>
      <c r="BH1951" t="s">
        <v>97</v>
      </c>
      <c r="BI1951" t="s">
        <v>119</v>
      </c>
      <c r="BJ1951" t="s">
        <v>79</v>
      </c>
      <c r="BM1951">
        <v>0</v>
      </c>
      <c r="BN1951">
        <v>2</v>
      </c>
      <c r="BO1951">
        <v>2</v>
      </c>
      <c r="BP1951" t="s">
        <v>80</v>
      </c>
      <c r="BR1951">
        <v>0</v>
      </c>
      <c r="BS1951">
        <v>6</v>
      </c>
      <c r="BU1951">
        <v>2717517</v>
      </c>
    </row>
    <row r="1952" spans="1:73" x14ac:dyDescent="0.3">
      <c r="A1952" t="s">
        <v>5469</v>
      </c>
      <c r="B1952">
        <v>0</v>
      </c>
      <c r="C1952">
        <v>0</v>
      </c>
      <c r="D1952">
        <v>3</v>
      </c>
      <c r="E1952">
        <v>497307</v>
      </c>
      <c r="F1952">
        <v>0</v>
      </c>
      <c r="G1952">
        <v>0</v>
      </c>
      <c r="H1952">
        <v>4</v>
      </c>
      <c r="I1952">
        <v>194614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6</v>
      </c>
      <c r="BC1952" s="1">
        <v>994614</v>
      </c>
      <c r="BD1952" t="s">
        <v>94</v>
      </c>
      <c r="BE1952" t="s">
        <v>5470</v>
      </c>
      <c r="BF1952" t="s">
        <v>5471</v>
      </c>
      <c r="BH1952" t="s">
        <v>97</v>
      </c>
      <c r="BI1952" t="s">
        <v>119</v>
      </c>
      <c r="BJ1952" t="s">
        <v>79</v>
      </c>
      <c r="BM1952">
        <v>0</v>
      </c>
      <c r="BN1952">
        <v>2</v>
      </c>
      <c r="BO1952">
        <v>2</v>
      </c>
      <c r="BP1952" t="s">
        <v>80</v>
      </c>
      <c r="BR1952">
        <v>0</v>
      </c>
      <c r="BS1952">
        <v>6</v>
      </c>
      <c r="BU1952">
        <v>691921</v>
      </c>
    </row>
    <row r="1953" spans="1:73" x14ac:dyDescent="0.3">
      <c r="A1953" t="s">
        <v>5475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73535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1</v>
      </c>
      <c r="BC1953" s="1">
        <v>73535</v>
      </c>
      <c r="BD1953" t="s">
        <v>94</v>
      </c>
      <c r="BE1953" t="s">
        <v>5476</v>
      </c>
      <c r="BF1953" t="s">
        <v>5477</v>
      </c>
      <c r="BH1953" t="s">
        <v>97</v>
      </c>
      <c r="BI1953" t="s">
        <v>265</v>
      </c>
      <c r="BJ1953" t="s">
        <v>79</v>
      </c>
      <c r="BM1953">
        <v>1</v>
      </c>
      <c r="BN1953">
        <v>0</v>
      </c>
      <c r="BO1953">
        <v>1</v>
      </c>
      <c r="BP1953" t="s">
        <v>80</v>
      </c>
      <c r="BR1953">
        <v>0</v>
      </c>
      <c r="BS1953">
        <v>0</v>
      </c>
      <c r="BU1953">
        <v>73535</v>
      </c>
    </row>
    <row r="1954" spans="1:73" x14ac:dyDescent="0.3">
      <c r="A1954" t="s">
        <v>5487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24243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2</v>
      </c>
      <c r="BC1954" s="1">
        <v>48486</v>
      </c>
      <c r="BD1954" t="s">
        <v>94</v>
      </c>
      <c r="BE1954" t="s">
        <v>5488</v>
      </c>
      <c r="BF1954" t="s">
        <v>5489</v>
      </c>
      <c r="BH1954" t="s">
        <v>97</v>
      </c>
      <c r="BI1954" t="s">
        <v>119</v>
      </c>
      <c r="BJ1954" t="s">
        <v>79</v>
      </c>
      <c r="BM1954">
        <v>1</v>
      </c>
      <c r="BN1954">
        <v>0</v>
      </c>
      <c r="BO1954">
        <v>1</v>
      </c>
      <c r="BP1954" t="s">
        <v>80</v>
      </c>
      <c r="BR1954">
        <v>0</v>
      </c>
      <c r="BS1954">
        <v>6</v>
      </c>
      <c r="BU1954">
        <v>24243</v>
      </c>
    </row>
    <row r="1955" spans="1:73" x14ac:dyDescent="0.3">
      <c r="A1955" t="s">
        <v>5493</v>
      </c>
      <c r="B1955">
        <v>0</v>
      </c>
      <c r="C1955">
        <v>0</v>
      </c>
      <c r="D1955">
        <v>3</v>
      </c>
      <c r="E1955">
        <v>1917108</v>
      </c>
      <c r="F1955">
        <v>0</v>
      </c>
      <c r="G1955">
        <v>0</v>
      </c>
      <c r="H1955">
        <v>4</v>
      </c>
      <c r="I1955">
        <v>84216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6</v>
      </c>
      <c r="BC1955" s="1">
        <v>3834216</v>
      </c>
      <c r="BD1955" t="s">
        <v>94</v>
      </c>
      <c r="BE1955" t="s">
        <v>5494</v>
      </c>
      <c r="BF1955" t="s">
        <v>5495</v>
      </c>
      <c r="BH1955" t="s">
        <v>97</v>
      </c>
      <c r="BI1955" t="s">
        <v>107</v>
      </c>
      <c r="BJ1955" t="s">
        <v>79</v>
      </c>
      <c r="BM1955">
        <v>0</v>
      </c>
      <c r="BN1955">
        <v>2</v>
      </c>
      <c r="BO1955">
        <v>2</v>
      </c>
      <c r="BP1955" t="s">
        <v>80</v>
      </c>
      <c r="BR1955">
        <v>0</v>
      </c>
      <c r="BS1955">
        <v>6</v>
      </c>
      <c r="BU1955">
        <v>2001324</v>
      </c>
    </row>
    <row r="1956" spans="1:73" x14ac:dyDescent="0.3">
      <c r="A1956" t="s">
        <v>5496</v>
      </c>
      <c r="B1956">
        <v>1</v>
      </c>
      <c r="C1956">
        <v>258181</v>
      </c>
      <c r="D1956">
        <v>4</v>
      </c>
      <c r="E1956">
        <v>2399472</v>
      </c>
      <c r="F1956">
        <v>0</v>
      </c>
      <c r="G1956">
        <v>0</v>
      </c>
      <c r="H1956">
        <v>7</v>
      </c>
      <c r="I1956">
        <v>154944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13</v>
      </c>
      <c r="BC1956" s="1">
        <v>5579982</v>
      </c>
      <c r="BD1956" t="s">
        <v>94</v>
      </c>
      <c r="BE1956" t="s">
        <v>5497</v>
      </c>
      <c r="BF1956" t="s">
        <v>5498</v>
      </c>
      <c r="BH1956" t="s">
        <v>97</v>
      </c>
      <c r="BI1956" t="s">
        <v>119</v>
      </c>
      <c r="BJ1956" t="s">
        <v>79</v>
      </c>
      <c r="BM1956">
        <v>0</v>
      </c>
      <c r="BN1956">
        <v>3</v>
      </c>
      <c r="BO1956">
        <v>3</v>
      </c>
      <c r="BP1956" t="s">
        <v>99</v>
      </c>
      <c r="BR1956">
        <v>0</v>
      </c>
      <c r="BS1956">
        <v>6</v>
      </c>
      <c r="BU1956">
        <v>2812597</v>
      </c>
    </row>
    <row r="1957" spans="1:73" x14ac:dyDescent="0.3">
      <c r="A1957" t="s">
        <v>5499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73535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 s="1">
        <v>73535</v>
      </c>
      <c r="BD1957" t="s">
        <v>94</v>
      </c>
      <c r="BE1957" t="s">
        <v>5500</v>
      </c>
      <c r="BF1957" t="s">
        <v>5501</v>
      </c>
      <c r="BH1957" t="s">
        <v>97</v>
      </c>
      <c r="BI1957" t="s">
        <v>119</v>
      </c>
      <c r="BJ1957" t="s">
        <v>79</v>
      </c>
      <c r="BM1957">
        <v>1</v>
      </c>
      <c r="BN1957">
        <v>0</v>
      </c>
      <c r="BO1957">
        <v>1</v>
      </c>
      <c r="BP1957" t="s">
        <v>80</v>
      </c>
      <c r="BR1957">
        <v>0</v>
      </c>
      <c r="BS1957">
        <v>0</v>
      </c>
      <c r="BU1957">
        <v>73535</v>
      </c>
    </row>
    <row r="1958" spans="1:73" x14ac:dyDescent="0.3">
      <c r="A1958" t="s">
        <v>5502</v>
      </c>
      <c r="B1958">
        <v>0</v>
      </c>
      <c r="C1958">
        <v>0</v>
      </c>
      <c r="D1958">
        <v>1</v>
      </c>
      <c r="E1958">
        <v>390000</v>
      </c>
      <c r="F1958">
        <v>0</v>
      </c>
      <c r="G1958">
        <v>0</v>
      </c>
      <c r="H1958">
        <v>2</v>
      </c>
      <c r="I1958">
        <v>40000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3</v>
      </c>
      <c r="BC1958" s="1">
        <v>430000</v>
      </c>
      <c r="BD1958" t="s">
        <v>94</v>
      </c>
      <c r="BE1958" t="s">
        <v>5503</v>
      </c>
      <c r="BF1958" t="s">
        <v>5504</v>
      </c>
      <c r="BH1958" t="s">
        <v>97</v>
      </c>
      <c r="BI1958" t="s">
        <v>208</v>
      </c>
      <c r="BJ1958" t="s">
        <v>79</v>
      </c>
      <c r="BM1958">
        <v>0</v>
      </c>
      <c r="BN1958">
        <v>2</v>
      </c>
      <c r="BO1958">
        <v>2</v>
      </c>
      <c r="BP1958" t="s">
        <v>80</v>
      </c>
      <c r="BR1958">
        <v>0</v>
      </c>
      <c r="BS1958">
        <v>6</v>
      </c>
      <c r="BU1958">
        <v>430000</v>
      </c>
    </row>
    <row r="1959" spans="1:73" x14ac:dyDescent="0.3">
      <c r="A1959" t="s">
        <v>5511</v>
      </c>
      <c r="B1959">
        <v>0</v>
      </c>
      <c r="C1959">
        <v>0</v>
      </c>
      <c r="D1959">
        <v>4</v>
      </c>
      <c r="E1959">
        <v>871152</v>
      </c>
      <c r="F1959">
        <v>0</v>
      </c>
      <c r="G1959">
        <v>0</v>
      </c>
      <c r="H1959">
        <v>4</v>
      </c>
      <c r="I1959">
        <v>360000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7</v>
      </c>
      <c r="BC1959" s="1">
        <v>1243152</v>
      </c>
      <c r="BD1959" t="s">
        <v>94</v>
      </c>
      <c r="BE1959" t="s">
        <v>5512</v>
      </c>
      <c r="BF1959" t="s">
        <v>4797</v>
      </c>
      <c r="BH1959" t="s">
        <v>97</v>
      </c>
      <c r="BI1959" t="s">
        <v>98</v>
      </c>
      <c r="BJ1959" t="s">
        <v>79</v>
      </c>
      <c r="BM1959">
        <v>0</v>
      </c>
      <c r="BN1959">
        <v>2</v>
      </c>
      <c r="BO1959">
        <v>2</v>
      </c>
      <c r="BP1959" t="s">
        <v>80</v>
      </c>
      <c r="BR1959">
        <v>0</v>
      </c>
      <c r="BS1959">
        <v>6</v>
      </c>
      <c r="BU1959">
        <v>1231152</v>
      </c>
    </row>
    <row r="1960" spans="1:73" x14ac:dyDescent="0.3">
      <c r="A1960" t="s">
        <v>5519</v>
      </c>
      <c r="B1960">
        <v>1</v>
      </c>
      <c r="C1960">
        <v>276355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1</v>
      </c>
      <c r="BC1960" s="1">
        <v>276355</v>
      </c>
      <c r="BD1960" t="s">
        <v>94</v>
      </c>
      <c r="BE1960" t="s">
        <v>5520</v>
      </c>
      <c r="BF1960" t="s">
        <v>5521</v>
      </c>
      <c r="BH1960" t="s">
        <v>97</v>
      </c>
      <c r="BI1960" t="s">
        <v>559</v>
      </c>
      <c r="BJ1960" t="s">
        <v>79</v>
      </c>
      <c r="BM1960">
        <v>0</v>
      </c>
      <c r="BN1960">
        <v>1</v>
      </c>
      <c r="BO1960">
        <v>1</v>
      </c>
      <c r="BP1960" t="s">
        <v>80</v>
      </c>
      <c r="BR1960">
        <v>0</v>
      </c>
      <c r="BS1960">
        <v>0</v>
      </c>
      <c r="BU1960">
        <v>276355</v>
      </c>
    </row>
    <row r="1961" spans="1:73" x14ac:dyDescent="0.3">
      <c r="A1961" t="s">
        <v>5530</v>
      </c>
      <c r="B1961">
        <v>0</v>
      </c>
      <c r="C1961">
        <v>0</v>
      </c>
      <c r="D1961">
        <v>1</v>
      </c>
      <c r="E1961">
        <v>1600000</v>
      </c>
      <c r="F1961">
        <v>0</v>
      </c>
      <c r="G1961">
        <v>0</v>
      </c>
      <c r="H1961">
        <v>2</v>
      </c>
      <c r="I1961">
        <v>42018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96439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6</v>
      </c>
      <c r="BC1961" s="1">
        <v>3434896</v>
      </c>
      <c r="BD1961" t="s">
        <v>94</v>
      </c>
      <c r="BE1961" t="s">
        <v>5531</v>
      </c>
      <c r="BF1961" t="s">
        <v>4225</v>
      </c>
      <c r="BH1961" t="s">
        <v>97</v>
      </c>
      <c r="BI1961" t="s">
        <v>265</v>
      </c>
      <c r="BJ1961" t="s">
        <v>79</v>
      </c>
      <c r="BM1961">
        <v>1</v>
      </c>
      <c r="BN1961">
        <v>2</v>
      </c>
      <c r="BO1961">
        <v>3</v>
      </c>
      <c r="BP1961" t="s">
        <v>80</v>
      </c>
      <c r="BR1961">
        <v>0</v>
      </c>
      <c r="BS1961">
        <v>6</v>
      </c>
      <c r="BU1961">
        <v>1738457</v>
      </c>
    </row>
    <row r="1962" spans="1:73" x14ac:dyDescent="0.3">
      <c r="A1962" t="s">
        <v>5535</v>
      </c>
      <c r="B1962">
        <v>0</v>
      </c>
      <c r="C1962">
        <v>0</v>
      </c>
      <c r="D1962">
        <v>6</v>
      </c>
      <c r="E1962">
        <v>1789275</v>
      </c>
      <c r="F1962">
        <v>0</v>
      </c>
      <c r="G1962">
        <v>0</v>
      </c>
      <c r="H1962">
        <v>8</v>
      </c>
      <c r="I1962">
        <v>258550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13</v>
      </c>
      <c r="BC1962" s="1">
        <v>5292836</v>
      </c>
      <c r="BD1962" t="s">
        <v>94</v>
      </c>
      <c r="BE1962" t="s">
        <v>5536</v>
      </c>
      <c r="BF1962" t="s">
        <v>5537</v>
      </c>
      <c r="BH1962" t="s">
        <v>97</v>
      </c>
      <c r="BI1962" t="s">
        <v>119</v>
      </c>
      <c r="BJ1962" t="s">
        <v>79</v>
      </c>
      <c r="BM1962">
        <v>0</v>
      </c>
      <c r="BN1962">
        <v>2</v>
      </c>
      <c r="BO1962">
        <v>2</v>
      </c>
      <c r="BP1962" t="s">
        <v>80</v>
      </c>
      <c r="BR1962">
        <v>0</v>
      </c>
      <c r="BS1962">
        <v>6</v>
      </c>
      <c r="BU1962">
        <v>2047825</v>
      </c>
    </row>
    <row r="1963" spans="1:73" x14ac:dyDescent="0.3">
      <c r="A1963" t="s">
        <v>5538</v>
      </c>
      <c r="B1963">
        <v>0</v>
      </c>
      <c r="C1963">
        <v>0</v>
      </c>
      <c r="D1963">
        <v>7</v>
      </c>
      <c r="E1963">
        <v>676531</v>
      </c>
      <c r="F1963">
        <v>0</v>
      </c>
      <c r="G1963">
        <v>0</v>
      </c>
      <c r="H1963">
        <v>12</v>
      </c>
      <c r="I1963">
        <v>313062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68334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18</v>
      </c>
      <c r="BC1963" s="1">
        <v>1568314</v>
      </c>
      <c r="BD1963" t="s">
        <v>94</v>
      </c>
      <c r="BE1963" t="s">
        <v>5539</v>
      </c>
      <c r="BF1963" t="s">
        <v>4505</v>
      </c>
      <c r="BH1963" t="s">
        <v>97</v>
      </c>
      <c r="BI1963" t="s">
        <v>98</v>
      </c>
      <c r="BJ1963" t="s">
        <v>79</v>
      </c>
      <c r="BM1963">
        <v>1</v>
      </c>
      <c r="BN1963">
        <v>2</v>
      </c>
      <c r="BO1963">
        <v>3</v>
      </c>
      <c r="BP1963" t="s">
        <v>80</v>
      </c>
      <c r="BR1963">
        <v>0</v>
      </c>
      <c r="BS1963">
        <v>6</v>
      </c>
      <c r="BU1963">
        <v>1057927</v>
      </c>
    </row>
    <row r="1964" spans="1:73" x14ac:dyDescent="0.3">
      <c r="A1964" t="s">
        <v>5540</v>
      </c>
      <c r="B1964">
        <v>0</v>
      </c>
      <c r="C1964">
        <v>1389818</v>
      </c>
      <c r="D1964">
        <v>3</v>
      </c>
      <c r="E1964">
        <v>189728</v>
      </c>
      <c r="F1964">
        <v>0</v>
      </c>
      <c r="G1964">
        <v>0</v>
      </c>
      <c r="H1964">
        <v>4</v>
      </c>
      <c r="I1964">
        <v>92328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57437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16804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8</v>
      </c>
      <c r="BC1964" s="1">
        <v>1843515</v>
      </c>
      <c r="BD1964" t="s">
        <v>94</v>
      </c>
      <c r="BE1964" t="s">
        <v>5541</v>
      </c>
      <c r="BF1964" t="s">
        <v>5542</v>
      </c>
      <c r="BH1964" t="s">
        <v>97</v>
      </c>
      <c r="BI1964" t="s">
        <v>119</v>
      </c>
      <c r="BJ1964" t="s">
        <v>79</v>
      </c>
      <c r="BM1964">
        <v>2</v>
      </c>
      <c r="BN1964">
        <v>2</v>
      </c>
      <c r="BO1964">
        <v>4</v>
      </c>
      <c r="BP1964" t="s">
        <v>80</v>
      </c>
      <c r="BR1964">
        <v>0</v>
      </c>
      <c r="BS1964">
        <v>6</v>
      </c>
      <c r="BU1964">
        <v>1746115</v>
      </c>
    </row>
    <row r="1965" spans="1:73" x14ac:dyDescent="0.3">
      <c r="A1965" t="s">
        <v>5546</v>
      </c>
      <c r="B1965">
        <v>0</v>
      </c>
      <c r="C1965">
        <v>0</v>
      </c>
      <c r="D1965">
        <v>1</v>
      </c>
      <c r="E1965">
        <v>20000</v>
      </c>
      <c r="F1965">
        <v>0</v>
      </c>
      <c r="G1965">
        <v>0</v>
      </c>
      <c r="H1965">
        <v>2</v>
      </c>
      <c r="I1965">
        <v>40000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2</v>
      </c>
      <c r="BC1965" s="1">
        <v>40000</v>
      </c>
      <c r="BD1965" t="s">
        <v>94</v>
      </c>
      <c r="BE1965" t="s">
        <v>5547</v>
      </c>
      <c r="BF1965" t="s">
        <v>5548</v>
      </c>
      <c r="BH1965" t="s">
        <v>97</v>
      </c>
      <c r="BI1965" t="s">
        <v>119</v>
      </c>
      <c r="BJ1965" t="s">
        <v>79</v>
      </c>
      <c r="BM1965">
        <v>0</v>
      </c>
      <c r="BN1965">
        <v>2</v>
      </c>
      <c r="BO1965">
        <v>2</v>
      </c>
      <c r="BP1965" t="s">
        <v>80</v>
      </c>
      <c r="BR1965">
        <v>0</v>
      </c>
      <c r="BS1965">
        <v>6</v>
      </c>
      <c r="BU1965">
        <v>60000</v>
      </c>
    </row>
    <row r="1966" spans="1:73" x14ac:dyDescent="0.3">
      <c r="A1966" t="s">
        <v>5552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30000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</v>
      </c>
      <c r="BC1966" s="1">
        <v>30000</v>
      </c>
      <c r="BD1966" t="s">
        <v>94</v>
      </c>
      <c r="BE1966" t="s">
        <v>5553</v>
      </c>
      <c r="BF1966" t="s">
        <v>5554</v>
      </c>
      <c r="BH1966" t="s">
        <v>97</v>
      </c>
      <c r="BI1966" t="s">
        <v>208</v>
      </c>
      <c r="BJ1966" t="s">
        <v>79</v>
      </c>
      <c r="BM1966">
        <v>0</v>
      </c>
      <c r="BN1966">
        <v>1</v>
      </c>
      <c r="BO1966">
        <v>1</v>
      </c>
      <c r="BP1966" t="s">
        <v>514</v>
      </c>
      <c r="BR1966">
        <v>0</v>
      </c>
      <c r="BS1966">
        <v>6</v>
      </c>
      <c r="BU1966">
        <v>30000</v>
      </c>
    </row>
    <row r="1967" spans="1:73" x14ac:dyDescent="0.3">
      <c r="A1967" t="s">
        <v>5564</v>
      </c>
      <c r="B1967">
        <v>0</v>
      </c>
      <c r="C1967">
        <v>0</v>
      </c>
      <c r="D1967">
        <v>1</v>
      </c>
      <c r="E1967">
        <v>317334</v>
      </c>
      <c r="F1967">
        <v>0</v>
      </c>
      <c r="G1967">
        <v>0</v>
      </c>
      <c r="H1967">
        <v>2</v>
      </c>
      <c r="I1967">
        <v>76680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3</v>
      </c>
      <c r="BC1967" s="1">
        <v>394014</v>
      </c>
      <c r="BD1967" t="s">
        <v>94</v>
      </c>
      <c r="BE1967" t="s">
        <v>5565</v>
      </c>
      <c r="BF1967" t="s">
        <v>4030</v>
      </c>
      <c r="BH1967" t="s">
        <v>97</v>
      </c>
      <c r="BI1967" t="s">
        <v>119</v>
      </c>
      <c r="BJ1967" t="s">
        <v>79</v>
      </c>
      <c r="BM1967">
        <v>0</v>
      </c>
      <c r="BN1967">
        <v>2</v>
      </c>
      <c r="BO1967">
        <v>2</v>
      </c>
      <c r="BP1967" t="s">
        <v>80</v>
      </c>
      <c r="BR1967">
        <v>0</v>
      </c>
      <c r="BS1967">
        <v>0</v>
      </c>
      <c r="BU1967">
        <v>394014</v>
      </c>
    </row>
    <row r="1968" spans="1:73" x14ac:dyDescent="0.3">
      <c r="A1968" t="s">
        <v>5566</v>
      </c>
      <c r="B1968">
        <v>0</v>
      </c>
      <c r="C1968">
        <v>0</v>
      </c>
      <c r="D1968">
        <v>3</v>
      </c>
      <c r="E1968">
        <v>451828</v>
      </c>
      <c r="F1968">
        <v>0</v>
      </c>
      <c r="G1968">
        <v>0</v>
      </c>
      <c r="H1968">
        <v>4</v>
      </c>
      <c r="I1968">
        <v>80800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9</v>
      </c>
      <c r="BC1968" s="1">
        <v>1356800</v>
      </c>
      <c r="BD1968" t="s">
        <v>94</v>
      </c>
      <c r="BE1968" t="s">
        <v>5567</v>
      </c>
      <c r="BF1968" t="s">
        <v>5568</v>
      </c>
      <c r="BH1968" t="s">
        <v>97</v>
      </c>
      <c r="BI1968" t="s">
        <v>119</v>
      </c>
      <c r="BJ1968" t="s">
        <v>79</v>
      </c>
      <c r="BM1968">
        <v>0</v>
      </c>
      <c r="BN1968">
        <v>2</v>
      </c>
      <c r="BO1968">
        <v>2</v>
      </c>
      <c r="BP1968" t="s">
        <v>80</v>
      </c>
      <c r="BR1968">
        <v>0</v>
      </c>
      <c r="BS1968">
        <v>6</v>
      </c>
      <c r="BU1968">
        <v>532628</v>
      </c>
    </row>
    <row r="1969" spans="1:73" x14ac:dyDescent="0.3">
      <c r="A1969" t="s">
        <v>5575</v>
      </c>
      <c r="B1969">
        <v>0</v>
      </c>
      <c r="C1969">
        <v>0</v>
      </c>
      <c r="D1969">
        <v>1</v>
      </c>
      <c r="E1969">
        <v>230400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2</v>
      </c>
      <c r="BC1969" s="1">
        <v>460800</v>
      </c>
      <c r="BD1969" t="s">
        <v>94</v>
      </c>
      <c r="BE1969" t="s">
        <v>5576</v>
      </c>
      <c r="BF1969" t="s">
        <v>4301</v>
      </c>
      <c r="BH1969" t="s">
        <v>97</v>
      </c>
      <c r="BI1969" t="s">
        <v>208</v>
      </c>
      <c r="BJ1969" t="s">
        <v>79</v>
      </c>
      <c r="BM1969">
        <v>0</v>
      </c>
      <c r="BN1969">
        <v>1</v>
      </c>
      <c r="BO1969">
        <v>1</v>
      </c>
      <c r="BP1969" t="s">
        <v>80</v>
      </c>
      <c r="BR1969">
        <v>0</v>
      </c>
      <c r="BS1969">
        <v>6</v>
      </c>
      <c r="BU1969">
        <v>230400</v>
      </c>
    </row>
    <row r="1970" spans="1:73" x14ac:dyDescent="0.3">
      <c r="A1970" t="s">
        <v>5580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73535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19792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2</v>
      </c>
      <c r="BC1970" s="1">
        <v>93327</v>
      </c>
      <c r="BD1970" t="s">
        <v>94</v>
      </c>
      <c r="BE1970" t="s">
        <v>5581</v>
      </c>
      <c r="BF1970" t="s">
        <v>5582</v>
      </c>
      <c r="BH1970" t="s">
        <v>97</v>
      </c>
      <c r="BI1970" t="s">
        <v>208</v>
      </c>
      <c r="BJ1970" t="s">
        <v>79</v>
      </c>
      <c r="BM1970">
        <v>2</v>
      </c>
      <c r="BN1970">
        <v>0</v>
      </c>
      <c r="BO1970">
        <v>2</v>
      </c>
      <c r="BP1970" t="s">
        <v>80</v>
      </c>
      <c r="BR1970">
        <v>0</v>
      </c>
      <c r="BS1970">
        <v>0</v>
      </c>
      <c r="BU1970">
        <v>93327</v>
      </c>
    </row>
    <row r="1971" spans="1:73" x14ac:dyDescent="0.3">
      <c r="A1971" t="s">
        <v>5589</v>
      </c>
      <c r="B1971">
        <v>0</v>
      </c>
      <c r="C1971">
        <v>0</v>
      </c>
      <c r="D1971">
        <v>4</v>
      </c>
      <c r="E1971">
        <v>540000</v>
      </c>
      <c r="F1971">
        <v>0</v>
      </c>
      <c r="G1971">
        <v>0</v>
      </c>
      <c r="H1971">
        <v>6</v>
      </c>
      <c r="I1971">
        <v>120000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8</v>
      </c>
      <c r="BC1971" s="1">
        <v>1080000</v>
      </c>
      <c r="BD1971" t="s">
        <v>94</v>
      </c>
      <c r="BE1971" t="s">
        <v>5590</v>
      </c>
      <c r="BF1971" t="s">
        <v>5591</v>
      </c>
      <c r="BH1971" t="s">
        <v>97</v>
      </c>
      <c r="BI1971" t="s">
        <v>559</v>
      </c>
      <c r="BJ1971" t="s">
        <v>79</v>
      </c>
      <c r="BM1971">
        <v>0</v>
      </c>
      <c r="BN1971">
        <v>2</v>
      </c>
      <c r="BO1971">
        <v>2</v>
      </c>
      <c r="BP1971" t="s">
        <v>80</v>
      </c>
      <c r="BR1971">
        <v>0</v>
      </c>
      <c r="BS1971">
        <v>6</v>
      </c>
      <c r="BU1971">
        <v>660000</v>
      </c>
    </row>
    <row r="1972" spans="1:73" x14ac:dyDescent="0.3">
      <c r="A1972" t="s">
        <v>5598</v>
      </c>
      <c r="B1972">
        <v>0</v>
      </c>
      <c r="C1972">
        <v>68182</v>
      </c>
      <c r="D1972">
        <v>1</v>
      </c>
      <c r="E1972">
        <v>181818</v>
      </c>
      <c r="F1972">
        <v>0</v>
      </c>
      <c r="G1972">
        <v>0</v>
      </c>
      <c r="H1972">
        <v>1</v>
      </c>
      <c r="I1972">
        <v>20000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2</v>
      </c>
      <c r="BC1972" s="1">
        <v>270000</v>
      </c>
      <c r="BD1972" t="s">
        <v>94</v>
      </c>
      <c r="BE1972" t="s">
        <v>5599</v>
      </c>
      <c r="BF1972" t="s">
        <v>5600</v>
      </c>
      <c r="BH1972" t="s">
        <v>97</v>
      </c>
      <c r="BI1972" t="s">
        <v>242</v>
      </c>
      <c r="BJ1972" t="s">
        <v>79</v>
      </c>
      <c r="BM1972">
        <v>0</v>
      </c>
      <c r="BN1972">
        <v>2</v>
      </c>
      <c r="BO1972">
        <v>2</v>
      </c>
      <c r="BP1972" t="s">
        <v>80</v>
      </c>
      <c r="BR1972">
        <v>0</v>
      </c>
      <c r="BS1972">
        <v>6</v>
      </c>
      <c r="BU1972">
        <v>270000</v>
      </c>
    </row>
    <row r="1973" spans="1:73" x14ac:dyDescent="0.3">
      <c r="A1973" t="s">
        <v>5601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20000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1</v>
      </c>
      <c r="BC1973" s="1">
        <v>20000</v>
      </c>
      <c r="BD1973" t="s">
        <v>94</v>
      </c>
      <c r="BE1973" t="s">
        <v>5602</v>
      </c>
      <c r="BF1973" t="s">
        <v>5603</v>
      </c>
      <c r="BH1973" t="s">
        <v>97</v>
      </c>
      <c r="BI1973" t="s">
        <v>160</v>
      </c>
      <c r="BJ1973" t="s">
        <v>79</v>
      </c>
      <c r="BM1973">
        <v>1</v>
      </c>
      <c r="BN1973">
        <v>0</v>
      </c>
      <c r="BO1973">
        <v>1</v>
      </c>
      <c r="BP1973" t="s">
        <v>80</v>
      </c>
      <c r="BR1973">
        <v>0</v>
      </c>
      <c r="BS1973">
        <v>0</v>
      </c>
      <c r="BU1973">
        <v>20000</v>
      </c>
    </row>
    <row r="1974" spans="1:73" x14ac:dyDescent="0.3">
      <c r="A1974" t="s">
        <v>5606</v>
      </c>
      <c r="B1974">
        <v>0</v>
      </c>
      <c r="C1974">
        <v>0</v>
      </c>
      <c r="D1974">
        <v>2</v>
      </c>
      <c r="E1974">
        <v>220391</v>
      </c>
      <c r="F1974">
        <v>0</v>
      </c>
      <c r="G1974">
        <v>0</v>
      </c>
      <c r="H1974">
        <v>3</v>
      </c>
      <c r="I1974">
        <v>76782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5</v>
      </c>
      <c r="BC1974" s="1">
        <v>460782</v>
      </c>
      <c r="BD1974" t="s">
        <v>94</v>
      </c>
      <c r="BE1974" t="s">
        <v>5607</v>
      </c>
      <c r="BF1974" t="s">
        <v>4656</v>
      </c>
      <c r="BH1974" t="s">
        <v>97</v>
      </c>
      <c r="BI1974" t="s">
        <v>119</v>
      </c>
      <c r="BJ1974" t="s">
        <v>79</v>
      </c>
      <c r="BM1974">
        <v>0</v>
      </c>
      <c r="BN1974">
        <v>2</v>
      </c>
      <c r="BO1974">
        <v>2</v>
      </c>
      <c r="BP1974" t="s">
        <v>80</v>
      </c>
      <c r="BR1974">
        <v>0</v>
      </c>
      <c r="BS1974">
        <v>6</v>
      </c>
      <c r="BU1974">
        <v>297173</v>
      </c>
    </row>
    <row r="1975" spans="1:73" x14ac:dyDescent="0.3">
      <c r="A1975" t="s">
        <v>5611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24</v>
      </c>
      <c r="I1975">
        <v>3238423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73535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26</v>
      </c>
      <c r="BC1975" s="1">
        <v>3385493</v>
      </c>
      <c r="BD1975" t="s">
        <v>94</v>
      </c>
      <c r="BE1975" t="s">
        <v>5612</v>
      </c>
      <c r="BF1975" t="s">
        <v>4121</v>
      </c>
      <c r="BH1975" t="s">
        <v>97</v>
      </c>
      <c r="BI1975" t="s">
        <v>265</v>
      </c>
      <c r="BJ1975" t="s">
        <v>79</v>
      </c>
      <c r="BM1975">
        <v>1</v>
      </c>
      <c r="BN1975">
        <v>1</v>
      </c>
      <c r="BO1975">
        <v>2</v>
      </c>
      <c r="BP1975" t="s">
        <v>80</v>
      </c>
      <c r="BR1975">
        <v>0</v>
      </c>
      <c r="BS1975">
        <v>3</v>
      </c>
      <c r="BU1975">
        <v>3311958</v>
      </c>
    </row>
    <row r="1976" spans="1:73" x14ac:dyDescent="0.3">
      <c r="A1976" t="s">
        <v>5630</v>
      </c>
      <c r="B1976">
        <v>0</v>
      </c>
      <c r="C1976">
        <v>57273</v>
      </c>
      <c r="D1976">
        <v>1</v>
      </c>
      <c r="E1976">
        <v>152727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1</v>
      </c>
      <c r="BC1976" s="1">
        <v>210000</v>
      </c>
      <c r="BD1976" t="s">
        <v>94</v>
      </c>
      <c r="BE1976" t="s">
        <v>5631</v>
      </c>
      <c r="BF1976" t="s">
        <v>5632</v>
      </c>
      <c r="BH1976" t="s">
        <v>97</v>
      </c>
      <c r="BI1976" t="s">
        <v>119</v>
      </c>
      <c r="BJ1976" t="s">
        <v>79</v>
      </c>
      <c r="BM1976">
        <v>0</v>
      </c>
      <c r="BN1976">
        <v>1</v>
      </c>
      <c r="BO1976">
        <v>1</v>
      </c>
      <c r="BP1976" t="s">
        <v>80</v>
      </c>
      <c r="BR1976">
        <v>0</v>
      </c>
      <c r="BS1976">
        <v>6</v>
      </c>
      <c r="BU1976">
        <v>210000</v>
      </c>
    </row>
    <row r="1977" spans="1:73" x14ac:dyDescent="0.3">
      <c r="A1977" t="s">
        <v>5640</v>
      </c>
      <c r="B1977">
        <v>0</v>
      </c>
      <c r="C1977">
        <v>0</v>
      </c>
      <c r="D1977">
        <v>3</v>
      </c>
      <c r="E1977">
        <v>560000</v>
      </c>
      <c r="F1977">
        <v>0</v>
      </c>
      <c r="G1977">
        <v>0</v>
      </c>
      <c r="H1977">
        <v>4</v>
      </c>
      <c r="I1977">
        <v>80000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6</v>
      </c>
      <c r="BC1977" s="1">
        <v>1120000</v>
      </c>
      <c r="BD1977" t="s">
        <v>94</v>
      </c>
      <c r="BE1977" t="s">
        <v>5641</v>
      </c>
      <c r="BF1977" t="s">
        <v>5642</v>
      </c>
      <c r="BH1977" t="s">
        <v>97</v>
      </c>
      <c r="BI1977" t="s">
        <v>119</v>
      </c>
      <c r="BJ1977" t="s">
        <v>79</v>
      </c>
      <c r="BM1977">
        <v>0</v>
      </c>
      <c r="BN1977">
        <v>2</v>
      </c>
      <c r="BO1977">
        <v>2</v>
      </c>
      <c r="BP1977" t="s">
        <v>80</v>
      </c>
      <c r="BR1977">
        <v>0</v>
      </c>
      <c r="BS1977">
        <v>6</v>
      </c>
      <c r="BU1977">
        <v>640000</v>
      </c>
    </row>
    <row r="1978" spans="1:73" x14ac:dyDescent="0.3">
      <c r="A1978" t="s">
        <v>5649</v>
      </c>
      <c r="B1978">
        <v>0</v>
      </c>
      <c r="C1978">
        <v>180218</v>
      </c>
      <c r="D1978">
        <v>7</v>
      </c>
      <c r="E1978">
        <v>1389235</v>
      </c>
      <c r="F1978">
        <v>0</v>
      </c>
      <c r="G1978">
        <v>0</v>
      </c>
      <c r="H1978">
        <v>10</v>
      </c>
      <c r="I1978">
        <v>403560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3</v>
      </c>
      <c r="Z1978">
        <v>480404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20000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21</v>
      </c>
      <c r="BC1978" s="1">
        <v>3939496</v>
      </c>
      <c r="BD1978" t="s">
        <v>94</v>
      </c>
      <c r="BE1978" t="s">
        <v>5650</v>
      </c>
      <c r="BF1978" t="s">
        <v>5651</v>
      </c>
      <c r="BH1978" t="s">
        <v>97</v>
      </c>
      <c r="BI1978" t="s">
        <v>265</v>
      </c>
      <c r="BJ1978" t="s">
        <v>79</v>
      </c>
      <c r="BM1978">
        <v>2</v>
      </c>
      <c r="BN1978">
        <v>2</v>
      </c>
      <c r="BO1978">
        <v>4</v>
      </c>
      <c r="BP1978" t="s">
        <v>80</v>
      </c>
      <c r="BR1978">
        <v>0</v>
      </c>
      <c r="BS1978">
        <v>6</v>
      </c>
      <c r="BU1978">
        <v>2473417</v>
      </c>
    </row>
    <row r="1979" spans="1:73" x14ac:dyDescent="0.3">
      <c r="A1979" t="s">
        <v>5652</v>
      </c>
      <c r="B1979">
        <v>1</v>
      </c>
      <c r="C1979">
        <v>563535</v>
      </c>
      <c r="D1979">
        <v>11</v>
      </c>
      <c r="E1979">
        <v>6727576</v>
      </c>
      <c r="F1979">
        <v>0</v>
      </c>
      <c r="G1979">
        <v>0</v>
      </c>
      <c r="H1979">
        <v>16</v>
      </c>
      <c r="I1979">
        <v>4125411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35</v>
      </c>
      <c r="BC1979" s="1">
        <v>17774340</v>
      </c>
      <c r="BD1979" t="s">
        <v>94</v>
      </c>
      <c r="BE1979" t="s">
        <v>5653</v>
      </c>
      <c r="BF1979" t="s">
        <v>5654</v>
      </c>
      <c r="BH1979" t="s">
        <v>97</v>
      </c>
      <c r="BI1979" t="s">
        <v>265</v>
      </c>
      <c r="BJ1979" t="s">
        <v>79</v>
      </c>
      <c r="BM1979">
        <v>0</v>
      </c>
      <c r="BN1979">
        <v>3</v>
      </c>
      <c r="BO1979">
        <v>3</v>
      </c>
      <c r="BP1979" t="s">
        <v>80</v>
      </c>
      <c r="BR1979">
        <v>0</v>
      </c>
      <c r="BS1979">
        <v>5</v>
      </c>
      <c r="BU1979">
        <v>11416522</v>
      </c>
    </row>
    <row r="1980" spans="1:73" x14ac:dyDescent="0.3">
      <c r="A1980" t="s">
        <v>5669</v>
      </c>
      <c r="B1980">
        <v>0</v>
      </c>
      <c r="C1980">
        <v>0</v>
      </c>
      <c r="D1980">
        <v>1</v>
      </c>
      <c r="E1980">
        <v>222857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2</v>
      </c>
      <c r="BC1980" s="1">
        <v>445714</v>
      </c>
      <c r="BD1980" t="s">
        <v>94</v>
      </c>
      <c r="BE1980" t="s">
        <v>5670</v>
      </c>
      <c r="BF1980" t="s">
        <v>5671</v>
      </c>
      <c r="BH1980" t="s">
        <v>97</v>
      </c>
      <c r="BI1980" t="s">
        <v>98</v>
      </c>
      <c r="BJ1980" t="s">
        <v>79</v>
      </c>
      <c r="BM1980">
        <v>0</v>
      </c>
      <c r="BN1980">
        <v>1</v>
      </c>
      <c r="BO1980">
        <v>1</v>
      </c>
      <c r="BP1980" t="s">
        <v>80</v>
      </c>
      <c r="BR1980">
        <v>0</v>
      </c>
      <c r="BS1980">
        <v>6</v>
      </c>
      <c r="BU1980">
        <v>222857</v>
      </c>
    </row>
    <row r="1981" spans="1:73" x14ac:dyDescent="0.3">
      <c r="A1981" t="s">
        <v>5674</v>
      </c>
      <c r="B1981">
        <v>0</v>
      </c>
      <c r="C1981">
        <v>0</v>
      </c>
      <c r="D1981">
        <v>2</v>
      </c>
      <c r="E1981">
        <v>1217912</v>
      </c>
      <c r="F1981">
        <v>0</v>
      </c>
      <c r="G1981">
        <v>0</v>
      </c>
      <c r="H1981">
        <v>2</v>
      </c>
      <c r="I1981">
        <v>83824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4</v>
      </c>
      <c r="BC1981" s="1">
        <v>2435824</v>
      </c>
      <c r="BD1981" t="s">
        <v>94</v>
      </c>
      <c r="BE1981" t="s">
        <v>5675</v>
      </c>
      <c r="BF1981" t="s">
        <v>4287</v>
      </c>
      <c r="BH1981" t="s">
        <v>97</v>
      </c>
      <c r="BI1981" t="s">
        <v>119</v>
      </c>
      <c r="BJ1981" t="s">
        <v>79</v>
      </c>
      <c r="BM1981">
        <v>0</v>
      </c>
      <c r="BN1981">
        <v>2</v>
      </c>
      <c r="BO1981">
        <v>2</v>
      </c>
      <c r="BP1981" t="s">
        <v>80</v>
      </c>
      <c r="BR1981">
        <v>0</v>
      </c>
      <c r="BS1981">
        <v>6</v>
      </c>
      <c r="BU1981">
        <v>1301736</v>
      </c>
    </row>
    <row r="1982" spans="1:73" x14ac:dyDescent="0.3">
      <c r="A1982" t="s">
        <v>5676</v>
      </c>
      <c r="B1982">
        <v>4</v>
      </c>
      <c r="C1982">
        <v>1652151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4</v>
      </c>
      <c r="BC1982" s="1">
        <v>1652151</v>
      </c>
      <c r="BD1982" t="s">
        <v>94</v>
      </c>
      <c r="BE1982" t="s">
        <v>5677</v>
      </c>
      <c r="BF1982" t="s">
        <v>5678</v>
      </c>
      <c r="BH1982" t="s">
        <v>97</v>
      </c>
      <c r="BI1982" t="s">
        <v>208</v>
      </c>
      <c r="BJ1982" t="s">
        <v>79</v>
      </c>
      <c r="BM1982">
        <v>0</v>
      </c>
      <c r="BN1982">
        <v>1</v>
      </c>
      <c r="BO1982">
        <v>1</v>
      </c>
      <c r="BP1982" t="s">
        <v>80</v>
      </c>
      <c r="BR1982">
        <v>0</v>
      </c>
      <c r="BS1982">
        <v>6</v>
      </c>
      <c r="BU1982">
        <v>1652151</v>
      </c>
    </row>
    <row r="1983" spans="1:73" x14ac:dyDescent="0.3">
      <c r="A1983" t="s">
        <v>5685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20000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</v>
      </c>
      <c r="BC1983" s="1">
        <v>20000</v>
      </c>
      <c r="BD1983" t="s">
        <v>94</v>
      </c>
      <c r="BE1983" t="s">
        <v>5686</v>
      </c>
      <c r="BF1983" t="s">
        <v>5687</v>
      </c>
      <c r="BH1983" t="s">
        <v>97</v>
      </c>
      <c r="BI1983" t="s">
        <v>119</v>
      </c>
      <c r="BJ1983" t="s">
        <v>79</v>
      </c>
      <c r="BM1983">
        <v>1</v>
      </c>
      <c r="BN1983">
        <v>0</v>
      </c>
      <c r="BO1983">
        <v>1</v>
      </c>
      <c r="BP1983" t="s">
        <v>80</v>
      </c>
      <c r="BR1983">
        <v>0</v>
      </c>
      <c r="BS1983">
        <v>0</v>
      </c>
      <c r="BU1983">
        <v>20000</v>
      </c>
    </row>
    <row r="1984" spans="1:73" x14ac:dyDescent="0.3">
      <c r="A1984" t="s">
        <v>5725</v>
      </c>
      <c r="B1984">
        <v>0</v>
      </c>
      <c r="C1984">
        <v>0</v>
      </c>
      <c r="D1984">
        <v>4</v>
      </c>
      <c r="E1984">
        <v>2112572</v>
      </c>
      <c r="F1984">
        <v>0</v>
      </c>
      <c r="G1984">
        <v>0</v>
      </c>
      <c r="H1984">
        <v>4</v>
      </c>
      <c r="I1984">
        <v>80000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8</v>
      </c>
      <c r="BC1984" s="1">
        <v>4225144</v>
      </c>
      <c r="BD1984" t="s">
        <v>94</v>
      </c>
      <c r="BE1984" t="s">
        <v>5726</v>
      </c>
      <c r="BF1984" t="s">
        <v>5727</v>
      </c>
      <c r="BH1984" t="s">
        <v>97</v>
      </c>
      <c r="BI1984" t="s">
        <v>265</v>
      </c>
      <c r="BJ1984" t="s">
        <v>79</v>
      </c>
      <c r="BM1984">
        <v>0</v>
      </c>
      <c r="BN1984">
        <v>2</v>
      </c>
      <c r="BO1984">
        <v>2</v>
      </c>
      <c r="BP1984" t="s">
        <v>80</v>
      </c>
      <c r="BR1984">
        <v>0</v>
      </c>
      <c r="BS1984">
        <v>6</v>
      </c>
      <c r="BU1984">
        <v>2192572</v>
      </c>
    </row>
    <row r="1985" spans="1:73" x14ac:dyDescent="0.3">
      <c r="A1985" t="s">
        <v>5728</v>
      </c>
      <c r="B1985">
        <v>0</v>
      </c>
      <c r="C1985">
        <v>0</v>
      </c>
      <c r="D1985">
        <v>4</v>
      </c>
      <c r="E1985">
        <v>1773503</v>
      </c>
      <c r="F1985">
        <v>0</v>
      </c>
      <c r="G1985">
        <v>0</v>
      </c>
      <c r="H1985">
        <v>4</v>
      </c>
      <c r="I1985">
        <v>147006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8</v>
      </c>
      <c r="BC1985" s="1">
        <v>3547006</v>
      </c>
      <c r="BD1985" t="s">
        <v>94</v>
      </c>
      <c r="BE1985" t="s">
        <v>5729</v>
      </c>
      <c r="BF1985" t="s">
        <v>5730</v>
      </c>
      <c r="BH1985" t="s">
        <v>97</v>
      </c>
      <c r="BI1985" t="s">
        <v>208</v>
      </c>
      <c r="BJ1985" t="s">
        <v>79</v>
      </c>
      <c r="BM1985">
        <v>0</v>
      </c>
      <c r="BN1985">
        <v>2</v>
      </c>
      <c r="BO1985">
        <v>2</v>
      </c>
      <c r="BP1985" t="s">
        <v>80</v>
      </c>
      <c r="BR1985">
        <v>0</v>
      </c>
      <c r="BS1985">
        <v>6</v>
      </c>
      <c r="BU1985">
        <v>1920509</v>
      </c>
    </row>
    <row r="1986" spans="1:73" x14ac:dyDescent="0.3">
      <c r="A1986" t="s">
        <v>5734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73535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2</v>
      </c>
      <c r="BC1986" s="1">
        <v>147070</v>
      </c>
      <c r="BD1986" t="s">
        <v>94</v>
      </c>
      <c r="BE1986" t="s">
        <v>5735</v>
      </c>
      <c r="BF1986" t="s">
        <v>5736</v>
      </c>
      <c r="BH1986" t="s">
        <v>97</v>
      </c>
      <c r="BI1986" t="s">
        <v>107</v>
      </c>
      <c r="BJ1986" t="s">
        <v>79</v>
      </c>
      <c r="BM1986">
        <v>1</v>
      </c>
      <c r="BN1986">
        <v>0</v>
      </c>
      <c r="BO1986">
        <v>1</v>
      </c>
      <c r="BP1986" t="s">
        <v>80</v>
      </c>
      <c r="BR1986">
        <v>0</v>
      </c>
      <c r="BS1986">
        <v>6</v>
      </c>
      <c r="BU1986">
        <v>73535</v>
      </c>
    </row>
    <row r="1987" spans="1:73" x14ac:dyDescent="0.3">
      <c r="A1987" t="s">
        <v>5740</v>
      </c>
      <c r="B1987">
        <v>0</v>
      </c>
      <c r="C1987">
        <v>0</v>
      </c>
      <c r="D1987">
        <v>1</v>
      </c>
      <c r="E1987">
        <v>384000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</v>
      </c>
      <c r="BC1987" s="1">
        <v>768000</v>
      </c>
      <c r="BD1987" t="s">
        <v>94</v>
      </c>
      <c r="BE1987" t="s">
        <v>5741</v>
      </c>
      <c r="BF1987" t="s">
        <v>4287</v>
      </c>
      <c r="BH1987" t="s">
        <v>97</v>
      </c>
      <c r="BI1987" t="s">
        <v>119</v>
      </c>
      <c r="BJ1987" t="s">
        <v>79</v>
      </c>
      <c r="BM1987">
        <v>0</v>
      </c>
      <c r="BN1987">
        <v>1</v>
      </c>
      <c r="BO1987">
        <v>1</v>
      </c>
      <c r="BP1987" t="s">
        <v>80</v>
      </c>
      <c r="BR1987">
        <v>0</v>
      </c>
      <c r="BS1987">
        <v>6</v>
      </c>
      <c r="BU1987">
        <v>384000</v>
      </c>
    </row>
    <row r="1988" spans="1:73" x14ac:dyDescent="0.3">
      <c r="A1988" t="s">
        <v>5742</v>
      </c>
      <c r="B1988">
        <v>0</v>
      </c>
      <c r="C1988">
        <v>0</v>
      </c>
      <c r="D1988">
        <v>2</v>
      </c>
      <c r="E1988">
        <v>740000</v>
      </c>
      <c r="F1988">
        <v>0</v>
      </c>
      <c r="G1988">
        <v>0</v>
      </c>
      <c r="H1988">
        <v>2</v>
      </c>
      <c r="I1988">
        <v>40000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57208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7</v>
      </c>
      <c r="BC1988" s="1">
        <v>1594416</v>
      </c>
      <c r="BD1988" t="s">
        <v>94</v>
      </c>
      <c r="BE1988" t="s">
        <v>5743</v>
      </c>
      <c r="BF1988" t="s">
        <v>5744</v>
      </c>
      <c r="BH1988" t="s">
        <v>97</v>
      </c>
      <c r="BI1988" t="s">
        <v>98</v>
      </c>
      <c r="BJ1988" t="s">
        <v>79</v>
      </c>
      <c r="BM1988">
        <v>1</v>
      </c>
      <c r="BN1988">
        <v>2</v>
      </c>
      <c r="BO1988">
        <v>3</v>
      </c>
      <c r="BP1988" t="s">
        <v>80</v>
      </c>
      <c r="BR1988">
        <v>0</v>
      </c>
      <c r="BS1988">
        <v>6</v>
      </c>
      <c r="BU1988">
        <v>837208</v>
      </c>
    </row>
    <row r="1989" spans="1:73" x14ac:dyDescent="0.3">
      <c r="A1989" t="s">
        <v>5745</v>
      </c>
      <c r="B1989">
        <v>0</v>
      </c>
      <c r="C1989">
        <v>0</v>
      </c>
      <c r="D1989">
        <v>5</v>
      </c>
      <c r="E1989">
        <v>672000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5</v>
      </c>
      <c r="BC1989" s="1">
        <v>672000</v>
      </c>
      <c r="BD1989" t="s">
        <v>94</v>
      </c>
      <c r="BE1989" t="s">
        <v>5746</v>
      </c>
      <c r="BF1989" t="s">
        <v>5747</v>
      </c>
      <c r="BH1989" t="s">
        <v>97</v>
      </c>
      <c r="BI1989" t="s">
        <v>98</v>
      </c>
      <c r="BJ1989" t="s">
        <v>79</v>
      </c>
      <c r="BM1989">
        <v>0</v>
      </c>
      <c r="BN1989">
        <v>1</v>
      </c>
      <c r="BO1989">
        <v>1</v>
      </c>
      <c r="BP1989" t="s">
        <v>80</v>
      </c>
      <c r="BR1989">
        <v>0</v>
      </c>
      <c r="BS1989">
        <v>6</v>
      </c>
      <c r="BU1989">
        <v>672000</v>
      </c>
    </row>
    <row r="1990" spans="1:73" x14ac:dyDescent="0.3">
      <c r="A1990" t="s">
        <v>5748</v>
      </c>
      <c r="B1990">
        <v>0</v>
      </c>
      <c r="C1990">
        <v>0</v>
      </c>
      <c r="D1990">
        <v>2</v>
      </c>
      <c r="E1990">
        <v>1020431</v>
      </c>
      <c r="F1990">
        <v>0</v>
      </c>
      <c r="G1990">
        <v>0</v>
      </c>
      <c r="H1990">
        <v>2</v>
      </c>
      <c r="I1990">
        <v>40862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4</v>
      </c>
      <c r="BC1990" s="1">
        <v>2040862</v>
      </c>
      <c r="BD1990" t="s">
        <v>94</v>
      </c>
      <c r="BE1990" t="s">
        <v>5749</v>
      </c>
      <c r="BF1990" t="s">
        <v>4614</v>
      </c>
      <c r="BH1990" t="s">
        <v>97</v>
      </c>
      <c r="BI1990" t="s">
        <v>119</v>
      </c>
      <c r="BJ1990" t="s">
        <v>79</v>
      </c>
      <c r="BM1990">
        <v>0</v>
      </c>
      <c r="BN1990">
        <v>2</v>
      </c>
      <c r="BO1990">
        <v>2</v>
      </c>
      <c r="BP1990" t="s">
        <v>80</v>
      </c>
      <c r="BR1990">
        <v>0</v>
      </c>
      <c r="BS1990">
        <v>6</v>
      </c>
      <c r="BU1990">
        <v>1061293</v>
      </c>
    </row>
    <row r="1991" spans="1:73" x14ac:dyDescent="0.3">
      <c r="A1991" t="s">
        <v>5750</v>
      </c>
      <c r="B1991">
        <v>0</v>
      </c>
      <c r="C1991">
        <v>0</v>
      </c>
      <c r="D1991">
        <v>2</v>
      </c>
      <c r="E1991">
        <v>492671</v>
      </c>
      <c r="F1991">
        <v>0</v>
      </c>
      <c r="G1991">
        <v>0</v>
      </c>
      <c r="H1991">
        <v>2</v>
      </c>
      <c r="I1991">
        <v>49342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73535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19792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7</v>
      </c>
      <c r="BC1991" s="1">
        <v>1152204</v>
      </c>
      <c r="BD1991" t="s">
        <v>94</v>
      </c>
      <c r="BE1991" t="s">
        <v>5751</v>
      </c>
      <c r="BF1991" t="s">
        <v>4287</v>
      </c>
      <c r="BH1991" t="s">
        <v>97</v>
      </c>
      <c r="BI1991" t="s">
        <v>119</v>
      </c>
      <c r="BJ1991" t="s">
        <v>79</v>
      </c>
      <c r="BM1991">
        <v>2</v>
      </c>
      <c r="BN1991">
        <v>2</v>
      </c>
      <c r="BO1991">
        <v>4</v>
      </c>
      <c r="BP1991" t="s">
        <v>80</v>
      </c>
      <c r="BR1991">
        <v>0</v>
      </c>
      <c r="BS1991">
        <v>6</v>
      </c>
      <c r="BU1991">
        <v>635340</v>
      </c>
    </row>
    <row r="1992" spans="1:73" x14ac:dyDescent="0.3">
      <c r="A1992" t="s">
        <v>5755</v>
      </c>
      <c r="B1992">
        <v>4</v>
      </c>
      <c r="C1992">
        <v>436364</v>
      </c>
      <c r="D1992">
        <v>1</v>
      </c>
      <c r="E1992">
        <v>668571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73535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8</v>
      </c>
      <c r="BC1992" s="1">
        <v>1920576</v>
      </c>
      <c r="BD1992" t="s">
        <v>94</v>
      </c>
      <c r="BE1992" t="s">
        <v>5756</v>
      </c>
      <c r="BF1992" t="s">
        <v>5757</v>
      </c>
      <c r="BH1992" t="s">
        <v>97</v>
      </c>
      <c r="BI1992" t="s">
        <v>265</v>
      </c>
      <c r="BJ1992" t="s">
        <v>79</v>
      </c>
      <c r="BM1992">
        <v>1</v>
      </c>
      <c r="BN1992">
        <v>2</v>
      </c>
      <c r="BO1992">
        <v>3</v>
      </c>
      <c r="BP1992" t="s">
        <v>80</v>
      </c>
      <c r="BR1992">
        <v>0</v>
      </c>
      <c r="BS1992">
        <v>6</v>
      </c>
      <c r="BU1992">
        <v>1178470</v>
      </c>
    </row>
    <row r="1993" spans="1:73" x14ac:dyDescent="0.3">
      <c r="A1993" t="s">
        <v>5761</v>
      </c>
      <c r="B1993">
        <v>0</v>
      </c>
      <c r="C1993">
        <v>0</v>
      </c>
      <c r="D1993">
        <v>3</v>
      </c>
      <c r="E1993">
        <v>2357685</v>
      </c>
      <c r="F1993">
        <v>0</v>
      </c>
      <c r="G1993">
        <v>0</v>
      </c>
      <c r="H1993">
        <v>4</v>
      </c>
      <c r="I1993">
        <v>86800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6</v>
      </c>
      <c r="BC1993" s="1">
        <v>4715370</v>
      </c>
      <c r="BD1993" t="s">
        <v>94</v>
      </c>
      <c r="BE1993" t="s">
        <v>5762</v>
      </c>
      <c r="BF1993" t="s">
        <v>4680</v>
      </c>
      <c r="BH1993" t="s">
        <v>97</v>
      </c>
      <c r="BI1993" t="s">
        <v>265</v>
      </c>
      <c r="BJ1993" t="s">
        <v>79</v>
      </c>
      <c r="BM1993">
        <v>0</v>
      </c>
      <c r="BN1993">
        <v>2</v>
      </c>
      <c r="BO1993">
        <v>2</v>
      </c>
      <c r="BP1993" t="s">
        <v>80</v>
      </c>
      <c r="BR1993">
        <v>0</v>
      </c>
      <c r="BS1993">
        <v>6</v>
      </c>
      <c r="BU1993">
        <v>2444485</v>
      </c>
    </row>
    <row r="1994" spans="1:73" x14ac:dyDescent="0.3">
      <c r="A1994" t="s">
        <v>5766</v>
      </c>
      <c r="B1994">
        <v>0</v>
      </c>
      <c r="C1994">
        <v>0</v>
      </c>
      <c r="D1994">
        <v>1</v>
      </c>
      <c r="E1994">
        <v>144000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2</v>
      </c>
      <c r="BC1994" s="1">
        <v>288000</v>
      </c>
      <c r="BD1994" t="s">
        <v>94</v>
      </c>
      <c r="BE1994" t="s">
        <v>5767</v>
      </c>
      <c r="BF1994" t="s">
        <v>5768</v>
      </c>
      <c r="BH1994" t="s">
        <v>97</v>
      </c>
      <c r="BI1994" t="s">
        <v>208</v>
      </c>
      <c r="BJ1994" t="s">
        <v>79</v>
      </c>
      <c r="BM1994">
        <v>0</v>
      </c>
      <c r="BN1994">
        <v>1</v>
      </c>
      <c r="BO1994">
        <v>1</v>
      </c>
      <c r="BP1994" t="s">
        <v>80</v>
      </c>
      <c r="BR1994">
        <v>0</v>
      </c>
      <c r="BS1994">
        <v>6</v>
      </c>
      <c r="BU1994">
        <v>144000</v>
      </c>
    </row>
    <row r="1995" spans="1:73" x14ac:dyDescent="0.3">
      <c r="A1995" t="s">
        <v>5769</v>
      </c>
      <c r="B1995">
        <v>0</v>
      </c>
      <c r="C1995">
        <v>1654546</v>
      </c>
      <c r="D1995">
        <v>6</v>
      </c>
      <c r="E1995">
        <v>3316822</v>
      </c>
      <c r="F1995">
        <v>0</v>
      </c>
      <c r="G1995">
        <v>0</v>
      </c>
      <c r="H1995">
        <v>6</v>
      </c>
      <c r="I1995">
        <v>120400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13</v>
      </c>
      <c r="BC1995" s="1">
        <v>8428449</v>
      </c>
      <c r="BD1995" t="s">
        <v>94</v>
      </c>
      <c r="BE1995" t="s">
        <v>5770</v>
      </c>
      <c r="BF1995" t="s">
        <v>5771</v>
      </c>
      <c r="BH1995" t="s">
        <v>97</v>
      </c>
      <c r="BI1995" t="s">
        <v>119</v>
      </c>
      <c r="BJ1995" t="s">
        <v>79</v>
      </c>
      <c r="BM1995">
        <v>0</v>
      </c>
      <c r="BN1995">
        <v>2</v>
      </c>
      <c r="BO1995">
        <v>2</v>
      </c>
      <c r="BP1995" t="s">
        <v>80</v>
      </c>
      <c r="BR1995">
        <v>0</v>
      </c>
      <c r="BS1995">
        <v>6</v>
      </c>
      <c r="BU1995">
        <v>5091768</v>
      </c>
    </row>
    <row r="1996" spans="1:73" x14ac:dyDescent="0.3">
      <c r="A1996" t="s">
        <v>5772</v>
      </c>
      <c r="B1996">
        <v>0</v>
      </c>
      <c r="C1996">
        <v>0</v>
      </c>
      <c r="D1996">
        <v>2</v>
      </c>
      <c r="E1996">
        <v>210909</v>
      </c>
      <c r="F1996">
        <v>0</v>
      </c>
      <c r="G1996">
        <v>0</v>
      </c>
      <c r="H1996">
        <v>2</v>
      </c>
      <c r="I1996">
        <v>40000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4</v>
      </c>
      <c r="BC1996" s="1">
        <v>421818</v>
      </c>
      <c r="BD1996" t="s">
        <v>94</v>
      </c>
      <c r="BE1996" t="s">
        <v>5773</v>
      </c>
      <c r="BF1996" t="s">
        <v>5774</v>
      </c>
      <c r="BH1996" t="s">
        <v>97</v>
      </c>
      <c r="BI1996" t="s">
        <v>119</v>
      </c>
      <c r="BJ1996" t="s">
        <v>79</v>
      </c>
      <c r="BM1996">
        <v>0</v>
      </c>
      <c r="BN1996">
        <v>2</v>
      </c>
      <c r="BO1996">
        <v>2</v>
      </c>
      <c r="BP1996" t="s">
        <v>80</v>
      </c>
      <c r="BR1996">
        <v>0</v>
      </c>
      <c r="BS1996">
        <v>6</v>
      </c>
      <c r="BU1996">
        <v>250909</v>
      </c>
    </row>
    <row r="1997" spans="1:73" x14ac:dyDescent="0.3">
      <c r="A1997" t="s">
        <v>5775</v>
      </c>
      <c r="B1997">
        <v>0</v>
      </c>
      <c r="C1997">
        <v>0</v>
      </c>
      <c r="D1997">
        <v>2</v>
      </c>
      <c r="E1997">
        <v>1409205</v>
      </c>
      <c r="F1997">
        <v>0</v>
      </c>
      <c r="G1997">
        <v>0</v>
      </c>
      <c r="H1997">
        <v>2</v>
      </c>
      <c r="I1997">
        <v>75552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5</v>
      </c>
      <c r="BC1997" s="1">
        <v>3246981</v>
      </c>
      <c r="BD1997" t="s">
        <v>94</v>
      </c>
      <c r="BE1997" t="s">
        <v>5776</v>
      </c>
      <c r="BF1997" t="s">
        <v>5777</v>
      </c>
      <c r="BH1997" t="s">
        <v>97</v>
      </c>
      <c r="BI1997" t="s">
        <v>98</v>
      </c>
      <c r="BJ1997" t="s">
        <v>79</v>
      </c>
      <c r="BM1997">
        <v>0</v>
      </c>
      <c r="BN1997">
        <v>2</v>
      </c>
      <c r="BO1997">
        <v>2</v>
      </c>
      <c r="BP1997" t="s">
        <v>80</v>
      </c>
      <c r="BR1997">
        <v>0</v>
      </c>
      <c r="BS1997">
        <v>6</v>
      </c>
      <c r="BU1997">
        <v>1484757</v>
      </c>
    </row>
    <row r="1998" spans="1:73" x14ac:dyDescent="0.3">
      <c r="A1998" t="s">
        <v>5778</v>
      </c>
      <c r="B1998">
        <v>0</v>
      </c>
      <c r="C1998">
        <v>0</v>
      </c>
      <c r="D1998">
        <v>1</v>
      </c>
      <c r="E1998">
        <v>222968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2</v>
      </c>
      <c r="BC1998" s="1">
        <v>445936</v>
      </c>
      <c r="BD1998" t="s">
        <v>94</v>
      </c>
      <c r="BE1998" t="s">
        <v>5779</v>
      </c>
      <c r="BF1998" t="s">
        <v>5780</v>
      </c>
      <c r="BH1998" t="s">
        <v>97</v>
      </c>
      <c r="BI1998" t="s">
        <v>160</v>
      </c>
      <c r="BJ1998" t="s">
        <v>79</v>
      </c>
      <c r="BM1998">
        <v>0</v>
      </c>
      <c r="BN1998">
        <v>1</v>
      </c>
      <c r="BO1998">
        <v>1</v>
      </c>
      <c r="BP1998" t="s">
        <v>80</v>
      </c>
      <c r="BR1998">
        <v>0</v>
      </c>
      <c r="BS1998">
        <v>6</v>
      </c>
      <c r="BU1998">
        <v>222968</v>
      </c>
    </row>
    <row r="1999" spans="1:73" x14ac:dyDescent="0.3">
      <c r="A1999" t="s">
        <v>5787</v>
      </c>
      <c r="B1999">
        <v>0</v>
      </c>
      <c r="C1999">
        <v>0</v>
      </c>
      <c r="D1999">
        <v>2</v>
      </c>
      <c r="E1999">
        <v>340000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4</v>
      </c>
      <c r="BC1999" s="1">
        <v>680000</v>
      </c>
      <c r="BD1999" t="s">
        <v>94</v>
      </c>
      <c r="BE1999" t="s">
        <v>5788</v>
      </c>
      <c r="BF1999" t="s">
        <v>5789</v>
      </c>
      <c r="BH1999" t="s">
        <v>97</v>
      </c>
      <c r="BI1999" t="s">
        <v>98</v>
      </c>
      <c r="BJ1999" t="s">
        <v>79</v>
      </c>
      <c r="BM1999">
        <v>0</v>
      </c>
      <c r="BN1999">
        <v>1</v>
      </c>
      <c r="BO1999">
        <v>1</v>
      </c>
      <c r="BP1999" t="s">
        <v>80</v>
      </c>
      <c r="BR1999">
        <v>0</v>
      </c>
      <c r="BS1999">
        <v>6</v>
      </c>
      <c r="BU1999">
        <v>340000</v>
      </c>
    </row>
    <row r="2000" spans="1:73" x14ac:dyDescent="0.3">
      <c r="A2000" t="s">
        <v>5790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19792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2</v>
      </c>
      <c r="BC2000" s="1">
        <v>39584</v>
      </c>
      <c r="BD2000" t="s">
        <v>94</v>
      </c>
      <c r="BE2000" t="s">
        <v>5791</v>
      </c>
      <c r="BF2000" t="s">
        <v>5792</v>
      </c>
      <c r="BH2000" t="s">
        <v>97</v>
      </c>
      <c r="BI2000" t="s">
        <v>232</v>
      </c>
      <c r="BJ2000" t="s">
        <v>79</v>
      </c>
      <c r="BM2000">
        <v>1</v>
      </c>
      <c r="BN2000">
        <v>0</v>
      </c>
      <c r="BO2000">
        <v>1</v>
      </c>
      <c r="BP2000" t="s">
        <v>80</v>
      </c>
      <c r="BR2000">
        <v>0</v>
      </c>
      <c r="BS2000">
        <v>0</v>
      </c>
      <c r="BU2000">
        <v>19792</v>
      </c>
    </row>
    <row r="2001" spans="1:73" x14ac:dyDescent="0.3">
      <c r="A2001" t="s">
        <v>5793</v>
      </c>
      <c r="B2001">
        <v>0</v>
      </c>
      <c r="C2001">
        <v>0</v>
      </c>
      <c r="D2001">
        <v>1</v>
      </c>
      <c r="E2001">
        <v>128571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62070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17929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4</v>
      </c>
      <c r="BC2001" s="1">
        <v>337141</v>
      </c>
      <c r="BD2001" t="s">
        <v>94</v>
      </c>
      <c r="BE2001" t="s">
        <v>5794</v>
      </c>
      <c r="BF2001" t="s">
        <v>5795</v>
      </c>
      <c r="BH2001" t="s">
        <v>97</v>
      </c>
      <c r="BI2001" t="s">
        <v>265</v>
      </c>
      <c r="BJ2001" t="s">
        <v>79</v>
      </c>
      <c r="BM2001">
        <v>2</v>
      </c>
      <c r="BN2001">
        <v>1</v>
      </c>
      <c r="BO2001">
        <v>3</v>
      </c>
      <c r="BP2001" t="s">
        <v>80</v>
      </c>
      <c r="BR2001">
        <v>0</v>
      </c>
      <c r="BS2001">
        <v>6</v>
      </c>
      <c r="BU2001">
        <v>208570</v>
      </c>
    </row>
    <row r="2002" spans="1:73" x14ac:dyDescent="0.3">
      <c r="A2002" t="s">
        <v>5799</v>
      </c>
      <c r="B2002">
        <v>0</v>
      </c>
      <c r="C2002">
        <v>0</v>
      </c>
      <c r="D2002">
        <v>2</v>
      </c>
      <c r="E2002">
        <v>493714</v>
      </c>
      <c r="F2002">
        <v>0</v>
      </c>
      <c r="G2002">
        <v>0</v>
      </c>
      <c r="H2002">
        <v>1</v>
      </c>
      <c r="I2002">
        <v>20000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19792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4</v>
      </c>
      <c r="BC2002" s="1">
        <v>533506</v>
      </c>
      <c r="BD2002" t="s">
        <v>94</v>
      </c>
      <c r="BE2002" t="s">
        <v>5800</v>
      </c>
      <c r="BF2002" t="s">
        <v>5801</v>
      </c>
      <c r="BH2002" t="s">
        <v>97</v>
      </c>
      <c r="BI2002" t="s">
        <v>119</v>
      </c>
      <c r="BJ2002" t="s">
        <v>79</v>
      </c>
      <c r="BM2002">
        <v>1</v>
      </c>
      <c r="BN2002">
        <v>2</v>
      </c>
      <c r="BO2002">
        <v>3</v>
      </c>
      <c r="BP2002" t="s">
        <v>80</v>
      </c>
      <c r="BR2002">
        <v>0</v>
      </c>
      <c r="BS2002">
        <v>6</v>
      </c>
      <c r="BU2002">
        <v>533506</v>
      </c>
    </row>
    <row r="2003" spans="1:73" x14ac:dyDescent="0.3">
      <c r="A2003" t="s">
        <v>5805</v>
      </c>
      <c r="B2003">
        <v>0</v>
      </c>
      <c r="C2003">
        <v>0</v>
      </c>
      <c r="D2003">
        <v>1</v>
      </c>
      <c r="E2003">
        <v>216000</v>
      </c>
      <c r="F2003">
        <v>0</v>
      </c>
      <c r="G2003">
        <v>0</v>
      </c>
      <c r="H2003">
        <v>1</v>
      </c>
      <c r="I2003">
        <v>34288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3</v>
      </c>
      <c r="BC2003" s="1">
        <v>466288</v>
      </c>
      <c r="BD2003" t="s">
        <v>94</v>
      </c>
      <c r="BE2003" t="s">
        <v>5806</v>
      </c>
      <c r="BF2003" t="s">
        <v>5807</v>
      </c>
      <c r="BH2003" t="s">
        <v>97</v>
      </c>
      <c r="BI2003" t="s">
        <v>119</v>
      </c>
      <c r="BJ2003" t="s">
        <v>79</v>
      </c>
      <c r="BM2003">
        <v>0</v>
      </c>
      <c r="BN2003">
        <v>2</v>
      </c>
      <c r="BO2003">
        <v>2</v>
      </c>
      <c r="BP2003" t="s">
        <v>80</v>
      </c>
      <c r="BR2003">
        <v>0</v>
      </c>
      <c r="BS2003">
        <v>6</v>
      </c>
      <c r="BU2003">
        <v>250288</v>
      </c>
    </row>
    <row r="2004" spans="1:73" x14ac:dyDescent="0.3">
      <c r="A2004" t="s">
        <v>5808</v>
      </c>
      <c r="B2004">
        <v>0</v>
      </c>
      <c r="C2004">
        <v>0</v>
      </c>
      <c r="D2004">
        <v>6</v>
      </c>
      <c r="E2004">
        <v>4109091</v>
      </c>
      <c r="F2004">
        <v>0</v>
      </c>
      <c r="G2004">
        <v>0</v>
      </c>
      <c r="H2004">
        <v>8</v>
      </c>
      <c r="I2004">
        <v>160000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20</v>
      </c>
      <c r="BC2004" s="1">
        <v>9364163</v>
      </c>
      <c r="BD2004" t="s">
        <v>94</v>
      </c>
      <c r="BE2004" t="s">
        <v>5809</v>
      </c>
      <c r="BF2004" t="s">
        <v>5810</v>
      </c>
      <c r="BH2004" t="s">
        <v>97</v>
      </c>
      <c r="BI2004" t="s">
        <v>119</v>
      </c>
      <c r="BJ2004" t="s">
        <v>79</v>
      </c>
      <c r="BM2004">
        <v>0</v>
      </c>
      <c r="BN2004">
        <v>2</v>
      </c>
      <c r="BO2004">
        <v>2</v>
      </c>
      <c r="BP2004" t="s">
        <v>80</v>
      </c>
      <c r="BR2004">
        <v>0</v>
      </c>
      <c r="BS2004">
        <v>6</v>
      </c>
      <c r="BU2004">
        <v>4269091</v>
      </c>
    </row>
    <row r="2005" spans="1:73" x14ac:dyDescent="0.3">
      <c r="A2005" t="s">
        <v>5811</v>
      </c>
      <c r="B2005">
        <v>0</v>
      </c>
      <c r="C2005">
        <v>0</v>
      </c>
      <c r="D2005">
        <v>3</v>
      </c>
      <c r="E2005">
        <v>2216296</v>
      </c>
      <c r="F2005">
        <v>0</v>
      </c>
      <c r="G2005">
        <v>0</v>
      </c>
      <c r="H2005">
        <v>2</v>
      </c>
      <c r="I2005">
        <v>56296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82993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8</v>
      </c>
      <c r="BC2005" s="1">
        <v>4742282</v>
      </c>
      <c r="BD2005" t="s">
        <v>94</v>
      </c>
      <c r="BE2005" t="s">
        <v>5812</v>
      </c>
      <c r="BF2005" t="s">
        <v>5813</v>
      </c>
      <c r="BH2005" t="s">
        <v>97</v>
      </c>
      <c r="BI2005" t="s">
        <v>119</v>
      </c>
      <c r="BJ2005" t="s">
        <v>79</v>
      </c>
      <c r="BM2005">
        <v>1</v>
      </c>
      <c r="BN2005">
        <v>2</v>
      </c>
      <c r="BO2005">
        <v>3</v>
      </c>
      <c r="BP2005" t="s">
        <v>80</v>
      </c>
      <c r="BR2005">
        <v>0</v>
      </c>
      <c r="BS2005">
        <v>6</v>
      </c>
      <c r="BU2005">
        <v>2355585</v>
      </c>
    </row>
    <row r="2006" spans="1:73" x14ac:dyDescent="0.3">
      <c r="A2006" t="s">
        <v>5814</v>
      </c>
      <c r="B2006">
        <v>0</v>
      </c>
      <c r="C2006">
        <v>0</v>
      </c>
      <c r="D2006">
        <v>3</v>
      </c>
      <c r="E2006">
        <v>472000</v>
      </c>
      <c r="F2006">
        <v>0</v>
      </c>
      <c r="G2006">
        <v>0</v>
      </c>
      <c r="H2006">
        <v>4</v>
      </c>
      <c r="I2006">
        <v>80000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7</v>
      </c>
      <c r="BC2006" s="1">
        <v>1115428</v>
      </c>
      <c r="BD2006" t="s">
        <v>94</v>
      </c>
      <c r="BE2006" t="s">
        <v>5815</v>
      </c>
      <c r="BF2006" t="s">
        <v>5816</v>
      </c>
      <c r="BH2006" t="s">
        <v>97</v>
      </c>
      <c r="BI2006" t="s">
        <v>119</v>
      </c>
      <c r="BJ2006" t="s">
        <v>79</v>
      </c>
      <c r="BM2006">
        <v>0</v>
      </c>
      <c r="BN2006">
        <v>2</v>
      </c>
      <c r="BO2006">
        <v>2</v>
      </c>
      <c r="BP2006" t="s">
        <v>80</v>
      </c>
      <c r="BR2006">
        <v>0</v>
      </c>
      <c r="BS2006">
        <v>6</v>
      </c>
      <c r="BU2006">
        <v>552000</v>
      </c>
    </row>
    <row r="2007" spans="1:73" x14ac:dyDescent="0.3">
      <c r="A2007" t="s">
        <v>5817</v>
      </c>
      <c r="B2007">
        <v>0</v>
      </c>
      <c r="C2007">
        <v>0</v>
      </c>
      <c r="D2007">
        <v>6</v>
      </c>
      <c r="E2007">
        <v>317189</v>
      </c>
      <c r="F2007">
        <v>0</v>
      </c>
      <c r="G2007">
        <v>0</v>
      </c>
      <c r="H2007">
        <v>10</v>
      </c>
      <c r="I2007">
        <v>202378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12</v>
      </c>
      <c r="BC2007" s="1">
        <v>634378</v>
      </c>
      <c r="BD2007" t="s">
        <v>94</v>
      </c>
      <c r="BE2007" t="s">
        <v>5818</v>
      </c>
      <c r="BF2007" t="s">
        <v>5819</v>
      </c>
      <c r="BH2007" t="s">
        <v>97</v>
      </c>
      <c r="BI2007" t="s">
        <v>98</v>
      </c>
      <c r="BJ2007" t="s">
        <v>79</v>
      </c>
      <c r="BM2007">
        <v>0</v>
      </c>
      <c r="BN2007">
        <v>2</v>
      </c>
      <c r="BO2007">
        <v>2</v>
      </c>
      <c r="BP2007" t="s">
        <v>80</v>
      </c>
      <c r="BR2007">
        <v>0</v>
      </c>
      <c r="BS2007">
        <v>6</v>
      </c>
      <c r="BU2007">
        <v>519567</v>
      </c>
    </row>
    <row r="2008" spans="1:73" x14ac:dyDescent="0.3">
      <c r="A2008" t="s">
        <v>5828</v>
      </c>
      <c r="B2008">
        <v>0</v>
      </c>
      <c r="C2008">
        <v>0</v>
      </c>
      <c r="D2008">
        <v>3</v>
      </c>
      <c r="E2008">
        <v>525294</v>
      </c>
      <c r="F2008">
        <v>0</v>
      </c>
      <c r="G2008">
        <v>0</v>
      </c>
      <c r="H2008">
        <v>4</v>
      </c>
      <c r="I2008">
        <v>131108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6</v>
      </c>
      <c r="BC2008" s="1">
        <v>1050588</v>
      </c>
      <c r="BD2008" t="s">
        <v>94</v>
      </c>
      <c r="BE2008" t="s">
        <v>5829</v>
      </c>
      <c r="BF2008" t="s">
        <v>4878</v>
      </c>
      <c r="BH2008" t="s">
        <v>97</v>
      </c>
      <c r="BI2008" t="s">
        <v>119</v>
      </c>
      <c r="BJ2008" t="s">
        <v>79</v>
      </c>
      <c r="BM2008">
        <v>0</v>
      </c>
      <c r="BN2008">
        <v>2</v>
      </c>
      <c r="BO2008">
        <v>2</v>
      </c>
      <c r="BP2008" t="s">
        <v>80</v>
      </c>
      <c r="BR2008">
        <v>0</v>
      </c>
      <c r="BS2008">
        <v>6</v>
      </c>
      <c r="BU2008">
        <v>656402</v>
      </c>
    </row>
    <row r="2009" spans="1:73" x14ac:dyDescent="0.3">
      <c r="A2009" t="s">
        <v>5830</v>
      </c>
      <c r="B2009">
        <v>0</v>
      </c>
      <c r="C2009">
        <v>194542</v>
      </c>
      <c r="D2009">
        <v>1</v>
      </c>
      <c r="E2009">
        <v>116365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2</v>
      </c>
      <c r="BC2009" s="1">
        <v>427272</v>
      </c>
      <c r="BD2009" t="s">
        <v>94</v>
      </c>
      <c r="BE2009" t="s">
        <v>5831</v>
      </c>
      <c r="BF2009" t="s">
        <v>5832</v>
      </c>
      <c r="BH2009" t="s">
        <v>97</v>
      </c>
      <c r="BI2009" t="s">
        <v>265</v>
      </c>
      <c r="BJ2009" t="s">
        <v>79</v>
      </c>
      <c r="BM2009">
        <v>0</v>
      </c>
      <c r="BN2009">
        <v>1</v>
      </c>
      <c r="BO2009">
        <v>1</v>
      </c>
      <c r="BP2009" t="s">
        <v>80</v>
      </c>
      <c r="BR2009">
        <v>0</v>
      </c>
      <c r="BS2009">
        <v>6</v>
      </c>
      <c r="BU2009">
        <v>310907</v>
      </c>
    </row>
    <row r="2010" spans="1:73" x14ac:dyDescent="0.3">
      <c r="A2010" t="s">
        <v>5836</v>
      </c>
      <c r="B2010">
        <v>4</v>
      </c>
      <c r="C2010">
        <v>776564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4</v>
      </c>
      <c r="BC2010" s="1">
        <v>776564</v>
      </c>
      <c r="BD2010" t="s">
        <v>94</v>
      </c>
      <c r="BE2010" t="s">
        <v>5837</v>
      </c>
      <c r="BF2010" t="s">
        <v>5838</v>
      </c>
      <c r="BH2010" t="s">
        <v>5839</v>
      </c>
      <c r="BI2010" t="s">
        <v>5840</v>
      </c>
      <c r="BJ2010" t="s">
        <v>79</v>
      </c>
      <c r="BM2010">
        <v>0</v>
      </c>
      <c r="BN2010">
        <v>1</v>
      </c>
      <c r="BO2010">
        <v>1</v>
      </c>
      <c r="BP2010" t="s">
        <v>80</v>
      </c>
      <c r="BR2010">
        <v>0</v>
      </c>
      <c r="BS2010">
        <v>6</v>
      </c>
      <c r="BU2010">
        <v>776564</v>
      </c>
    </row>
    <row r="2011" spans="1:73" x14ac:dyDescent="0.3">
      <c r="A2011" t="s">
        <v>5841</v>
      </c>
      <c r="B2011">
        <v>0</v>
      </c>
      <c r="C2011">
        <v>0</v>
      </c>
      <c r="D2011">
        <v>1</v>
      </c>
      <c r="E2011">
        <v>411428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2</v>
      </c>
      <c r="BC2011" s="1">
        <v>822856</v>
      </c>
      <c r="BD2011" t="s">
        <v>94</v>
      </c>
      <c r="BE2011" t="s">
        <v>5842</v>
      </c>
      <c r="BF2011" t="s">
        <v>5843</v>
      </c>
      <c r="BH2011" t="s">
        <v>97</v>
      </c>
      <c r="BI2011" t="s">
        <v>119</v>
      </c>
      <c r="BJ2011" t="s">
        <v>79</v>
      </c>
      <c r="BM2011">
        <v>0</v>
      </c>
      <c r="BN2011">
        <v>1</v>
      </c>
      <c r="BO2011">
        <v>1</v>
      </c>
      <c r="BP2011" t="s">
        <v>80</v>
      </c>
      <c r="BR2011">
        <v>0</v>
      </c>
      <c r="BS2011">
        <v>6</v>
      </c>
      <c r="BU2011">
        <v>411428</v>
      </c>
    </row>
    <row r="2012" spans="1:73" x14ac:dyDescent="0.3">
      <c r="A2012" t="s">
        <v>5847</v>
      </c>
      <c r="B2012">
        <v>0</v>
      </c>
      <c r="C2012">
        <v>0</v>
      </c>
      <c r="D2012">
        <v>1</v>
      </c>
      <c r="E2012">
        <v>190909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2</v>
      </c>
      <c r="BC2012" s="1">
        <v>381818</v>
      </c>
      <c r="BD2012" t="s">
        <v>94</v>
      </c>
      <c r="BE2012" t="s">
        <v>5848</v>
      </c>
      <c r="BF2012" t="s">
        <v>5849</v>
      </c>
      <c r="BH2012" t="s">
        <v>97</v>
      </c>
      <c r="BI2012" t="s">
        <v>208</v>
      </c>
      <c r="BJ2012" t="s">
        <v>79</v>
      </c>
      <c r="BM2012">
        <v>0</v>
      </c>
      <c r="BN2012">
        <v>1</v>
      </c>
      <c r="BO2012">
        <v>1</v>
      </c>
      <c r="BP2012" t="s">
        <v>80</v>
      </c>
      <c r="BR2012">
        <v>0</v>
      </c>
      <c r="BS2012">
        <v>6</v>
      </c>
      <c r="BU2012">
        <v>190909</v>
      </c>
    </row>
    <row r="2013" spans="1:73" x14ac:dyDescent="0.3">
      <c r="A2013" t="s">
        <v>5853</v>
      </c>
      <c r="B2013">
        <v>4</v>
      </c>
      <c r="C2013">
        <v>732345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4</v>
      </c>
      <c r="BC2013" s="1">
        <v>732345</v>
      </c>
      <c r="BD2013" t="s">
        <v>94</v>
      </c>
      <c r="BE2013" t="s">
        <v>5854</v>
      </c>
      <c r="BF2013" t="s">
        <v>5855</v>
      </c>
      <c r="BH2013" t="s">
        <v>97</v>
      </c>
      <c r="BI2013" t="s">
        <v>119</v>
      </c>
      <c r="BJ2013" t="s">
        <v>79</v>
      </c>
      <c r="BM2013">
        <v>0</v>
      </c>
      <c r="BN2013">
        <v>1</v>
      </c>
      <c r="BO2013">
        <v>1</v>
      </c>
      <c r="BP2013" t="s">
        <v>80</v>
      </c>
      <c r="BR2013">
        <v>0</v>
      </c>
      <c r="BS2013">
        <v>6</v>
      </c>
      <c r="BU2013">
        <v>732345</v>
      </c>
    </row>
    <row r="2014" spans="1:73" x14ac:dyDescent="0.3">
      <c r="A2014" t="s">
        <v>5856</v>
      </c>
      <c r="B2014">
        <v>14</v>
      </c>
      <c r="C2014">
        <v>1303090</v>
      </c>
      <c r="D2014">
        <v>3</v>
      </c>
      <c r="E2014">
        <v>1968572</v>
      </c>
      <c r="F2014">
        <v>0</v>
      </c>
      <c r="G2014">
        <v>0</v>
      </c>
      <c r="H2014">
        <v>4</v>
      </c>
      <c r="I2014">
        <v>80000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20</v>
      </c>
      <c r="BC2014" s="1">
        <v>5240234</v>
      </c>
      <c r="BD2014" t="s">
        <v>94</v>
      </c>
      <c r="BE2014" t="s">
        <v>5857</v>
      </c>
      <c r="BF2014" t="s">
        <v>5843</v>
      </c>
      <c r="BH2014" t="s">
        <v>123</v>
      </c>
      <c r="BI2014" t="s">
        <v>124</v>
      </c>
      <c r="BJ2014" t="s">
        <v>125</v>
      </c>
      <c r="BM2014">
        <v>0</v>
      </c>
      <c r="BN2014">
        <v>3</v>
      </c>
      <c r="BO2014">
        <v>3</v>
      </c>
      <c r="BP2014" t="s">
        <v>80</v>
      </c>
      <c r="BR2014">
        <v>0</v>
      </c>
      <c r="BS2014">
        <v>6</v>
      </c>
      <c r="BU2014">
        <v>3351662</v>
      </c>
    </row>
    <row r="2015" spans="1:73" x14ac:dyDescent="0.3">
      <c r="A2015" t="s">
        <v>5861</v>
      </c>
      <c r="B2015">
        <v>0</v>
      </c>
      <c r="C2015">
        <v>0</v>
      </c>
      <c r="D2015">
        <v>1</v>
      </c>
      <c r="E2015">
        <v>288000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2</v>
      </c>
      <c r="BC2015" s="1">
        <v>576000</v>
      </c>
      <c r="BD2015" t="s">
        <v>94</v>
      </c>
      <c r="BE2015" t="s">
        <v>5862</v>
      </c>
      <c r="BF2015" t="s">
        <v>5863</v>
      </c>
      <c r="BH2015" t="s">
        <v>97</v>
      </c>
      <c r="BI2015" t="s">
        <v>98</v>
      </c>
      <c r="BJ2015" t="s">
        <v>79</v>
      </c>
      <c r="BM2015">
        <v>0</v>
      </c>
      <c r="BN2015">
        <v>1</v>
      </c>
      <c r="BO2015">
        <v>1</v>
      </c>
      <c r="BP2015" t="s">
        <v>80</v>
      </c>
      <c r="BR2015">
        <v>0</v>
      </c>
      <c r="BS2015">
        <v>6</v>
      </c>
      <c r="BU2015">
        <v>288000</v>
      </c>
    </row>
    <row r="2016" spans="1:73" x14ac:dyDescent="0.3">
      <c r="A2016" t="s">
        <v>5870</v>
      </c>
      <c r="B2016">
        <v>0</v>
      </c>
      <c r="C2016">
        <v>0</v>
      </c>
      <c r="D2016">
        <v>1</v>
      </c>
      <c r="E2016">
        <v>261818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2</v>
      </c>
      <c r="BC2016" s="1">
        <v>523636</v>
      </c>
      <c r="BD2016" t="s">
        <v>94</v>
      </c>
      <c r="BE2016" t="s">
        <v>5871</v>
      </c>
      <c r="BF2016" t="s">
        <v>5872</v>
      </c>
      <c r="BH2016" t="s">
        <v>123</v>
      </c>
      <c r="BI2016" t="s">
        <v>124</v>
      </c>
      <c r="BJ2016" t="s">
        <v>125</v>
      </c>
      <c r="BM2016">
        <v>0</v>
      </c>
      <c r="BN2016">
        <v>1</v>
      </c>
      <c r="BO2016">
        <v>1</v>
      </c>
      <c r="BP2016" t="s">
        <v>80</v>
      </c>
      <c r="BR2016">
        <v>0</v>
      </c>
      <c r="BS2016">
        <v>6</v>
      </c>
      <c r="BU2016">
        <v>261818</v>
      </c>
    </row>
    <row r="2017" spans="1:73" x14ac:dyDescent="0.3">
      <c r="A2017" t="s">
        <v>5873</v>
      </c>
      <c r="B2017">
        <v>0</v>
      </c>
      <c r="C2017">
        <v>0</v>
      </c>
      <c r="D2017">
        <v>1</v>
      </c>
      <c r="E2017">
        <v>192000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2</v>
      </c>
      <c r="BC2017" s="1">
        <v>384000</v>
      </c>
      <c r="BD2017" t="s">
        <v>94</v>
      </c>
      <c r="BE2017" t="s">
        <v>5874</v>
      </c>
      <c r="BF2017" t="s">
        <v>5875</v>
      </c>
      <c r="BH2017" t="s">
        <v>476</v>
      </c>
      <c r="BI2017" t="s">
        <v>477</v>
      </c>
      <c r="BJ2017" t="s">
        <v>125</v>
      </c>
      <c r="BM2017">
        <v>0</v>
      </c>
      <c r="BN2017">
        <v>1</v>
      </c>
      <c r="BO2017">
        <v>1</v>
      </c>
      <c r="BP2017" t="s">
        <v>80</v>
      </c>
      <c r="BR2017">
        <v>0</v>
      </c>
      <c r="BS2017">
        <v>6</v>
      </c>
      <c r="BU2017">
        <v>192000</v>
      </c>
    </row>
    <row r="2018" spans="1:73" x14ac:dyDescent="0.3">
      <c r="A2018" t="s">
        <v>5879</v>
      </c>
      <c r="B2018">
        <v>0</v>
      </c>
      <c r="C2018">
        <v>0</v>
      </c>
      <c r="D2018">
        <v>1</v>
      </c>
      <c r="E2018">
        <v>52818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</v>
      </c>
      <c r="BC2018" s="1">
        <v>52818</v>
      </c>
      <c r="BD2018" t="s">
        <v>94</v>
      </c>
      <c r="BE2018" t="s">
        <v>5880</v>
      </c>
      <c r="BF2018" t="s">
        <v>2400</v>
      </c>
      <c r="BH2018" t="s">
        <v>97</v>
      </c>
      <c r="BI2018" t="s">
        <v>265</v>
      </c>
      <c r="BJ2018" t="s">
        <v>79</v>
      </c>
      <c r="BM2018">
        <v>0</v>
      </c>
      <c r="BN2018">
        <v>1</v>
      </c>
      <c r="BO2018">
        <v>1</v>
      </c>
      <c r="BP2018" t="s">
        <v>80</v>
      </c>
      <c r="BR2018">
        <v>0</v>
      </c>
      <c r="BS2018">
        <v>0</v>
      </c>
      <c r="BU2018">
        <v>52818</v>
      </c>
    </row>
    <row r="2019" spans="1:73" x14ac:dyDescent="0.3">
      <c r="A2019" t="s">
        <v>5881</v>
      </c>
      <c r="B2019">
        <v>1</v>
      </c>
      <c r="C2019">
        <v>45455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1</v>
      </c>
      <c r="BC2019" s="1">
        <v>45455</v>
      </c>
      <c r="BD2019" t="s">
        <v>94</v>
      </c>
      <c r="BE2019" t="s">
        <v>5882</v>
      </c>
      <c r="BF2019" t="s">
        <v>5883</v>
      </c>
      <c r="BM2019">
        <v>0</v>
      </c>
      <c r="BN2019">
        <v>1</v>
      </c>
      <c r="BO2019">
        <v>1</v>
      </c>
      <c r="BP2019" t="s">
        <v>80</v>
      </c>
      <c r="BR2019">
        <v>0</v>
      </c>
      <c r="BS2019">
        <v>0</v>
      </c>
      <c r="BU2019">
        <v>45455</v>
      </c>
    </row>
    <row r="2020" spans="1:73" x14ac:dyDescent="0.3">
      <c r="A2020" t="s">
        <v>5890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78585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</v>
      </c>
      <c r="BC2020" s="1">
        <v>78585</v>
      </c>
      <c r="BD2020" t="s">
        <v>94</v>
      </c>
      <c r="BE2020" t="s">
        <v>5891</v>
      </c>
      <c r="BF2020" t="s">
        <v>5892</v>
      </c>
      <c r="BH2020" t="s">
        <v>97</v>
      </c>
      <c r="BI2020" t="s">
        <v>242</v>
      </c>
      <c r="BJ2020" t="s">
        <v>79</v>
      </c>
      <c r="BM2020">
        <v>1</v>
      </c>
      <c r="BN2020">
        <v>0</v>
      </c>
      <c r="BO2020">
        <v>1</v>
      </c>
      <c r="BP2020" t="s">
        <v>80</v>
      </c>
      <c r="BR2020">
        <v>0</v>
      </c>
      <c r="BS2020">
        <v>0</v>
      </c>
      <c r="BU2020">
        <v>78585</v>
      </c>
    </row>
    <row r="2021" spans="1:73" x14ac:dyDescent="0.3">
      <c r="A2021" t="s">
        <v>5896</v>
      </c>
      <c r="B2021">
        <v>0</v>
      </c>
      <c r="C2021">
        <v>0</v>
      </c>
      <c r="D2021">
        <v>1</v>
      </c>
      <c r="E2021">
        <v>236364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2</v>
      </c>
      <c r="BC2021" s="1">
        <v>472728</v>
      </c>
      <c r="BD2021" t="s">
        <v>94</v>
      </c>
      <c r="BE2021" t="s">
        <v>5897</v>
      </c>
      <c r="BF2021" t="s">
        <v>5898</v>
      </c>
      <c r="BH2021" t="s">
        <v>97</v>
      </c>
      <c r="BI2021" t="s">
        <v>1006</v>
      </c>
      <c r="BJ2021" t="s">
        <v>79</v>
      </c>
      <c r="BM2021">
        <v>0</v>
      </c>
      <c r="BN2021">
        <v>1</v>
      </c>
      <c r="BO2021">
        <v>1</v>
      </c>
      <c r="BP2021" t="s">
        <v>80</v>
      </c>
      <c r="BR2021">
        <v>0</v>
      </c>
      <c r="BS2021">
        <v>6</v>
      </c>
      <c r="BU2021">
        <v>236364</v>
      </c>
    </row>
    <row r="2022" spans="1:73" x14ac:dyDescent="0.3">
      <c r="A2022" t="s">
        <v>5899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19792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1</v>
      </c>
      <c r="BC2022" s="1">
        <v>19792</v>
      </c>
      <c r="BD2022" t="s">
        <v>94</v>
      </c>
      <c r="BE2022" t="s">
        <v>5900</v>
      </c>
      <c r="BF2022" t="s">
        <v>5901</v>
      </c>
      <c r="BH2022" t="s">
        <v>114</v>
      </c>
      <c r="BI2022" t="s">
        <v>5902</v>
      </c>
      <c r="BJ2022" t="s">
        <v>79</v>
      </c>
      <c r="BM2022">
        <v>1</v>
      </c>
      <c r="BN2022">
        <v>0</v>
      </c>
      <c r="BO2022">
        <v>1</v>
      </c>
      <c r="BP2022" t="s">
        <v>80</v>
      </c>
      <c r="BR2022">
        <v>0</v>
      </c>
      <c r="BS2022">
        <v>0</v>
      </c>
      <c r="BU2022">
        <v>19792</v>
      </c>
    </row>
    <row r="2023" spans="1:73" x14ac:dyDescent="0.3">
      <c r="A2023" t="s">
        <v>5909</v>
      </c>
      <c r="B2023">
        <v>4</v>
      </c>
      <c r="C2023">
        <v>2361278</v>
      </c>
      <c r="D2023">
        <v>3</v>
      </c>
      <c r="E2023">
        <v>894065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333334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10</v>
      </c>
      <c r="BC2023" s="1">
        <v>4210011</v>
      </c>
      <c r="BD2023" t="s">
        <v>94</v>
      </c>
      <c r="BE2023" t="s">
        <v>5910</v>
      </c>
      <c r="BF2023" t="s">
        <v>5911</v>
      </c>
      <c r="BH2023" t="s">
        <v>123</v>
      </c>
      <c r="BI2023" t="s">
        <v>325</v>
      </c>
      <c r="BJ2023" t="s">
        <v>125</v>
      </c>
      <c r="BM2023">
        <v>1</v>
      </c>
      <c r="BN2023">
        <v>2</v>
      </c>
      <c r="BO2023">
        <v>3</v>
      </c>
      <c r="BP2023" t="s">
        <v>80</v>
      </c>
      <c r="BR2023">
        <v>0</v>
      </c>
      <c r="BS2023">
        <v>6</v>
      </c>
      <c r="BU2023">
        <v>3588677</v>
      </c>
    </row>
    <row r="2024" spans="1:73" x14ac:dyDescent="0.3">
      <c r="A2024" t="s">
        <v>5912</v>
      </c>
      <c r="B2024">
        <v>0</v>
      </c>
      <c r="C2024">
        <v>0</v>
      </c>
      <c r="D2024">
        <v>3</v>
      </c>
      <c r="E2024">
        <v>1170119</v>
      </c>
      <c r="F2024">
        <v>0</v>
      </c>
      <c r="G2024">
        <v>0</v>
      </c>
      <c r="H2024">
        <v>4</v>
      </c>
      <c r="I2024">
        <v>90238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6</v>
      </c>
      <c r="BC2024" s="1">
        <v>2340238</v>
      </c>
      <c r="BD2024" t="s">
        <v>94</v>
      </c>
      <c r="BE2024" t="s">
        <v>5913</v>
      </c>
      <c r="BF2024" t="s">
        <v>5914</v>
      </c>
      <c r="BH2024" t="s">
        <v>123</v>
      </c>
      <c r="BI2024" t="s">
        <v>124</v>
      </c>
      <c r="BJ2024" t="s">
        <v>125</v>
      </c>
      <c r="BM2024">
        <v>0</v>
      </c>
      <c r="BN2024">
        <v>2</v>
      </c>
      <c r="BO2024">
        <v>2</v>
      </c>
      <c r="BP2024" t="s">
        <v>80</v>
      </c>
      <c r="BR2024">
        <v>0</v>
      </c>
      <c r="BS2024">
        <v>6</v>
      </c>
      <c r="BU2024">
        <v>1260357</v>
      </c>
    </row>
    <row r="2025" spans="1:73" x14ac:dyDescent="0.3">
      <c r="A2025" t="s">
        <v>5918</v>
      </c>
      <c r="B2025">
        <v>0</v>
      </c>
      <c r="C2025">
        <v>0</v>
      </c>
      <c r="D2025">
        <v>1</v>
      </c>
      <c r="E2025">
        <v>1714286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5</v>
      </c>
      <c r="BC2025" s="1">
        <v>3917299</v>
      </c>
      <c r="BD2025" t="s">
        <v>94</v>
      </c>
      <c r="BE2025" t="s">
        <v>5919</v>
      </c>
      <c r="BF2025" t="s">
        <v>5920</v>
      </c>
      <c r="BH2025" t="s">
        <v>123</v>
      </c>
      <c r="BI2025" t="s">
        <v>124</v>
      </c>
      <c r="BJ2025" t="s">
        <v>125</v>
      </c>
      <c r="BM2025">
        <v>0</v>
      </c>
      <c r="BN2025">
        <v>1</v>
      </c>
      <c r="BO2025">
        <v>1</v>
      </c>
      <c r="BP2025" t="s">
        <v>80</v>
      </c>
      <c r="BR2025">
        <v>0</v>
      </c>
      <c r="BS2025">
        <v>6</v>
      </c>
      <c r="BU2025">
        <v>1714286</v>
      </c>
    </row>
    <row r="2026" spans="1:73" x14ac:dyDescent="0.3">
      <c r="A2026" t="s">
        <v>5921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43523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4394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2</v>
      </c>
      <c r="BC2026" s="1">
        <v>47917</v>
      </c>
      <c r="BD2026" t="s">
        <v>94</v>
      </c>
      <c r="BE2026" t="s">
        <v>5922</v>
      </c>
      <c r="BF2026" t="s">
        <v>5923</v>
      </c>
      <c r="BH2026" t="s">
        <v>97</v>
      </c>
      <c r="BI2026" t="s">
        <v>208</v>
      </c>
      <c r="BJ2026" t="s">
        <v>79</v>
      </c>
      <c r="BM2026">
        <v>2</v>
      </c>
      <c r="BN2026">
        <v>0</v>
      </c>
      <c r="BO2026">
        <v>2</v>
      </c>
      <c r="BP2026" t="s">
        <v>80</v>
      </c>
      <c r="BR2026">
        <v>0</v>
      </c>
      <c r="BS2026">
        <v>0</v>
      </c>
      <c r="BU2026">
        <v>47917</v>
      </c>
    </row>
    <row r="2027" spans="1:73" x14ac:dyDescent="0.3">
      <c r="A2027" t="s">
        <v>5933</v>
      </c>
      <c r="B2027">
        <v>0</v>
      </c>
      <c r="C2027">
        <v>0</v>
      </c>
      <c r="D2027">
        <v>1</v>
      </c>
      <c r="E2027">
        <v>246857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2</v>
      </c>
      <c r="BC2027" s="1">
        <v>493714</v>
      </c>
      <c r="BD2027" t="s">
        <v>94</v>
      </c>
      <c r="BE2027" t="s">
        <v>5934</v>
      </c>
      <c r="BF2027" t="s">
        <v>5935</v>
      </c>
      <c r="BH2027" t="s">
        <v>123</v>
      </c>
      <c r="BI2027" t="s">
        <v>325</v>
      </c>
      <c r="BJ2027" t="s">
        <v>125</v>
      </c>
      <c r="BM2027">
        <v>0</v>
      </c>
      <c r="BN2027">
        <v>1</v>
      </c>
      <c r="BO2027">
        <v>1</v>
      </c>
      <c r="BP2027" t="s">
        <v>80</v>
      </c>
      <c r="BR2027">
        <v>0</v>
      </c>
      <c r="BS2027">
        <v>6</v>
      </c>
      <c r="BU2027">
        <v>246857</v>
      </c>
    </row>
    <row r="2028" spans="1:73" x14ac:dyDescent="0.3">
      <c r="A2028" t="s">
        <v>5942</v>
      </c>
      <c r="B2028">
        <v>0</v>
      </c>
      <c r="C2028">
        <v>0</v>
      </c>
      <c r="D2028">
        <v>5</v>
      </c>
      <c r="E2028">
        <v>710000</v>
      </c>
      <c r="F2028">
        <v>0</v>
      </c>
      <c r="G2028">
        <v>0</v>
      </c>
      <c r="H2028">
        <v>3</v>
      </c>
      <c r="I2028">
        <v>60000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7</v>
      </c>
      <c r="BC2028" s="1">
        <v>13460800</v>
      </c>
      <c r="BD2028" t="s">
        <v>94</v>
      </c>
      <c r="BE2028" t="s">
        <v>5943</v>
      </c>
      <c r="BF2028" t="s">
        <v>5944</v>
      </c>
      <c r="BH2028" t="s">
        <v>97</v>
      </c>
      <c r="BI2028" t="s">
        <v>119</v>
      </c>
      <c r="BJ2028" t="s">
        <v>79</v>
      </c>
      <c r="BM2028">
        <v>0</v>
      </c>
      <c r="BN2028">
        <v>2</v>
      </c>
      <c r="BO2028">
        <v>2</v>
      </c>
      <c r="BP2028" t="s">
        <v>80</v>
      </c>
      <c r="BR2028">
        <v>0</v>
      </c>
      <c r="BS2028">
        <v>5</v>
      </c>
      <c r="BU2028">
        <v>770000</v>
      </c>
    </row>
    <row r="2029" spans="1:73" x14ac:dyDescent="0.3">
      <c r="A2029" t="s">
        <v>5945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78585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3</v>
      </c>
      <c r="BC2029" s="1">
        <v>235755</v>
      </c>
      <c r="BD2029" t="s">
        <v>94</v>
      </c>
      <c r="BE2029" t="s">
        <v>5946</v>
      </c>
      <c r="BF2029" t="s">
        <v>5947</v>
      </c>
      <c r="BH2029" t="s">
        <v>97</v>
      </c>
      <c r="BI2029" t="s">
        <v>119</v>
      </c>
      <c r="BJ2029" t="s">
        <v>79</v>
      </c>
      <c r="BM2029">
        <v>1</v>
      </c>
      <c r="BN2029">
        <v>0</v>
      </c>
      <c r="BO2029">
        <v>1</v>
      </c>
      <c r="BP2029" t="s">
        <v>80</v>
      </c>
      <c r="BR2029">
        <v>0</v>
      </c>
      <c r="BS2029">
        <v>6</v>
      </c>
      <c r="BU2029">
        <v>78585</v>
      </c>
    </row>
    <row r="2030" spans="1:73" x14ac:dyDescent="0.3">
      <c r="A2030" t="s">
        <v>5948</v>
      </c>
      <c r="B2030">
        <v>1</v>
      </c>
      <c r="C2030">
        <v>77543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1</v>
      </c>
      <c r="BC2030" s="1">
        <v>77543</v>
      </c>
      <c r="BD2030" t="s">
        <v>94</v>
      </c>
      <c r="BE2030" t="s">
        <v>5949</v>
      </c>
      <c r="BF2030" t="s">
        <v>5950</v>
      </c>
      <c r="BM2030">
        <v>0</v>
      </c>
      <c r="BN2030">
        <v>1</v>
      </c>
      <c r="BO2030">
        <v>1</v>
      </c>
      <c r="BP2030" t="s">
        <v>80</v>
      </c>
      <c r="BR2030">
        <v>0</v>
      </c>
      <c r="BS2030">
        <v>0</v>
      </c>
      <c r="BU2030">
        <v>77543</v>
      </c>
    </row>
    <row r="2031" spans="1:73" x14ac:dyDescent="0.3">
      <c r="A2031" t="s">
        <v>5951</v>
      </c>
      <c r="B2031">
        <v>0</v>
      </c>
      <c r="C2031">
        <v>0</v>
      </c>
      <c r="D2031">
        <v>7</v>
      </c>
      <c r="E2031">
        <v>3061560</v>
      </c>
      <c r="F2031">
        <v>0</v>
      </c>
      <c r="G2031">
        <v>0</v>
      </c>
      <c r="H2031">
        <v>8</v>
      </c>
      <c r="I2031">
        <v>182602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14</v>
      </c>
      <c r="BC2031" s="1">
        <v>6123120</v>
      </c>
      <c r="BD2031" t="s">
        <v>94</v>
      </c>
      <c r="BE2031" t="s">
        <v>5952</v>
      </c>
      <c r="BF2031" t="s">
        <v>5953</v>
      </c>
      <c r="BH2031" t="s">
        <v>97</v>
      </c>
      <c r="BI2031" t="s">
        <v>98</v>
      </c>
      <c r="BJ2031" t="s">
        <v>79</v>
      </c>
      <c r="BM2031">
        <v>0</v>
      </c>
      <c r="BN2031">
        <v>2</v>
      </c>
      <c r="BO2031">
        <v>2</v>
      </c>
      <c r="BP2031" t="s">
        <v>80</v>
      </c>
      <c r="BR2031">
        <v>0</v>
      </c>
      <c r="BS2031">
        <v>6</v>
      </c>
      <c r="BU2031">
        <v>3244162</v>
      </c>
    </row>
    <row r="2032" spans="1:73" x14ac:dyDescent="0.3">
      <c r="A2032" t="s">
        <v>5954</v>
      </c>
      <c r="B2032">
        <v>0</v>
      </c>
      <c r="C2032">
        <v>0</v>
      </c>
      <c r="D2032">
        <v>1</v>
      </c>
      <c r="E2032">
        <v>288000</v>
      </c>
      <c r="F2032">
        <v>0</v>
      </c>
      <c r="G2032">
        <v>0</v>
      </c>
      <c r="H2032">
        <v>1</v>
      </c>
      <c r="I2032">
        <v>20000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2</v>
      </c>
      <c r="BC2032" s="1">
        <v>308000</v>
      </c>
      <c r="BD2032" t="s">
        <v>94</v>
      </c>
      <c r="BE2032" t="s">
        <v>5955</v>
      </c>
      <c r="BF2032" t="s">
        <v>5956</v>
      </c>
      <c r="BH2032" t="s">
        <v>97</v>
      </c>
      <c r="BI2032" t="s">
        <v>119</v>
      </c>
      <c r="BJ2032" t="s">
        <v>79</v>
      </c>
      <c r="BM2032">
        <v>0</v>
      </c>
      <c r="BN2032">
        <v>2</v>
      </c>
      <c r="BO2032">
        <v>2</v>
      </c>
      <c r="BP2032" t="s">
        <v>80</v>
      </c>
      <c r="BR2032">
        <v>0</v>
      </c>
      <c r="BS2032">
        <v>6</v>
      </c>
      <c r="BU2032">
        <v>308000</v>
      </c>
    </row>
    <row r="2033" spans="1:73" x14ac:dyDescent="0.3">
      <c r="A2033" t="s">
        <v>5957</v>
      </c>
      <c r="B2033">
        <v>0</v>
      </c>
      <c r="C2033">
        <v>0</v>
      </c>
      <c r="D2033">
        <v>1</v>
      </c>
      <c r="E2033">
        <v>432000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2</v>
      </c>
      <c r="BC2033" s="1">
        <v>864000</v>
      </c>
      <c r="BD2033" t="s">
        <v>94</v>
      </c>
      <c r="BE2033" t="s">
        <v>5958</v>
      </c>
      <c r="BF2033" t="s">
        <v>5959</v>
      </c>
      <c r="BH2033" t="s">
        <v>123</v>
      </c>
      <c r="BI2033" t="s">
        <v>288</v>
      </c>
      <c r="BJ2033" t="s">
        <v>125</v>
      </c>
      <c r="BM2033">
        <v>0</v>
      </c>
      <c r="BN2033">
        <v>1</v>
      </c>
      <c r="BO2033">
        <v>1</v>
      </c>
      <c r="BP2033" t="s">
        <v>80</v>
      </c>
      <c r="BR2033">
        <v>0</v>
      </c>
      <c r="BS2033">
        <v>6</v>
      </c>
      <c r="BU2033">
        <v>432000</v>
      </c>
    </row>
    <row r="2034" spans="1:73" x14ac:dyDescent="0.3">
      <c r="A2034" t="s">
        <v>5960</v>
      </c>
      <c r="B2034">
        <v>0</v>
      </c>
      <c r="C2034">
        <v>0</v>
      </c>
      <c r="D2034">
        <v>1</v>
      </c>
      <c r="E2034">
        <v>540000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</v>
      </c>
      <c r="BC2034" s="1">
        <v>540000</v>
      </c>
      <c r="BD2034" t="s">
        <v>94</v>
      </c>
      <c r="BE2034" t="s">
        <v>5961</v>
      </c>
      <c r="BF2034" t="s">
        <v>5962</v>
      </c>
      <c r="BH2034" t="s">
        <v>97</v>
      </c>
      <c r="BI2034" t="s">
        <v>119</v>
      </c>
      <c r="BJ2034" t="s">
        <v>79</v>
      </c>
      <c r="BM2034">
        <v>0</v>
      </c>
      <c r="BN2034">
        <v>1</v>
      </c>
      <c r="BO2034">
        <v>1</v>
      </c>
      <c r="BP2034" t="s">
        <v>80</v>
      </c>
      <c r="BR2034">
        <v>0</v>
      </c>
      <c r="BS2034">
        <v>6</v>
      </c>
      <c r="BU2034">
        <v>540000</v>
      </c>
    </row>
    <row r="2035" spans="1:73" x14ac:dyDescent="0.3">
      <c r="A2035" t="s">
        <v>5969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59747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6919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2</v>
      </c>
      <c r="BC2035" s="1">
        <v>66666</v>
      </c>
      <c r="BD2035" t="s">
        <v>94</v>
      </c>
      <c r="BE2035" t="s">
        <v>5970</v>
      </c>
      <c r="BF2035" t="s">
        <v>5971</v>
      </c>
      <c r="BH2035" t="s">
        <v>97</v>
      </c>
      <c r="BI2035" t="s">
        <v>119</v>
      </c>
      <c r="BJ2035" t="s">
        <v>79</v>
      </c>
      <c r="BM2035">
        <v>2</v>
      </c>
      <c r="BN2035">
        <v>0</v>
      </c>
      <c r="BO2035">
        <v>2</v>
      </c>
      <c r="BP2035" t="s">
        <v>514</v>
      </c>
      <c r="BR2035">
        <v>0</v>
      </c>
      <c r="BS2035">
        <v>6</v>
      </c>
      <c r="BU2035">
        <v>66666</v>
      </c>
    </row>
    <row r="2036" spans="1:73" x14ac:dyDescent="0.3">
      <c r="A2036" t="s">
        <v>5975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81818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 s="1">
        <v>81818</v>
      </c>
      <c r="BD2036" t="s">
        <v>94</v>
      </c>
      <c r="BE2036" t="s">
        <v>5976</v>
      </c>
      <c r="BF2036" t="s">
        <v>5977</v>
      </c>
      <c r="BH2036" t="s">
        <v>97</v>
      </c>
      <c r="BI2036" t="s">
        <v>265</v>
      </c>
      <c r="BJ2036" t="s">
        <v>79</v>
      </c>
      <c r="BM2036">
        <v>1</v>
      </c>
      <c r="BN2036">
        <v>0</v>
      </c>
      <c r="BO2036">
        <v>1</v>
      </c>
      <c r="BP2036" t="s">
        <v>80</v>
      </c>
      <c r="BR2036">
        <v>0</v>
      </c>
      <c r="BS2036">
        <v>6</v>
      </c>
      <c r="BU2036">
        <v>81818</v>
      </c>
    </row>
    <row r="2037" spans="1:73" x14ac:dyDescent="0.3">
      <c r="A2037" t="s">
        <v>5978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78585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1</v>
      </c>
      <c r="BC2037" s="1">
        <v>78585</v>
      </c>
      <c r="BD2037" t="s">
        <v>94</v>
      </c>
      <c r="BE2037" t="s">
        <v>5979</v>
      </c>
      <c r="BF2037" t="s">
        <v>5980</v>
      </c>
      <c r="BH2037" t="s">
        <v>97</v>
      </c>
      <c r="BI2037" t="s">
        <v>160</v>
      </c>
      <c r="BJ2037" t="s">
        <v>79</v>
      </c>
      <c r="BM2037">
        <v>1</v>
      </c>
      <c r="BN2037">
        <v>0</v>
      </c>
      <c r="BO2037">
        <v>1</v>
      </c>
      <c r="BP2037" t="s">
        <v>80</v>
      </c>
      <c r="BR2037">
        <v>0</v>
      </c>
      <c r="BS2037">
        <v>0</v>
      </c>
      <c r="BU2037">
        <v>78585</v>
      </c>
    </row>
    <row r="2038" spans="1:73" x14ac:dyDescent="0.3">
      <c r="A2038" t="s">
        <v>5981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81818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2</v>
      </c>
      <c r="BC2038" s="1">
        <v>163636</v>
      </c>
      <c r="BD2038" t="s">
        <v>94</v>
      </c>
      <c r="BE2038" t="s">
        <v>5982</v>
      </c>
      <c r="BF2038" t="s">
        <v>5983</v>
      </c>
      <c r="BH2038" t="s">
        <v>97</v>
      </c>
      <c r="BI2038" t="s">
        <v>119</v>
      </c>
      <c r="BJ2038" t="s">
        <v>79</v>
      </c>
      <c r="BM2038">
        <v>1</v>
      </c>
      <c r="BN2038">
        <v>0</v>
      </c>
      <c r="BO2038">
        <v>1</v>
      </c>
      <c r="BP2038" t="s">
        <v>80</v>
      </c>
      <c r="BR2038">
        <v>0</v>
      </c>
      <c r="BS2038">
        <v>6</v>
      </c>
      <c r="BU2038">
        <v>81818</v>
      </c>
    </row>
  </sheetData>
  <autoFilter ref="A3:BU2038" xr:uid="{00000000-0001-0000-0000-000000000000}">
    <sortState xmlns:xlrd2="http://schemas.microsoft.com/office/spreadsheetml/2017/richdata2" ref="A4:BU2038">
      <sortCondition ref="BD4:BD2038"/>
    </sortState>
  </autoFilter>
  <mergeCells count="1">
    <mergeCell ref="A1:B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7116-4DBD-4A35-8859-AE5171A9C1FD}">
  <dimension ref="A2:BV948"/>
  <sheetViews>
    <sheetView topLeftCell="BC1" workbookViewId="0">
      <selection activeCell="BF8" sqref="BF8"/>
    </sheetView>
  </sheetViews>
  <sheetFormatPr defaultRowHeight="14.4" x14ac:dyDescent="0.3"/>
  <cols>
    <col min="1" max="54" width="0" hidden="1" customWidth="1"/>
    <col min="55" max="55" width="12.21875" bestFit="1" customWidth="1"/>
    <col min="56" max="56" width="6.77734375" customWidth="1"/>
    <col min="57" max="57" width="71.21875" customWidth="1"/>
    <col min="58" max="58" width="88.109375" customWidth="1"/>
    <col min="59" max="59" width="60.6640625" hidden="1" customWidth="1"/>
    <col min="60" max="72" width="0" hidden="1" customWidth="1"/>
    <col min="73" max="73" width="13.88671875" style="1" bestFit="1" customWidth="1"/>
  </cols>
  <sheetData>
    <row r="2" spans="1:7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s="1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s="1" t="s">
        <v>72</v>
      </c>
    </row>
    <row r="3" spans="1:73" x14ac:dyDescent="0.3">
      <c r="A3" t="s">
        <v>3674</v>
      </c>
      <c r="B3">
        <v>0</v>
      </c>
      <c r="C3">
        <v>0</v>
      </c>
      <c r="D3">
        <v>8</v>
      </c>
      <c r="E3">
        <v>6304732</v>
      </c>
      <c r="F3">
        <v>0</v>
      </c>
      <c r="G3">
        <v>0</v>
      </c>
      <c r="H3">
        <v>14</v>
      </c>
      <c r="I3">
        <v>609464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333334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17</v>
      </c>
      <c r="BC3" s="1">
        <v>12942798</v>
      </c>
      <c r="BD3" t="s">
        <v>74</v>
      </c>
      <c r="BE3" t="s">
        <v>3675</v>
      </c>
      <c r="BF3" s="2" t="s">
        <v>3676</v>
      </c>
      <c r="BH3" t="s">
        <v>77</v>
      </c>
      <c r="BI3" t="s">
        <v>574</v>
      </c>
      <c r="BJ3" t="s">
        <v>79</v>
      </c>
      <c r="BM3">
        <v>1</v>
      </c>
      <c r="BN3">
        <v>2</v>
      </c>
      <c r="BO3">
        <v>3</v>
      </c>
      <c r="BP3" t="s">
        <v>80</v>
      </c>
      <c r="BR3">
        <v>0</v>
      </c>
      <c r="BS3">
        <v>5</v>
      </c>
      <c r="BU3" s="1">
        <v>7247530</v>
      </c>
    </row>
    <row r="4" spans="1:73" x14ac:dyDescent="0.3">
      <c r="A4" t="s">
        <v>4684</v>
      </c>
      <c r="B4">
        <v>0</v>
      </c>
      <c r="C4">
        <v>0</v>
      </c>
      <c r="D4">
        <v>7</v>
      </c>
      <c r="E4">
        <v>27120112</v>
      </c>
      <c r="F4">
        <v>0</v>
      </c>
      <c r="G4">
        <v>0</v>
      </c>
      <c r="H4">
        <v>12</v>
      </c>
      <c r="I4">
        <v>240224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73535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16</v>
      </c>
      <c r="BC4" s="6">
        <v>54387294</v>
      </c>
      <c r="BD4" s="5" t="s">
        <v>74</v>
      </c>
      <c r="BE4" s="5" t="s">
        <v>4685</v>
      </c>
      <c r="BF4" s="2" t="s">
        <v>4686</v>
      </c>
      <c r="BG4" s="2"/>
      <c r="BH4" s="2" t="s">
        <v>77</v>
      </c>
      <c r="BI4" s="2" t="s">
        <v>574</v>
      </c>
      <c r="BJ4" s="2" t="s">
        <v>79</v>
      </c>
      <c r="BK4" s="2"/>
      <c r="BL4" s="2"/>
      <c r="BM4" s="2">
        <v>1</v>
      </c>
      <c r="BN4" s="2">
        <v>2</v>
      </c>
      <c r="BO4" s="2">
        <v>3</v>
      </c>
      <c r="BP4" s="2" t="s">
        <v>80</v>
      </c>
      <c r="BQ4" s="2"/>
      <c r="BR4" s="2">
        <v>0</v>
      </c>
      <c r="BS4" s="2">
        <v>4</v>
      </c>
      <c r="BT4" s="2"/>
      <c r="BU4" s="3">
        <v>27433871</v>
      </c>
    </row>
    <row r="5" spans="1:73" x14ac:dyDescent="0.3">
      <c r="A5" t="s">
        <v>3214</v>
      </c>
      <c r="B5">
        <v>0</v>
      </c>
      <c r="C5">
        <v>0</v>
      </c>
      <c r="D5">
        <v>9</v>
      </c>
      <c r="E5">
        <v>2788127</v>
      </c>
      <c r="F5">
        <v>0</v>
      </c>
      <c r="G5">
        <v>0</v>
      </c>
      <c r="H5">
        <v>16</v>
      </c>
      <c r="I5">
        <v>536254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18</v>
      </c>
      <c r="BC5" s="1">
        <v>5576254</v>
      </c>
      <c r="BD5" t="s">
        <v>74</v>
      </c>
      <c r="BE5" t="s">
        <v>3215</v>
      </c>
      <c r="BF5" s="2" t="s">
        <v>3216</v>
      </c>
      <c r="BH5" t="s">
        <v>77</v>
      </c>
      <c r="BI5" t="s">
        <v>574</v>
      </c>
      <c r="BJ5" t="s">
        <v>79</v>
      </c>
      <c r="BM5">
        <v>0</v>
      </c>
      <c r="BN5">
        <v>2</v>
      </c>
      <c r="BO5">
        <v>2</v>
      </c>
      <c r="BP5" t="s">
        <v>80</v>
      </c>
      <c r="BR5">
        <v>0</v>
      </c>
      <c r="BS5">
        <v>6</v>
      </c>
      <c r="BU5" s="1">
        <v>3324381</v>
      </c>
    </row>
    <row r="6" spans="1:73" x14ac:dyDescent="0.3">
      <c r="A6" t="s">
        <v>3380</v>
      </c>
      <c r="B6">
        <v>0</v>
      </c>
      <c r="C6">
        <v>0</v>
      </c>
      <c r="D6">
        <v>8</v>
      </c>
      <c r="E6">
        <v>4362594</v>
      </c>
      <c r="F6">
        <v>0</v>
      </c>
      <c r="G6">
        <v>0</v>
      </c>
      <c r="H6">
        <v>12</v>
      </c>
      <c r="I6">
        <v>485188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16</v>
      </c>
      <c r="BC6" s="1">
        <v>8725188</v>
      </c>
      <c r="BD6" t="s">
        <v>74</v>
      </c>
      <c r="BE6" t="s">
        <v>3381</v>
      </c>
      <c r="BF6" s="2" t="s">
        <v>3382</v>
      </c>
      <c r="BH6" t="s">
        <v>77</v>
      </c>
      <c r="BI6" t="s">
        <v>574</v>
      </c>
      <c r="BJ6" t="s">
        <v>79</v>
      </c>
      <c r="BM6">
        <v>0</v>
      </c>
      <c r="BN6">
        <v>2</v>
      </c>
      <c r="BO6">
        <v>2</v>
      </c>
      <c r="BP6" t="s">
        <v>80</v>
      </c>
      <c r="BR6">
        <v>0</v>
      </c>
      <c r="BS6">
        <v>6</v>
      </c>
      <c r="BU6" s="1">
        <v>4847782</v>
      </c>
    </row>
    <row r="7" spans="1:73" x14ac:dyDescent="0.3">
      <c r="A7" t="s">
        <v>3421</v>
      </c>
      <c r="B7">
        <v>0</v>
      </c>
      <c r="C7">
        <v>0</v>
      </c>
      <c r="D7">
        <v>5</v>
      </c>
      <c r="E7">
        <v>1680000</v>
      </c>
      <c r="F7">
        <v>0</v>
      </c>
      <c r="G7">
        <v>0</v>
      </c>
      <c r="H7">
        <v>8</v>
      </c>
      <c r="I7">
        <v>160000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96439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12</v>
      </c>
      <c r="BC7" s="1">
        <v>3552878</v>
      </c>
      <c r="BD7" t="s">
        <v>74</v>
      </c>
      <c r="BE7" t="s">
        <v>3422</v>
      </c>
      <c r="BF7" s="2" t="s">
        <v>3423</v>
      </c>
      <c r="BH7" t="s">
        <v>77</v>
      </c>
      <c r="BI7" t="s">
        <v>574</v>
      </c>
      <c r="BJ7" t="s">
        <v>79</v>
      </c>
      <c r="BM7">
        <v>1</v>
      </c>
      <c r="BN7">
        <v>2</v>
      </c>
      <c r="BO7">
        <v>3</v>
      </c>
      <c r="BP7" t="s">
        <v>80</v>
      </c>
      <c r="BR7">
        <v>0</v>
      </c>
      <c r="BS7">
        <v>6</v>
      </c>
      <c r="BU7" s="1">
        <v>1936439</v>
      </c>
    </row>
    <row r="8" spans="1:73" x14ac:dyDescent="0.3">
      <c r="A8" t="s">
        <v>3828</v>
      </c>
      <c r="B8">
        <v>4</v>
      </c>
      <c r="C8">
        <v>1177877</v>
      </c>
      <c r="D8">
        <v>1</v>
      </c>
      <c r="E8">
        <v>1600000</v>
      </c>
      <c r="F8">
        <v>0</v>
      </c>
      <c r="G8">
        <v>0</v>
      </c>
      <c r="H8">
        <v>3</v>
      </c>
      <c r="I8">
        <v>60000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8</v>
      </c>
      <c r="BC8" s="1">
        <v>2837877</v>
      </c>
      <c r="BD8" t="s">
        <v>74</v>
      </c>
      <c r="BE8" t="s">
        <v>3829</v>
      </c>
      <c r="BF8" s="2" t="s">
        <v>3830</v>
      </c>
      <c r="BH8" t="s">
        <v>77</v>
      </c>
      <c r="BI8" t="s">
        <v>574</v>
      </c>
      <c r="BJ8" t="s">
        <v>79</v>
      </c>
      <c r="BM8">
        <v>0</v>
      </c>
      <c r="BN8">
        <v>3</v>
      </c>
      <c r="BO8">
        <v>3</v>
      </c>
      <c r="BP8" t="s">
        <v>80</v>
      </c>
      <c r="BR8">
        <v>0</v>
      </c>
      <c r="BS8">
        <v>6</v>
      </c>
      <c r="BU8" s="1">
        <v>2837877</v>
      </c>
    </row>
    <row r="9" spans="1:73" x14ac:dyDescent="0.3">
      <c r="A9" t="s">
        <v>4618</v>
      </c>
      <c r="B9">
        <v>0</v>
      </c>
      <c r="C9">
        <v>0</v>
      </c>
      <c r="D9">
        <v>5</v>
      </c>
      <c r="E9">
        <v>570435</v>
      </c>
      <c r="F9">
        <v>0</v>
      </c>
      <c r="G9">
        <v>0</v>
      </c>
      <c r="H9">
        <v>8</v>
      </c>
      <c r="I9">
        <v>282688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73535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20000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13</v>
      </c>
      <c r="BC9" s="1">
        <v>1307940</v>
      </c>
      <c r="BD9" t="s">
        <v>74</v>
      </c>
      <c r="BE9" t="s">
        <v>4619</v>
      </c>
      <c r="BF9" s="2" t="s">
        <v>4620</v>
      </c>
      <c r="BH9" t="s">
        <v>77</v>
      </c>
      <c r="BI9" t="s">
        <v>593</v>
      </c>
      <c r="BJ9" t="s">
        <v>79</v>
      </c>
      <c r="BM9">
        <v>2</v>
      </c>
      <c r="BN9">
        <v>2</v>
      </c>
      <c r="BO9">
        <v>4</v>
      </c>
      <c r="BP9" t="s">
        <v>80</v>
      </c>
      <c r="BR9">
        <v>0</v>
      </c>
      <c r="BS9">
        <v>6</v>
      </c>
      <c r="BU9" s="1">
        <v>946658</v>
      </c>
    </row>
    <row r="10" spans="1:73" x14ac:dyDescent="0.3">
      <c r="A10" t="s">
        <v>5802</v>
      </c>
      <c r="B10">
        <v>0</v>
      </c>
      <c r="C10">
        <v>0</v>
      </c>
      <c r="D10">
        <v>4</v>
      </c>
      <c r="E10">
        <v>841014</v>
      </c>
      <c r="F10">
        <v>0</v>
      </c>
      <c r="G10">
        <v>0</v>
      </c>
      <c r="H10">
        <v>6</v>
      </c>
      <c r="I10">
        <v>139172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9</v>
      </c>
      <c r="BC10" s="1">
        <v>1701820</v>
      </c>
      <c r="BD10" t="s">
        <v>74</v>
      </c>
      <c r="BE10" t="s">
        <v>5803</v>
      </c>
      <c r="BF10" s="2" t="s">
        <v>5804</v>
      </c>
      <c r="BH10" t="s">
        <v>77</v>
      </c>
      <c r="BI10" t="s">
        <v>593</v>
      </c>
      <c r="BJ10" t="s">
        <v>79</v>
      </c>
      <c r="BM10">
        <v>0</v>
      </c>
      <c r="BN10">
        <v>2</v>
      </c>
      <c r="BO10">
        <v>2</v>
      </c>
      <c r="BP10" t="s">
        <v>80</v>
      </c>
      <c r="BR10">
        <v>0</v>
      </c>
      <c r="BS10">
        <v>6</v>
      </c>
      <c r="BU10" s="1">
        <v>980186</v>
      </c>
    </row>
    <row r="11" spans="1:73" x14ac:dyDescent="0.3">
      <c r="A11" t="s">
        <v>4911</v>
      </c>
      <c r="B11">
        <v>0</v>
      </c>
      <c r="C11">
        <v>0</v>
      </c>
      <c r="D11">
        <v>3</v>
      </c>
      <c r="E11">
        <v>2746270</v>
      </c>
      <c r="F11">
        <v>0</v>
      </c>
      <c r="G11">
        <v>0</v>
      </c>
      <c r="H11">
        <v>4</v>
      </c>
      <c r="I11">
        <v>92540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6</v>
      </c>
      <c r="BC11" s="1">
        <v>5492540</v>
      </c>
      <c r="BD11" t="s">
        <v>74</v>
      </c>
      <c r="BE11" t="s">
        <v>4912</v>
      </c>
      <c r="BF11" s="2" t="s">
        <v>4913</v>
      </c>
      <c r="BH11" t="s">
        <v>77</v>
      </c>
      <c r="BI11" t="s">
        <v>593</v>
      </c>
      <c r="BJ11" t="s">
        <v>79</v>
      </c>
      <c r="BM11">
        <v>0</v>
      </c>
      <c r="BN11">
        <v>2</v>
      </c>
      <c r="BO11">
        <v>2</v>
      </c>
      <c r="BP11" t="s">
        <v>80</v>
      </c>
      <c r="BR11">
        <v>0</v>
      </c>
      <c r="BS11">
        <v>6</v>
      </c>
      <c r="BU11" s="1">
        <v>2838810</v>
      </c>
    </row>
    <row r="12" spans="1:73" x14ac:dyDescent="0.3">
      <c r="A12" t="s">
        <v>5688</v>
      </c>
      <c r="B12">
        <v>4</v>
      </c>
      <c r="C12">
        <v>772058</v>
      </c>
      <c r="D12">
        <v>9</v>
      </c>
      <c r="E12">
        <v>4506169</v>
      </c>
      <c r="F12">
        <v>0</v>
      </c>
      <c r="G12">
        <v>0</v>
      </c>
      <c r="H12">
        <v>16</v>
      </c>
      <c r="I12">
        <v>372338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22</v>
      </c>
      <c r="BC12" s="1">
        <v>9784396</v>
      </c>
      <c r="BD12" t="s">
        <v>74</v>
      </c>
      <c r="BE12" t="s">
        <v>5689</v>
      </c>
      <c r="BF12" s="2" t="s">
        <v>5690</v>
      </c>
      <c r="BH12" t="s">
        <v>1464</v>
      </c>
      <c r="BI12" t="s">
        <v>2929</v>
      </c>
      <c r="BJ12" t="s">
        <v>125</v>
      </c>
      <c r="BM12">
        <v>0</v>
      </c>
      <c r="BN12">
        <v>3</v>
      </c>
      <c r="BO12">
        <v>3</v>
      </c>
      <c r="BP12" t="s">
        <v>80</v>
      </c>
      <c r="BR12">
        <v>0</v>
      </c>
      <c r="BS12">
        <v>5</v>
      </c>
      <c r="BU12" s="1">
        <v>5650565</v>
      </c>
    </row>
    <row r="13" spans="1:73" x14ac:dyDescent="0.3">
      <c r="A13" t="s">
        <v>5555</v>
      </c>
      <c r="B13">
        <v>13</v>
      </c>
      <c r="C13">
        <v>2737292</v>
      </c>
      <c r="D13">
        <v>8</v>
      </c>
      <c r="E13">
        <v>1823212</v>
      </c>
      <c r="F13">
        <v>0</v>
      </c>
      <c r="G13">
        <v>0</v>
      </c>
      <c r="H13">
        <v>14</v>
      </c>
      <c r="I13">
        <v>446424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29</v>
      </c>
      <c r="BC13" s="1">
        <v>6383716</v>
      </c>
      <c r="BD13" t="s">
        <v>74</v>
      </c>
      <c r="BE13" t="s">
        <v>5556</v>
      </c>
      <c r="BF13" s="2" t="s">
        <v>5557</v>
      </c>
      <c r="BH13" t="s">
        <v>1464</v>
      </c>
      <c r="BI13" t="s">
        <v>2929</v>
      </c>
      <c r="BJ13" t="s">
        <v>125</v>
      </c>
      <c r="BM13">
        <v>0</v>
      </c>
      <c r="BN13">
        <v>3</v>
      </c>
      <c r="BO13">
        <v>3</v>
      </c>
      <c r="BP13" t="s">
        <v>80</v>
      </c>
      <c r="BR13">
        <v>0</v>
      </c>
      <c r="BS13">
        <v>6</v>
      </c>
      <c r="BU13" s="1">
        <v>5006928</v>
      </c>
    </row>
    <row r="14" spans="1:73" x14ac:dyDescent="0.3">
      <c r="A14" t="s">
        <v>5613</v>
      </c>
      <c r="B14">
        <v>0</v>
      </c>
      <c r="C14">
        <v>0</v>
      </c>
      <c r="D14">
        <v>1</v>
      </c>
      <c r="E14">
        <v>2250000</v>
      </c>
      <c r="F14">
        <v>0</v>
      </c>
      <c r="G14">
        <v>0</v>
      </c>
      <c r="H14">
        <v>3</v>
      </c>
      <c r="I14">
        <v>63963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 s="1">
        <v>2313963</v>
      </c>
      <c r="BD14" t="s">
        <v>74</v>
      </c>
      <c r="BE14" t="s">
        <v>5614</v>
      </c>
      <c r="BF14" s="2" t="s">
        <v>5557</v>
      </c>
      <c r="BH14" t="s">
        <v>77</v>
      </c>
      <c r="BI14" t="s">
        <v>574</v>
      </c>
      <c r="BJ14" t="s">
        <v>79</v>
      </c>
      <c r="BM14">
        <v>0</v>
      </c>
      <c r="BN14">
        <v>2</v>
      </c>
      <c r="BO14">
        <v>2</v>
      </c>
      <c r="BP14" t="s">
        <v>80</v>
      </c>
      <c r="BR14">
        <v>0</v>
      </c>
      <c r="BS14">
        <v>6</v>
      </c>
      <c r="BU14" s="1">
        <v>2313963</v>
      </c>
    </row>
    <row r="15" spans="1:73" x14ac:dyDescent="0.3">
      <c r="A15" t="s">
        <v>3733</v>
      </c>
      <c r="B15">
        <v>9</v>
      </c>
      <c r="C15">
        <v>4649571</v>
      </c>
      <c r="D15">
        <v>5</v>
      </c>
      <c r="E15">
        <v>1761622</v>
      </c>
      <c r="F15">
        <v>0</v>
      </c>
      <c r="G15">
        <v>0</v>
      </c>
      <c r="H15">
        <v>8</v>
      </c>
      <c r="I15">
        <v>323244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19</v>
      </c>
      <c r="BC15" s="1">
        <v>8172815</v>
      </c>
      <c r="BD15" t="s">
        <v>74</v>
      </c>
      <c r="BE15" t="s">
        <v>3734</v>
      </c>
      <c r="BF15" s="2" t="s">
        <v>3735</v>
      </c>
      <c r="BH15" t="s">
        <v>1464</v>
      </c>
      <c r="BI15" t="s">
        <v>2320</v>
      </c>
      <c r="BJ15" t="s">
        <v>125</v>
      </c>
      <c r="BM15">
        <v>0</v>
      </c>
      <c r="BN15">
        <v>3</v>
      </c>
      <c r="BO15">
        <v>3</v>
      </c>
      <c r="BP15" t="s">
        <v>80</v>
      </c>
      <c r="BR15">
        <v>0</v>
      </c>
      <c r="BS15">
        <v>6</v>
      </c>
      <c r="BU15" s="1">
        <v>6734437</v>
      </c>
    </row>
    <row r="16" spans="1:73" x14ac:dyDescent="0.3">
      <c r="A16" t="s">
        <v>3760</v>
      </c>
      <c r="B16">
        <v>0</v>
      </c>
      <c r="C16">
        <v>0</v>
      </c>
      <c r="D16">
        <v>4</v>
      </c>
      <c r="E16">
        <v>3070774</v>
      </c>
      <c r="F16">
        <v>0</v>
      </c>
      <c r="G16">
        <v>0</v>
      </c>
      <c r="H16">
        <v>6</v>
      </c>
      <c r="I16">
        <v>141548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8</v>
      </c>
      <c r="BC16" s="1">
        <v>6141548</v>
      </c>
      <c r="BD16" t="s">
        <v>74</v>
      </c>
      <c r="BE16" t="s">
        <v>3761</v>
      </c>
      <c r="BF16" s="2" t="s">
        <v>3735</v>
      </c>
      <c r="BH16" t="s">
        <v>77</v>
      </c>
      <c r="BI16" t="s">
        <v>574</v>
      </c>
      <c r="BJ16" t="s">
        <v>79</v>
      </c>
      <c r="BM16">
        <v>0</v>
      </c>
      <c r="BN16">
        <v>2</v>
      </c>
      <c r="BO16">
        <v>2</v>
      </c>
      <c r="BP16" t="s">
        <v>80</v>
      </c>
      <c r="BR16">
        <v>0</v>
      </c>
      <c r="BS16">
        <v>6</v>
      </c>
      <c r="BU16" s="1">
        <v>3212322</v>
      </c>
    </row>
    <row r="17" spans="1:73" x14ac:dyDescent="0.3">
      <c r="A17" t="s">
        <v>5635</v>
      </c>
      <c r="B17">
        <v>3</v>
      </c>
      <c r="C17">
        <v>548186</v>
      </c>
      <c r="D17">
        <v>4</v>
      </c>
      <c r="E17">
        <v>1204647</v>
      </c>
      <c r="F17">
        <v>0</v>
      </c>
      <c r="G17">
        <v>0</v>
      </c>
      <c r="H17">
        <v>6</v>
      </c>
      <c r="I17">
        <v>169294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11</v>
      </c>
      <c r="BC17" s="1">
        <v>2957480</v>
      </c>
      <c r="BD17" t="s">
        <v>74</v>
      </c>
      <c r="BE17" t="s">
        <v>5636</v>
      </c>
      <c r="BF17" s="2" t="s">
        <v>3735</v>
      </c>
      <c r="BH17" t="s">
        <v>1464</v>
      </c>
      <c r="BI17" t="s">
        <v>2929</v>
      </c>
      <c r="BJ17" t="s">
        <v>125</v>
      </c>
      <c r="BM17">
        <v>0</v>
      </c>
      <c r="BN17">
        <v>3</v>
      </c>
      <c r="BO17">
        <v>3</v>
      </c>
      <c r="BP17" t="s">
        <v>80</v>
      </c>
      <c r="BR17">
        <v>0</v>
      </c>
      <c r="BS17">
        <v>6</v>
      </c>
      <c r="BU17" s="1">
        <v>1922127</v>
      </c>
    </row>
    <row r="18" spans="1:73" x14ac:dyDescent="0.3">
      <c r="A18" t="s">
        <v>3946</v>
      </c>
      <c r="B18">
        <v>0</v>
      </c>
      <c r="C18">
        <v>0</v>
      </c>
      <c r="D18">
        <v>4</v>
      </c>
      <c r="E18">
        <v>3006452</v>
      </c>
      <c r="F18">
        <v>0</v>
      </c>
      <c r="G18">
        <v>0</v>
      </c>
      <c r="H18">
        <v>6</v>
      </c>
      <c r="I18">
        <v>412904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8</v>
      </c>
      <c r="BC18" s="1">
        <v>6012904</v>
      </c>
      <c r="BD18" t="s">
        <v>74</v>
      </c>
      <c r="BE18" t="s">
        <v>3947</v>
      </c>
      <c r="BF18" s="2" t="s">
        <v>3948</v>
      </c>
      <c r="BH18" t="s">
        <v>77</v>
      </c>
      <c r="BI18" t="s">
        <v>574</v>
      </c>
      <c r="BJ18" t="s">
        <v>79</v>
      </c>
      <c r="BM18">
        <v>0</v>
      </c>
      <c r="BN18">
        <v>2</v>
      </c>
      <c r="BO18">
        <v>2</v>
      </c>
      <c r="BP18" t="s">
        <v>80</v>
      </c>
      <c r="BR18">
        <v>0</v>
      </c>
      <c r="BS18">
        <v>6</v>
      </c>
      <c r="BU18" s="1">
        <v>3419356</v>
      </c>
    </row>
    <row r="19" spans="1:73" x14ac:dyDescent="0.3">
      <c r="A19" t="s">
        <v>5796</v>
      </c>
      <c r="B19">
        <v>0</v>
      </c>
      <c r="C19">
        <v>0</v>
      </c>
      <c r="D19">
        <v>3</v>
      </c>
      <c r="E19">
        <v>4556214</v>
      </c>
      <c r="F19">
        <v>0</v>
      </c>
      <c r="G19">
        <v>0</v>
      </c>
      <c r="H19">
        <v>4</v>
      </c>
      <c r="I19">
        <v>112428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6</v>
      </c>
      <c r="BC19" s="1">
        <v>9112428</v>
      </c>
      <c r="BD19" t="s">
        <v>74</v>
      </c>
      <c r="BE19" t="s">
        <v>5797</v>
      </c>
      <c r="BF19" s="2" t="s">
        <v>5798</v>
      </c>
      <c r="BH19" t="s">
        <v>77</v>
      </c>
      <c r="BI19" t="s">
        <v>574</v>
      </c>
      <c r="BJ19" t="s">
        <v>79</v>
      </c>
      <c r="BM19">
        <v>0</v>
      </c>
      <c r="BN19">
        <v>2</v>
      </c>
      <c r="BO19">
        <v>2</v>
      </c>
      <c r="BP19" t="s">
        <v>80</v>
      </c>
      <c r="BR19">
        <v>0</v>
      </c>
      <c r="BS19">
        <v>6</v>
      </c>
      <c r="BU19" s="1">
        <v>4668642</v>
      </c>
    </row>
    <row r="20" spans="1:73" x14ac:dyDescent="0.3">
      <c r="A20" t="s">
        <v>3286</v>
      </c>
      <c r="B20">
        <v>0</v>
      </c>
      <c r="C20">
        <v>0</v>
      </c>
      <c r="D20">
        <v>8</v>
      </c>
      <c r="E20">
        <v>3162420</v>
      </c>
      <c r="F20">
        <v>0</v>
      </c>
      <c r="G20">
        <v>0</v>
      </c>
      <c r="H20">
        <v>14</v>
      </c>
      <c r="I20">
        <v>724840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16</v>
      </c>
      <c r="BC20" s="1">
        <v>6324840</v>
      </c>
      <c r="BD20" t="s">
        <v>74</v>
      </c>
      <c r="BE20" t="s">
        <v>3287</v>
      </c>
      <c r="BF20" s="2" t="s">
        <v>3288</v>
      </c>
      <c r="BH20" t="s">
        <v>77</v>
      </c>
      <c r="BI20" t="s">
        <v>574</v>
      </c>
      <c r="BJ20" t="s">
        <v>79</v>
      </c>
      <c r="BM20">
        <v>0</v>
      </c>
      <c r="BN20">
        <v>2</v>
      </c>
      <c r="BO20">
        <v>2</v>
      </c>
      <c r="BP20" t="s">
        <v>80</v>
      </c>
      <c r="BR20">
        <v>0</v>
      </c>
      <c r="BS20">
        <v>6</v>
      </c>
      <c r="BU20" s="1">
        <v>3887260</v>
      </c>
    </row>
    <row r="21" spans="1:73" x14ac:dyDescent="0.3">
      <c r="A21" t="s">
        <v>3357</v>
      </c>
      <c r="B21">
        <v>0</v>
      </c>
      <c r="C21">
        <v>0</v>
      </c>
      <c r="D21">
        <v>1</v>
      </c>
      <c r="E21">
        <v>1440000</v>
      </c>
      <c r="F21">
        <v>0</v>
      </c>
      <c r="G21">
        <v>0</v>
      </c>
      <c r="H21">
        <v>1</v>
      </c>
      <c r="I21">
        <v>20000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 s="1">
        <v>1460000</v>
      </c>
      <c r="BD21" t="s">
        <v>74</v>
      </c>
      <c r="BE21" t="s">
        <v>3358</v>
      </c>
      <c r="BF21" s="2" t="s">
        <v>3288</v>
      </c>
      <c r="BH21" t="s">
        <v>77</v>
      </c>
      <c r="BI21" t="s">
        <v>574</v>
      </c>
      <c r="BJ21" t="s">
        <v>79</v>
      </c>
      <c r="BM21">
        <v>0</v>
      </c>
      <c r="BN21">
        <v>2</v>
      </c>
      <c r="BO21">
        <v>2</v>
      </c>
      <c r="BP21" t="s">
        <v>80</v>
      </c>
      <c r="BR21">
        <v>0</v>
      </c>
      <c r="BS21">
        <v>6</v>
      </c>
      <c r="BU21" s="1">
        <v>1460000</v>
      </c>
    </row>
    <row r="22" spans="1:73" x14ac:dyDescent="0.3">
      <c r="A22" t="s">
        <v>3359</v>
      </c>
      <c r="B22">
        <v>0</v>
      </c>
      <c r="C22">
        <v>0</v>
      </c>
      <c r="D22">
        <v>9</v>
      </c>
      <c r="E22">
        <v>5041266</v>
      </c>
      <c r="F22">
        <v>0</v>
      </c>
      <c r="G22">
        <v>0</v>
      </c>
      <c r="H22">
        <v>16</v>
      </c>
      <c r="I22">
        <v>482532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73535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20</v>
      </c>
      <c r="BC22" s="1">
        <v>10229602</v>
      </c>
      <c r="BD22" t="s">
        <v>74</v>
      </c>
      <c r="BE22" t="s">
        <v>3360</v>
      </c>
      <c r="BF22" s="2" t="s">
        <v>3288</v>
      </c>
      <c r="BH22" t="s">
        <v>77</v>
      </c>
      <c r="BI22" t="s">
        <v>574</v>
      </c>
      <c r="BJ22" t="s">
        <v>79</v>
      </c>
      <c r="BM22">
        <v>1</v>
      </c>
      <c r="BN22">
        <v>2</v>
      </c>
      <c r="BO22">
        <v>3</v>
      </c>
      <c r="BP22" t="s">
        <v>80</v>
      </c>
      <c r="BR22">
        <v>0</v>
      </c>
      <c r="BS22">
        <v>5</v>
      </c>
      <c r="BU22" s="1">
        <v>5597333</v>
      </c>
    </row>
    <row r="23" spans="1:73" x14ac:dyDescent="0.3">
      <c r="A23" t="s">
        <v>3367</v>
      </c>
      <c r="B23">
        <v>0</v>
      </c>
      <c r="C23">
        <v>0</v>
      </c>
      <c r="D23">
        <v>3</v>
      </c>
      <c r="E23">
        <v>1640089</v>
      </c>
      <c r="F23">
        <v>0</v>
      </c>
      <c r="G23">
        <v>0</v>
      </c>
      <c r="H23">
        <v>4</v>
      </c>
      <c r="I23">
        <v>80178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6</v>
      </c>
      <c r="BC23" s="1">
        <v>3280178</v>
      </c>
      <c r="BD23" t="s">
        <v>74</v>
      </c>
      <c r="BE23" t="s">
        <v>3368</v>
      </c>
      <c r="BF23" s="2" t="s">
        <v>3288</v>
      </c>
      <c r="BH23" t="s">
        <v>77</v>
      </c>
      <c r="BI23" t="s">
        <v>574</v>
      </c>
      <c r="BJ23" t="s">
        <v>79</v>
      </c>
      <c r="BM23">
        <v>0</v>
      </c>
      <c r="BN23">
        <v>2</v>
      </c>
      <c r="BO23">
        <v>2</v>
      </c>
      <c r="BP23" t="s">
        <v>80</v>
      </c>
      <c r="BR23">
        <v>0</v>
      </c>
      <c r="BS23">
        <v>6</v>
      </c>
      <c r="BU23" s="1">
        <v>1720267</v>
      </c>
    </row>
    <row r="24" spans="1:73" x14ac:dyDescent="0.3">
      <c r="A24" t="s">
        <v>3518</v>
      </c>
      <c r="B24">
        <v>0</v>
      </c>
      <c r="C24">
        <v>0</v>
      </c>
      <c r="D24">
        <v>2</v>
      </c>
      <c r="E24">
        <v>1196000</v>
      </c>
      <c r="F24">
        <v>0</v>
      </c>
      <c r="G24">
        <v>0</v>
      </c>
      <c r="H24">
        <v>2</v>
      </c>
      <c r="I24">
        <v>40000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  <c r="BC24" s="1">
        <v>2392000</v>
      </c>
      <c r="BD24" t="s">
        <v>74</v>
      </c>
      <c r="BE24" t="s">
        <v>3519</v>
      </c>
      <c r="BF24" s="2" t="s">
        <v>3288</v>
      </c>
      <c r="BH24" t="s">
        <v>77</v>
      </c>
      <c r="BI24" t="s">
        <v>574</v>
      </c>
      <c r="BJ24" t="s">
        <v>79</v>
      </c>
      <c r="BM24">
        <v>0</v>
      </c>
      <c r="BN24">
        <v>2</v>
      </c>
      <c r="BO24">
        <v>2</v>
      </c>
      <c r="BP24" t="s">
        <v>80</v>
      </c>
      <c r="BR24">
        <v>0</v>
      </c>
      <c r="BS24">
        <v>6</v>
      </c>
      <c r="BU24" s="1">
        <v>1236000</v>
      </c>
    </row>
    <row r="25" spans="1:73" x14ac:dyDescent="0.3">
      <c r="A25" t="s">
        <v>3108</v>
      </c>
      <c r="B25">
        <v>0</v>
      </c>
      <c r="C25">
        <v>0</v>
      </c>
      <c r="D25">
        <v>8</v>
      </c>
      <c r="E25">
        <v>1871702</v>
      </c>
      <c r="F25">
        <v>0</v>
      </c>
      <c r="G25">
        <v>0</v>
      </c>
      <c r="H25">
        <v>14</v>
      </c>
      <c r="I25">
        <v>543404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333334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17</v>
      </c>
      <c r="BC25" s="1">
        <v>4076738</v>
      </c>
      <c r="BD25" t="s">
        <v>74</v>
      </c>
      <c r="BE25" t="s">
        <v>3109</v>
      </c>
      <c r="BF25" s="2" t="s">
        <v>3110</v>
      </c>
      <c r="BH25" t="s">
        <v>77</v>
      </c>
      <c r="BI25" t="s">
        <v>574</v>
      </c>
      <c r="BJ25" t="s">
        <v>79</v>
      </c>
      <c r="BM25">
        <v>1</v>
      </c>
      <c r="BN25">
        <v>2</v>
      </c>
      <c r="BO25">
        <v>3</v>
      </c>
      <c r="BP25" t="s">
        <v>80</v>
      </c>
      <c r="BR25">
        <v>0</v>
      </c>
      <c r="BS25">
        <v>6</v>
      </c>
      <c r="BU25" s="1">
        <v>2748440</v>
      </c>
    </row>
    <row r="26" spans="1:73" x14ac:dyDescent="0.3">
      <c r="A26" t="s">
        <v>3878</v>
      </c>
      <c r="B26">
        <v>0</v>
      </c>
      <c r="C26">
        <v>0</v>
      </c>
      <c r="D26">
        <v>4</v>
      </c>
      <c r="E26">
        <v>2616588</v>
      </c>
      <c r="F26">
        <v>0</v>
      </c>
      <c r="G26">
        <v>0</v>
      </c>
      <c r="H26">
        <v>6</v>
      </c>
      <c r="I26">
        <v>193176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73535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20000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11</v>
      </c>
      <c r="BC26" s="1">
        <v>5400246</v>
      </c>
      <c r="BD26" t="s">
        <v>74</v>
      </c>
      <c r="BE26" t="s">
        <v>3879</v>
      </c>
      <c r="BF26" s="2" t="s">
        <v>3880</v>
      </c>
      <c r="BH26" t="s">
        <v>77</v>
      </c>
      <c r="BI26" t="s">
        <v>593</v>
      </c>
      <c r="BJ26" t="s">
        <v>79</v>
      </c>
      <c r="BM26">
        <v>2</v>
      </c>
      <c r="BN26">
        <v>2</v>
      </c>
      <c r="BO26">
        <v>4</v>
      </c>
      <c r="BP26" t="s">
        <v>80</v>
      </c>
      <c r="BR26">
        <v>0</v>
      </c>
      <c r="BS26">
        <v>6</v>
      </c>
      <c r="BU26" s="1">
        <v>2903299</v>
      </c>
    </row>
    <row r="27" spans="1:73" x14ac:dyDescent="0.3">
      <c r="A27" t="s">
        <v>3105</v>
      </c>
      <c r="B27">
        <v>0</v>
      </c>
      <c r="C27">
        <v>0</v>
      </c>
      <c r="D27">
        <v>9</v>
      </c>
      <c r="E27">
        <v>4760056</v>
      </c>
      <c r="F27">
        <v>0</v>
      </c>
      <c r="G27">
        <v>0</v>
      </c>
      <c r="H27">
        <v>14</v>
      </c>
      <c r="I27">
        <v>320112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18</v>
      </c>
      <c r="BC27" s="1">
        <v>9520112</v>
      </c>
      <c r="BD27" t="s">
        <v>74</v>
      </c>
      <c r="BE27" t="s">
        <v>3106</v>
      </c>
      <c r="BF27" s="2" t="s">
        <v>3107</v>
      </c>
      <c r="BH27" t="s">
        <v>77</v>
      </c>
      <c r="BI27" t="s">
        <v>574</v>
      </c>
      <c r="BJ27" t="s">
        <v>79</v>
      </c>
      <c r="BM27">
        <v>0</v>
      </c>
      <c r="BN27">
        <v>2</v>
      </c>
      <c r="BO27">
        <v>2</v>
      </c>
      <c r="BP27" t="s">
        <v>80</v>
      </c>
      <c r="BR27">
        <v>0</v>
      </c>
      <c r="BS27">
        <v>6</v>
      </c>
      <c r="BU27" s="1">
        <v>5080168</v>
      </c>
    </row>
    <row r="28" spans="1:73" x14ac:dyDescent="0.3">
      <c r="A28" t="s">
        <v>3196</v>
      </c>
      <c r="B28">
        <v>0</v>
      </c>
      <c r="C28">
        <v>0</v>
      </c>
      <c r="D28">
        <v>6</v>
      </c>
      <c r="E28">
        <v>3322547</v>
      </c>
      <c r="F28">
        <v>0</v>
      </c>
      <c r="G28">
        <v>0</v>
      </c>
      <c r="H28">
        <v>10</v>
      </c>
      <c r="I28">
        <v>645094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12</v>
      </c>
      <c r="BC28" s="1">
        <v>6645094</v>
      </c>
      <c r="BD28" t="s">
        <v>74</v>
      </c>
      <c r="BE28" t="s">
        <v>3197</v>
      </c>
      <c r="BF28" s="2" t="s">
        <v>3198</v>
      </c>
      <c r="BH28" t="s">
        <v>77</v>
      </c>
      <c r="BI28" t="s">
        <v>574</v>
      </c>
      <c r="BJ28" t="s">
        <v>79</v>
      </c>
      <c r="BM28">
        <v>0</v>
      </c>
      <c r="BN28">
        <v>2</v>
      </c>
      <c r="BO28">
        <v>2</v>
      </c>
      <c r="BP28" t="s">
        <v>80</v>
      </c>
      <c r="BR28">
        <v>0</v>
      </c>
      <c r="BS28">
        <v>6</v>
      </c>
      <c r="BU28" s="1">
        <v>3967641</v>
      </c>
    </row>
    <row r="29" spans="1:73" x14ac:dyDescent="0.3">
      <c r="A29" t="s">
        <v>4241</v>
      </c>
      <c r="B29">
        <v>3</v>
      </c>
      <c r="C29">
        <v>564832</v>
      </c>
      <c r="D29">
        <v>3</v>
      </c>
      <c r="E29">
        <v>907677</v>
      </c>
      <c r="F29">
        <v>0</v>
      </c>
      <c r="G29">
        <v>0</v>
      </c>
      <c r="H29">
        <v>6</v>
      </c>
      <c r="I29">
        <v>175354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11</v>
      </c>
      <c r="BC29" s="1">
        <v>2420186</v>
      </c>
      <c r="BD29" t="s">
        <v>74</v>
      </c>
      <c r="BE29" t="s">
        <v>4242</v>
      </c>
      <c r="BF29" s="2" t="s">
        <v>4243</v>
      </c>
      <c r="BH29" t="s">
        <v>1464</v>
      </c>
      <c r="BI29" t="s">
        <v>2929</v>
      </c>
      <c r="BJ29" t="s">
        <v>125</v>
      </c>
      <c r="BM29">
        <v>0</v>
      </c>
      <c r="BN29">
        <v>3</v>
      </c>
      <c r="BO29">
        <v>3</v>
      </c>
      <c r="BP29" t="s">
        <v>80</v>
      </c>
      <c r="BR29">
        <v>0</v>
      </c>
      <c r="BS29">
        <v>6</v>
      </c>
      <c r="BU29" s="1">
        <v>1647863</v>
      </c>
    </row>
    <row r="30" spans="1:73" x14ac:dyDescent="0.3">
      <c r="A30" t="s">
        <v>5867</v>
      </c>
      <c r="B30">
        <v>0</v>
      </c>
      <c r="C30">
        <v>0</v>
      </c>
      <c r="D30">
        <v>3</v>
      </c>
      <c r="E30">
        <v>469091</v>
      </c>
      <c r="F30">
        <v>0</v>
      </c>
      <c r="G30">
        <v>0</v>
      </c>
      <c r="H30">
        <v>4</v>
      </c>
      <c r="I30">
        <v>80000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6</v>
      </c>
      <c r="BC30" s="1">
        <v>938182</v>
      </c>
      <c r="BD30" t="s">
        <v>74</v>
      </c>
      <c r="BE30" t="s">
        <v>5868</v>
      </c>
      <c r="BF30" s="2" t="s">
        <v>5869</v>
      </c>
      <c r="BH30" t="s">
        <v>77</v>
      </c>
      <c r="BI30" t="s">
        <v>593</v>
      </c>
      <c r="BJ30" t="s">
        <v>79</v>
      </c>
      <c r="BM30">
        <v>0</v>
      </c>
      <c r="BN30">
        <v>2</v>
      </c>
      <c r="BO30">
        <v>2</v>
      </c>
      <c r="BP30" t="s">
        <v>80</v>
      </c>
      <c r="BR30">
        <v>0</v>
      </c>
      <c r="BS30">
        <v>6</v>
      </c>
      <c r="BU30" s="1">
        <v>549091</v>
      </c>
    </row>
    <row r="31" spans="1:73" x14ac:dyDescent="0.3">
      <c r="A31" t="s">
        <v>1132</v>
      </c>
      <c r="B31">
        <v>0</v>
      </c>
      <c r="C31">
        <v>0</v>
      </c>
      <c r="D31">
        <v>1</v>
      </c>
      <c r="E31">
        <v>230857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 s="1">
        <v>230857</v>
      </c>
      <c r="BD31" t="s">
        <v>74</v>
      </c>
      <c r="BE31" t="s">
        <v>1133</v>
      </c>
      <c r="BF31" s="2" t="s">
        <v>1134</v>
      </c>
      <c r="BH31" t="s">
        <v>77</v>
      </c>
      <c r="BI31" t="s">
        <v>574</v>
      </c>
      <c r="BJ31" t="s">
        <v>79</v>
      </c>
      <c r="BM31">
        <v>0</v>
      </c>
      <c r="BN31">
        <v>1</v>
      </c>
      <c r="BO31">
        <v>1</v>
      </c>
      <c r="BP31" t="s">
        <v>80</v>
      </c>
      <c r="BR31">
        <v>0</v>
      </c>
      <c r="BS31">
        <v>6</v>
      </c>
      <c r="BU31" s="1">
        <v>230857</v>
      </c>
    </row>
    <row r="32" spans="1:73" x14ac:dyDescent="0.3">
      <c r="A32" t="s">
        <v>1090</v>
      </c>
      <c r="B32">
        <v>0</v>
      </c>
      <c r="C32">
        <v>0</v>
      </c>
      <c r="D32">
        <v>1</v>
      </c>
      <c r="E32">
        <v>144000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 s="1">
        <v>144000</v>
      </c>
      <c r="BD32" t="s">
        <v>74</v>
      </c>
      <c r="BE32" t="s">
        <v>1091</v>
      </c>
      <c r="BF32" s="2" t="s">
        <v>1092</v>
      </c>
      <c r="BH32" t="s">
        <v>77</v>
      </c>
      <c r="BI32" t="s">
        <v>574</v>
      </c>
      <c r="BJ32" t="s">
        <v>79</v>
      </c>
      <c r="BM32">
        <v>0</v>
      </c>
      <c r="BN32">
        <v>1</v>
      </c>
      <c r="BO32">
        <v>1</v>
      </c>
      <c r="BP32" t="s">
        <v>80</v>
      </c>
      <c r="BR32">
        <v>0</v>
      </c>
      <c r="BS32">
        <v>6</v>
      </c>
      <c r="BU32" s="1">
        <v>144000</v>
      </c>
    </row>
    <row r="33" spans="1:73" x14ac:dyDescent="0.3">
      <c r="A33" t="s">
        <v>1673</v>
      </c>
      <c r="B33">
        <v>0</v>
      </c>
      <c r="C33">
        <v>0</v>
      </c>
      <c r="D33">
        <v>21</v>
      </c>
      <c r="E33">
        <v>4795061</v>
      </c>
      <c r="F33">
        <v>0</v>
      </c>
      <c r="G33">
        <v>0</v>
      </c>
      <c r="H33">
        <v>42</v>
      </c>
      <c r="I33">
        <v>990122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73535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46</v>
      </c>
      <c r="BC33" s="1">
        <v>9782242</v>
      </c>
      <c r="BD33" t="s">
        <v>74</v>
      </c>
      <c r="BE33" t="s">
        <v>1674</v>
      </c>
      <c r="BF33" s="2" t="s">
        <v>1675</v>
      </c>
      <c r="BH33" t="s">
        <v>77</v>
      </c>
      <c r="BI33" t="s">
        <v>574</v>
      </c>
      <c r="BJ33" t="s">
        <v>79</v>
      </c>
      <c r="BM33">
        <v>1</v>
      </c>
      <c r="BN33">
        <v>2</v>
      </c>
      <c r="BO33">
        <v>3</v>
      </c>
      <c r="BP33" t="s">
        <v>80</v>
      </c>
      <c r="BR33">
        <v>0</v>
      </c>
      <c r="BS33">
        <v>6</v>
      </c>
      <c r="BU33" s="1">
        <v>5858718</v>
      </c>
    </row>
    <row r="34" spans="1:73" x14ac:dyDescent="0.3">
      <c r="A34" t="s">
        <v>3448</v>
      </c>
      <c r="B34">
        <v>0</v>
      </c>
      <c r="C34">
        <v>0</v>
      </c>
      <c r="D34">
        <v>6</v>
      </c>
      <c r="E34">
        <v>1989541</v>
      </c>
      <c r="F34">
        <v>0</v>
      </c>
      <c r="G34">
        <v>0</v>
      </c>
      <c r="H34">
        <v>10</v>
      </c>
      <c r="I34">
        <v>379082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12</v>
      </c>
      <c r="BC34" s="1">
        <v>3979082</v>
      </c>
      <c r="BD34" t="s">
        <v>74</v>
      </c>
      <c r="BE34" t="s">
        <v>3449</v>
      </c>
      <c r="BF34" s="2" t="s">
        <v>1675</v>
      </c>
      <c r="BH34" t="s">
        <v>77</v>
      </c>
      <c r="BI34" t="s">
        <v>574</v>
      </c>
      <c r="BJ34" t="s">
        <v>79</v>
      </c>
      <c r="BM34">
        <v>0</v>
      </c>
      <c r="BN34">
        <v>2</v>
      </c>
      <c r="BO34">
        <v>2</v>
      </c>
      <c r="BP34" t="s">
        <v>80</v>
      </c>
      <c r="BR34">
        <v>0</v>
      </c>
      <c r="BS34">
        <v>6</v>
      </c>
      <c r="BU34" s="1">
        <v>2368623</v>
      </c>
    </row>
    <row r="35" spans="1:73" x14ac:dyDescent="0.3">
      <c r="A35" t="s">
        <v>5481</v>
      </c>
      <c r="B35">
        <v>0</v>
      </c>
      <c r="C35">
        <v>0</v>
      </c>
      <c r="D35">
        <v>3</v>
      </c>
      <c r="E35">
        <v>1076564</v>
      </c>
      <c r="F35">
        <v>0</v>
      </c>
      <c r="G35">
        <v>0</v>
      </c>
      <c r="H35">
        <v>4</v>
      </c>
      <c r="I35">
        <v>153128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</v>
      </c>
      <c r="BC35" s="1">
        <v>2153128</v>
      </c>
      <c r="BD35" t="s">
        <v>74</v>
      </c>
      <c r="BE35" t="s">
        <v>5482</v>
      </c>
      <c r="BF35" s="2" t="s">
        <v>5483</v>
      </c>
      <c r="BH35" t="s">
        <v>77</v>
      </c>
      <c r="BI35" t="s">
        <v>574</v>
      </c>
      <c r="BJ35" t="s">
        <v>79</v>
      </c>
      <c r="BM35">
        <v>0</v>
      </c>
      <c r="BN35">
        <v>2</v>
      </c>
      <c r="BO35">
        <v>2</v>
      </c>
      <c r="BP35" t="s">
        <v>80</v>
      </c>
      <c r="BR35">
        <v>0</v>
      </c>
      <c r="BS35">
        <v>6</v>
      </c>
      <c r="BU35" s="1">
        <v>1229692</v>
      </c>
    </row>
    <row r="36" spans="1:73" x14ac:dyDescent="0.3">
      <c r="A36" t="s">
        <v>4415</v>
      </c>
      <c r="B36">
        <v>0</v>
      </c>
      <c r="C36">
        <v>0</v>
      </c>
      <c r="D36">
        <v>4</v>
      </c>
      <c r="E36">
        <v>1149005</v>
      </c>
      <c r="F36">
        <v>0</v>
      </c>
      <c r="G36">
        <v>0</v>
      </c>
      <c r="H36">
        <v>6</v>
      </c>
      <c r="I36">
        <v>298010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</v>
      </c>
      <c r="BC36" s="1">
        <v>2298010</v>
      </c>
      <c r="BD36" t="s">
        <v>74</v>
      </c>
      <c r="BE36" t="s">
        <v>4416</v>
      </c>
      <c r="BF36" s="10" t="s">
        <v>4417</v>
      </c>
      <c r="BH36" t="s">
        <v>77</v>
      </c>
      <c r="BI36" t="s">
        <v>593</v>
      </c>
      <c r="BJ36" t="s">
        <v>79</v>
      </c>
      <c r="BM36">
        <v>0</v>
      </c>
      <c r="BN36">
        <v>2</v>
      </c>
      <c r="BO36">
        <v>2</v>
      </c>
      <c r="BP36" t="s">
        <v>80</v>
      </c>
      <c r="BR36">
        <v>0</v>
      </c>
      <c r="BS36">
        <v>6</v>
      </c>
      <c r="BU36" s="1">
        <v>1447015</v>
      </c>
    </row>
    <row r="37" spans="1:73" x14ac:dyDescent="0.3">
      <c r="A37" t="s">
        <v>963</v>
      </c>
      <c r="B37">
        <v>0</v>
      </c>
      <c r="C37">
        <v>0</v>
      </c>
      <c r="D37">
        <v>1</v>
      </c>
      <c r="E37">
        <v>1000000</v>
      </c>
      <c r="F37">
        <v>0</v>
      </c>
      <c r="G37">
        <v>0</v>
      </c>
      <c r="H37">
        <v>8</v>
      </c>
      <c r="I37">
        <v>160000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73535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12</v>
      </c>
      <c r="BC37" s="1">
        <v>1403509</v>
      </c>
      <c r="BD37" t="s">
        <v>74</v>
      </c>
      <c r="BE37" t="s">
        <v>964</v>
      </c>
      <c r="BF37" s="10" t="s">
        <v>965</v>
      </c>
      <c r="BH37" t="s">
        <v>77</v>
      </c>
      <c r="BI37" t="s">
        <v>593</v>
      </c>
      <c r="BJ37" t="s">
        <v>79</v>
      </c>
      <c r="BM37">
        <v>1</v>
      </c>
      <c r="BN37">
        <v>2</v>
      </c>
      <c r="BO37">
        <v>3</v>
      </c>
      <c r="BP37" t="s">
        <v>80</v>
      </c>
      <c r="BR37">
        <v>0</v>
      </c>
      <c r="BS37">
        <v>6</v>
      </c>
      <c r="BU37" s="1">
        <v>1233535</v>
      </c>
    </row>
    <row r="38" spans="1:73" x14ac:dyDescent="0.3">
      <c r="A38" t="s">
        <v>3762</v>
      </c>
      <c r="B38">
        <v>0</v>
      </c>
      <c r="C38">
        <v>0</v>
      </c>
      <c r="D38">
        <v>4</v>
      </c>
      <c r="E38">
        <v>984795</v>
      </c>
      <c r="F38">
        <v>0</v>
      </c>
      <c r="G38">
        <v>0</v>
      </c>
      <c r="H38">
        <v>6</v>
      </c>
      <c r="I38">
        <v>255304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</v>
      </c>
      <c r="BC38" s="1">
        <v>1969590</v>
      </c>
      <c r="BD38" t="s">
        <v>74</v>
      </c>
      <c r="BE38" t="s">
        <v>3763</v>
      </c>
      <c r="BF38" s="10" t="s">
        <v>3764</v>
      </c>
      <c r="BH38" t="s">
        <v>77</v>
      </c>
      <c r="BI38" t="s">
        <v>593</v>
      </c>
      <c r="BJ38" t="s">
        <v>79</v>
      </c>
      <c r="BM38">
        <v>0</v>
      </c>
      <c r="BN38">
        <v>2</v>
      </c>
      <c r="BO38">
        <v>2</v>
      </c>
      <c r="BP38" t="s">
        <v>80</v>
      </c>
      <c r="BR38">
        <v>0</v>
      </c>
      <c r="BS38">
        <v>6</v>
      </c>
      <c r="BU38" s="1">
        <v>1240099</v>
      </c>
    </row>
    <row r="39" spans="1:73" x14ac:dyDescent="0.3">
      <c r="A39" t="s">
        <v>4143</v>
      </c>
      <c r="B39">
        <v>0</v>
      </c>
      <c r="C39">
        <v>0</v>
      </c>
      <c r="D39">
        <v>2</v>
      </c>
      <c r="E39">
        <v>5625771</v>
      </c>
      <c r="F39">
        <v>0</v>
      </c>
      <c r="G39">
        <v>0</v>
      </c>
      <c r="H39">
        <v>2</v>
      </c>
      <c r="I39">
        <v>51542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</v>
      </c>
      <c r="BC39" s="1">
        <v>11251542</v>
      </c>
      <c r="BD39" t="s">
        <v>74</v>
      </c>
      <c r="BE39" t="s">
        <v>4144</v>
      </c>
      <c r="BF39" s="10" t="s">
        <v>4145</v>
      </c>
      <c r="BH39" t="s">
        <v>77</v>
      </c>
      <c r="BI39" t="s">
        <v>593</v>
      </c>
      <c r="BJ39" t="s">
        <v>79</v>
      </c>
      <c r="BM39">
        <v>0</v>
      </c>
      <c r="BN39">
        <v>2</v>
      </c>
      <c r="BO39">
        <v>2</v>
      </c>
      <c r="BP39" t="s">
        <v>80</v>
      </c>
      <c r="BR39">
        <v>0</v>
      </c>
      <c r="BS39">
        <v>5</v>
      </c>
      <c r="BU39" s="1">
        <v>5677313</v>
      </c>
    </row>
    <row r="40" spans="1:73" x14ac:dyDescent="0.3">
      <c r="A40" t="s">
        <v>5577</v>
      </c>
      <c r="B40">
        <v>0</v>
      </c>
      <c r="C40">
        <v>0</v>
      </c>
      <c r="D40">
        <v>3</v>
      </c>
      <c r="E40">
        <v>1683482</v>
      </c>
      <c r="F40">
        <v>0</v>
      </c>
      <c r="G40">
        <v>0</v>
      </c>
      <c r="H40">
        <v>4</v>
      </c>
      <c r="I40">
        <v>152678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6</v>
      </c>
      <c r="BC40" s="1">
        <v>3366964</v>
      </c>
      <c r="BD40" t="s">
        <v>74</v>
      </c>
      <c r="BE40" t="s">
        <v>5578</v>
      </c>
      <c r="BF40" s="10" t="s">
        <v>5579</v>
      </c>
      <c r="BH40" t="s">
        <v>77</v>
      </c>
      <c r="BI40" t="s">
        <v>593</v>
      </c>
      <c r="BJ40" t="s">
        <v>79</v>
      </c>
      <c r="BM40">
        <v>0</v>
      </c>
      <c r="BN40">
        <v>2</v>
      </c>
      <c r="BO40">
        <v>2</v>
      </c>
      <c r="BP40" t="s">
        <v>80</v>
      </c>
      <c r="BR40">
        <v>0</v>
      </c>
      <c r="BS40">
        <v>6</v>
      </c>
      <c r="BU40" s="1">
        <v>1836160</v>
      </c>
    </row>
    <row r="41" spans="1:73" x14ac:dyDescent="0.3">
      <c r="A41" t="s">
        <v>3843</v>
      </c>
      <c r="B41">
        <v>0</v>
      </c>
      <c r="C41">
        <v>0</v>
      </c>
      <c r="D41">
        <v>4</v>
      </c>
      <c r="E41">
        <v>223636</v>
      </c>
      <c r="F41">
        <v>0</v>
      </c>
      <c r="G41">
        <v>0</v>
      </c>
      <c r="H41">
        <v>6</v>
      </c>
      <c r="I41">
        <v>120000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8</v>
      </c>
      <c r="BC41" s="1">
        <v>447272</v>
      </c>
      <c r="BD41" t="s">
        <v>74</v>
      </c>
      <c r="BE41" t="s">
        <v>3844</v>
      </c>
      <c r="BF41" s="10" t="s">
        <v>3845</v>
      </c>
      <c r="BH41" t="s">
        <v>77</v>
      </c>
      <c r="BI41" t="s">
        <v>593</v>
      </c>
      <c r="BJ41" t="s">
        <v>79</v>
      </c>
      <c r="BM41">
        <v>0</v>
      </c>
      <c r="BN41">
        <v>2</v>
      </c>
      <c r="BO41">
        <v>2</v>
      </c>
      <c r="BP41" t="s">
        <v>80</v>
      </c>
      <c r="BR41">
        <v>0</v>
      </c>
      <c r="BS41">
        <v>6</v>
      </c>
      <c r="BU41" s="1">
        <v>343636</v>
      </c>
    </row>
    <row r="42" spans="1:73" x14ac:dyDescent="0.3">
      <c r="A42" t="s">
        <v>4807</v>
      </c>
      <c r="B42">
        <v>0</v>
      </c>
      <c r="C42">
        <v>0</v>
      </c>
      <c r="D42">
        <v>1</v>
      </c>
      <c r="E42">
        <v>428571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</v>
      </c>
      <c r="BC42" s="1">
        <v>857142</v>
      </c>
      <c r="BD42" t="s">
        <v>74</v>
      </c>
      <c r="BE42" t="s">
        <v>4808</v>
      </c>
      <c r="BF42" s="10" t="s">
        <v>4809</v>
      </c>
      <c r="BH42" t="s">
        <v>77</v>
      </c>
      <c r="BI42" t="s">
        <v>593</v>
      </c>
      <c r="BJ42" t="s">
        <v>79</v>
      </c>
      <c r="BM42">
        <v>0</v>
      </c>
      <c r="BN42">
        <v>1</v>
      </c>
      <c r="BO42">
        <v>1</v>
      </c>
      <c r="BP42" t="s">
        <v>80</v>
      </c>
      <c r="BR42">
        <v>0</v>
      </c>
      <c r="BS42">
        <v>6</v>
      </c>
      <c r="BU42" s="1">
        <v>428571</v>
      </c>
    </row>
    <row r="43" spans="1:73" x14ac:dyDescent="0.3">
      <c r="A43" t="s">
        <v>4846</v>
      </c>
      <c r="B43">
        <v>0</v>
      </c>
      <c r="C43">
        <v>0</v>
      </c>
      <c r="D43">
        <v>1</v>
      </c>
      <c r="E43">
        <v>1000000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</v>
      </c>
      <c r="BC43" s="1">
        <v>2000000</v>
      </c>
      <c r="BD43" t="s">
        <v>74</v>
      </c>
      <c r="BE43" t="s">
        <v>4847</v>
      </c>
      <c r="BF43" s="10" t="s">
        <v>4848</v>
      </c>
      <c r="BH43" t="s">
        <v>77</v>
      </c>
      <c r="BI43" t="s">
        <v>593</v>
      </c>
      <c r="BJ43" t="s">
        <v>79</v>
      </c>
      <c r="BM43">
        <v>0</v>
      </c>
      <c r="BN43">
        <v>1</v>
      </c>
      <c r="BO43">
        <v>1</v>
      </c>
      <c r="BP43" t="s">
        <v>80</v>
      </c>
      <c r="BR43">
        <v>0</v>
      </c>
      <c r="BS43">
        <v>6</v>
      </c>
      <c r="BU43" s="1">
        <v>1000000</v>
      </c>
    </row>
    <row r="44" spans="1:73" x14ac:dyDescent="0.3">
      <c r="A44" t="s">
        <v>4369</v>
      </c>
      <c r="B44">
        <v>0</v>
      </c>
      <c r="C44">
        <v>0</v>
      </c>
      <c r="D44">
        <v>5</v>
      </c>
      <c r="E44">
        <v>2191000</v>
      </c>
      <c r="F44">
        <v>0</v>
      </c>
      <c r="G44">
        <v>0</v>
      </c>
      <c r="H44">
        <v>8</v>
      </c>
      <c r="I44">
        <v>382000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10</v>
      </c>
      <c r="BC44" s="1">
        <v>4382000</v>
      </c>
      <c r="BD44" t="s">
        <v>74</v>
      </c>
      <c r="BE44" t="s">
        <v>4370</v>
      </c>
      <c r="BF44" s="10" t="s">
        <v>4371</v>
      </c>
      <c r="BH44" t="s">
        <v>77</v>
      </c>
      <c r="BI44" t="s">
        <v>593</v>
      </c>
      <c r="BJ44" t="s">
        <v>79</v>
      </c>
      <c r="BM44">
        <v>0</v>
      </c>
      <c r="BN44">
        <v>2</v>
      </c>
      <c r="BO44">
        <v>2</v>
      </c>
      <c r="BP44" t="s">
        <v>80</v>
      </c>
      <c r="BR44">
        <v>0</v>
      </c>
      <c r="BS44">
        <v>6</v>
      </c>
      <c r="BU44" s="1">
        <v>2573000</v>
      </c>
    </row>
    <row r="45" spans="1:73" x14ac:dyDescent="0.3">
      <c r="A45" t="s">
        <v>4565</v>
      </c>
      <c r="B45">
        <v>7</v>
      </c>
      <c r="C45">
        <v>3234102</v>
      </c>
      <c r="D45">
        <v>20</v>
      </c>
      <c r="E45">
        <v>2789115</v>
      </c>
      <c r="F45">
        <v>2</v>
      </c>
      <c r="G45">
        <v>64000000</v>
      </c>
      <c r="H45">
        <v>34</v>
      </c>
      <c r="I45">
        <v>1141866</v>
      </c>
      <c r="J45">
        <v>0</v>
      </c>
      <c r="K45">
        <v>0</v>
      </c>
      <c r="L45">
        <v>0</v>
      </c>
      <c r="M45">
        <v>0</v>
      </c>
      <c r="N45">
        <v>2</v>
      </c>
      <c r="O45">
        <v>9830300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73535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62</v>
      </c>
      <c r="BC45" s="1">
        <v>162793602</v>
      </c>
      <c r="BD45" t="s">
        <v>74</v>
      </c>
      <c r="BE45" t="s">
        <v>4566</v>
      </c>
      <c r="BF45" s="10" t="s">
        <v>4567</v>
      </c>
      <c r="BH45" t="s">
        <v>1464</v>
      </c>
      <c r="BI45" t="s">
        <v>2320</v>
      </c>
      <c r="BJ45" t="s">
        <v>125</v>
      </c>
      <c r="BM45">
        <v>1</v>
      </c>
      <c r="BN45">
        <v>5</v>
      </c>
      <c r="BO45">
        <v>6</v>
      </c>
      <c r="BP45" t="s">
        <v>80</v>
      </c>
      <c r="BR45">
        <v>0</v>
      </c>
      <c r="BS45">
        <v>3</v>
      </c>
      <c r="BU45" s="1">
        <v>81068918</v>
      </c>
    </row>
    <row r="46" spans="1:73" x14ac:dyDescent="0.3">
      <c r="A46" t="s">
        <v>5657</v>
      </c>
      <c r="B46">
        <v>0</v>
      </c>
      <c r="C46">
        <v>0</v>
      </c>
      <c r="D46">
        <v>4</v>
      </c>
      <c r="E46">
        <v>1182228</v>
      </c>
      <c r="F46">
        <v>0</v>
      </c>
      <c r="G46">
        <v>0</v>
      </c>
      <c r="H46">
        <v>6</v>
      </c>
      <c r="I46">
        <v>124456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8</v>
      </c>
      <c r="BC46" s="1">
        <v>2364456</v>
      </c>
      <c r="BD46" t="s">
        <v>74</v>
      </c>
      <c r="BE46" t="s">
        <v>5658</v>
      </c>
      <c r="BF46" s="10" t="s">
        <v>5659</v>
      </c>
      <c r="BH46" t="s">
        <v>77</v>
      </c>
      <c r="BI46" t="s">
        <v>593</v>
      </c>
      <c r="BJ46" t="s">
        <v>79</v>
      </c>
      <c r="BM46">
        <v>0</v>
      </c>
      <c r="BN46">
        <v>2</v>
      </c>
      <c r="BO46">
        <v>2</v>
      </c>
      <c r="BP46" t="s">
        <v>80</v>
      </c>
      <c r="BR46">
        <v>0</v>
      </c>
      <c r="BS46">
        <v>6</v>
      </c>
      <c r="BU46" s="1">
        <v>1306684</v>
      </c>
    </row>
    <row r="47" spans="1:73" s="5" customFormat="1" x14ac:dyDescent="0.3">
      <c r="A47" s="5" t="s">
        <v>4325</v>
      </c>
      <c r="B47" s="5">
        <v>0</v>
      </c>
      <c r="C47" s="5">
        <v>0</v>
      </c>
      <c r="D47" s="5">
        <v>3</v>
      </c>
      <c r="E47" s="5">
        <v>758558</v>
      </c>
      <c r="F47" s="5">
        <v>0</v>
      </c>
      <c r="G47" s="5">
        <v>0</v>
      </c>
      <c r="H47" s="5">
        <v>4</v>
      </c>
      <c r="I47" s="5">
        <v>179974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6</v>
      </c>
      <c r="BC47" s="6">
        <v>1517116</v>
      </c>
      <c r="BD47" s="5" t="s">
        <v>74</v>
      </c>
      <c r="BE47" s="5" t="s">
        <v>4326</v>
      </c>
      <c r="BF47" s="11" t="s">
        <v>4327</v>
      </c>
      <c r="BH47" s="5" t="s">
        <v>77</v>
      </c>
      <c r="BI47" s="5" t="s">
        <v>593</v>
      </c>
      <c r="BJ47" s="5" t="s">
        <v>79</v>
      </c>
      <c r="BM47" s="5">
        <v>0</v>
      </c>
      <c r="BN47" s="5">
        <v>2</v>
      </c>
      <c r="BO47" s="5">
        <v>2</v>
      </c>
      <c r="BP47" s="5" t="s">
        <v>80</v>
      </c>
      <c r="BR47" s="5">
        <v>0</v>
      </c>
      <c r="BS47" s="5">
        <v>6</v>
      </c>
      <c r="BU47" s="6">
        <v>938532</v>
      </c>
    </row>
    <row r="48" spans="1:73" s="5" customFormat="1" x14ac:dyDescent="0.3">
      <c r="A48" s="5" t="s">
        <v>5643</v>
      </c>
      <c r="B48" s="5">
        <v>0</v>
      </c>
      <c r="C48" s="5">
        <v>0</v>
      </c>
      <c r="D48" s="5">
        <v>3</v>
      </c>
      <c r="E48" s="5">
        <v>850159</v>
      </c>
      <c r="F48" s="5">
        <v>0</v>
      </c>
      <c r="G48" s="5">
        <v>0</v>
      </c>
      <c r="H48" s="5">
        <v>4</v>
      </c>
      <c r="I48" s="5">
        <v>100318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6</v>
      </c>
      <c r="BC48" s="6">
        <v>1700318</v>
      </c>
      <c r="BD48" s="5" t="s">
        <v>74</v>
      </c>
      <c r="BE48" s="5" t="s">
        <v>5644</v>
      </c>
      <c r="BF48" s="5" t="s">
        <v>5645</v>
      </c>
      <c r="BH48" s="5" t="s">
        <v>77</v>
      </c>
      <c r="BI48" s="5" t="s">
        <v>574</v>
      </c>
      <c r="BJ48" s="5" t="s">
        <v>79</v>
      </c>
      <c r="BM48" s="5">
        <v>0</v>
      </c>
      <c r="BN48" s="5">
        <v>2</v>
      </c>
      <c r="BO48" s="5">
        <v>2</v>
      </c>
      <c r="BP48" s="5" t="s">
        <v>80</v>
      </c>
      <c r="BR48" s="5">
        <v>0</v>
      </c>
      <c r="BS48" s="5">
        <v>6</v>
      </c>
      <c r="BU48" s="6">
        <v>950477</v>
      </c>
    </row>
    <row r="49" spans="1:73" s="5" customFormat="1" x14ac:dyDescent="0.3">
      <c r="A49" s="5" t="s">
        <v>627</v>
      </c>
      <c r="B49" s="5">
        <v>0</v>
      </c>
      <c r="C49" s="5">
        <v>0</v>
      </c>
      <c r="D49" s="5">
        <v>1</v>
      </c>
      <c r="E49" s="5">
        <v>1000000</v>
      </c>
      <c r="F49" s="5">
        <v>0</v>
      </c>
      <c r="G49" s="5">
        <v>0</v>
      </c>
      <c r="H49" s="5">
        <v>5</v>
      </c>
      <c r="I49" s="5">
        <v>279591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6</v>
      </c>
      <c r="BC49" s="6">
        <v>1279591</v>
      </c>
      <c r="BD49" s="5" t="s">
        <v>74</v>
      </c>
      <c r="BE49" s="5" t="s">
        <v>628</v>
      </c>
      <c r="BF49" s="5" t="s">
        <v>629</v>
      </c>
      <c r="BH49" s="5" t="s">
        <v>77</v>
      </c>
      <c r="BI49" s="5" t="s">
        <v>574</v>
      </c>
      <c r="BJ49" s="5" t="s">
        <v>79</v>
      </c>
      <c r="BM49" s="5">
        <v>0</v>
      </c>
      <c r="BN49" s="5">
        <v>2</v>
      </c>
      <c r="BO49" s="5">
        <v>2</v>
      </c>
      <c r="BP49" s="5" t="s">
        <v>80</v>
      </c>
      <c r="BR49" s="5">
        <v>0</v>
      </c>
      <c r="BS49" s="5">
        <v>6</v>
      </c>
      <c r="BU49" s="6">
        <v>1279591</v>
      </c>
    </row>
    <row r="50" spans="1:73" s="5" customFormat="1" x14ac:dyDescent="0.3">
      <c r="A50" s="5" t="s">
        <v>5682</v>
      </c>
      <c r="B50" s="5">
        <v>0</v>
      </c>
      <c r="C50" s="5">
        <v>0</v>
      </c>
      <c r="D50" s="5">
        <v>9</v>
      </c>
      <c r="E50" s="5">
        <v>1678948</v>
      </c>
      <c r="F50" s="5">
        <v>0</v>
      </c>
      <c r="G50" s="5">
        <v>0</v>
      </c>
      <c r="H50" s="5">
        <v>16</v>
      </c>
      <c r="I50" s="5">
        <v>557896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1</v>
      </c>
      <c r="Z50" s="5">
        <v>73535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1</v>
      </c>
      <c r="AL50" s="5">
        <v>20000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1</v>
      </c>
      <c r="AX50" s="5">
        <v>671428</v>
      </c>
      <c r="AY50" s="5">
        <v>0</v>
      </c>
      <c r="AZ50" s="5">
        <v>0</v>
      </c>
      <c r="BA50" s="5">
        <v>0</v>
      </c>
      <c r="BB50" s="5">
        <v>24</v>
      </c>
      <c r="BC50" s="6">
        <v>4887822</v>
      </c>
      <c r="BD50" s="5" t="s">
        <v>74</v>
      </c>
      <c r="BE50" s="5" t="s">
        <v>5683</v>
      </c>
      <c r="BF50" s="5" t="s">
        <v>5684</v>
      </c>
      <c r="BH50" s="5" t="s">
        <v>77</v>
      </c>
      <c r="BI50" s="5" t="s">
        <v>574</v>
      </c>
      <c r="BJ50" s="5" t="s">
        <v>79</v>
      </c>
      <c r="BM50" s="5">
        <v>2</v>
      </c>
      <c r="BN50" s="5">
        <v>2</v>
      </c>
      <c r="BO50" s="5">
        <v>4</v>
      </c>
      <c r="BP50" s="5" t="s">
        <v>80</v>
      </c>
      <c r="BR50" s="5">
        <v>0</v>
      </c>
      <c r="BS50" s="5">
        <v>6</v>
      </c>
      <c r="BU50" s="6">
        <v>3001807</v>
      </c>
    </row>
    <row r="51" spans="1:73" s="5" customFormat="1" x14ac:dyDescent="0.3">
      <c r="A51" s="5" t="s">
        <v>4366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2</v>
      </c>
      <c r="I51" s="5">
        <v>40000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2</v>
      </c>
      <c r="BC51" s="6">
        <v>40000</v>
      </c>
      <c r="BD51" s="5" t="s">
        <v>74</v>
      </c>
      <c r="BE51" s="5" t="s">
        <v>4367</v>
      </c>
      <c r="BF51" s="5" t="s">
        <v>4368</v>
      </c>
      <c r="BH51" s="5" t="s">
        <v>77</v>
      </c>
      <c r="BI51" s="5" t="s">
        <v>574</v>
      </c>
      <c r="BJ51" s="5" t="s">
        <v>79</v>
      </c>
      <c r="BM51" s="5">
        <v>0</v>
      </c>
      <c r="BN51" s="5">
        <v>1</v>
      </c>
      <c r="BO51" s="5">
        <v>1</v>
      </c>
      <c r="BP51" s="5" t="s">
        <v>80</v>
      </c>
      <c r="BR51" s="5">
        <v>0</v>
      </c>
      <c r="BS51" s="5">
        <v>6</v>
      </c>
      <c r="BU51" s="6">
        <v>40000</v>
      </c>
    </row>
    <row r="52" spans="1:73" x14ac:dyDescent="0.3">
      <c r="A52" t="s">
        <v>4484</v>
      </c>
      <c r="B52">
        <v>0</v>
      </c>
      <c r="C52">
        <v>0</v>
      </c>
      <c r="D52">
        <v>3</v>
      </c>
      <c r="E52">
        <v>857402</v>
      </c>
      <c r="F52">
        <v>0</v>
      </c>
      <c r="G52">
        <v>0</v>
      </c>
      <c r="H52">
        <v>4</v>
      </c>
      <c r="I52">
        <v>114804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6</v>
      </c>
      <c r="BC52" s="1">
        <v>1714804</v>
      </c>
      <c r="BD52" t="s">
        <v>74</v>
      </c>
      <c r="BE52" t="s">
        <v>4485</v>
      </c>
      <c r="BF52" s="10" t="s">
        <v>4486</v>
      </c>
      <c r="BH52" t="s">
        <v>77</v>
      </c>
      <c r="BI52" t="s">
        <v>593</v>
      </c>
      <c r="BJ52" t="s">
        <v>79</v>
      </c>
      <c r="BM52">
        <v>0</v>
      </c>
      <c r="BN52">
        <v>2</v>
      </c>
      <c r="BO52">
        <v>2</v>
      </c>
      <c r="BP52" t="s">
        <v>80</v>
      </c>
      <c r="BR52">
        <v>0</v>
      </c>
      <c r="BS52">
        <v>6</v>
      </c>
      <c r="BU52" s="1">
        <v>972206</v>
      </c>
    </row>
    <row r="53" spans="1:73" x14ac:dyDescent="0.3">
      <c r="A53" t="s">
        <v>5820</v>
      </c>
      <c r="B53">
        <v>0</v>
      </c>
      <c r="C53">
        <v>0</v>
      </c>
      <c r="D53">
        <v>1</v>
      </c>
      <c r="E53">
        <v>516364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</v>
      </c>
      <c r="BC53" s="1">
        <v>1032728</v>
      </c>
      <c r="BD53" t="s">
        <v>74</v>
      </c>
      <c r="BE53" t="s">
        <v>5821</v>
      </c>
      <c r="BF53" s="10" t="s">
        <v>4486</v>
      </c>
      <c r="BH53" t="s">
        <v>77</v>
      </c>
      <c r="BI53" t="s">
        <v>593</v>
      </c>
      <c r="BJ53" t="s">
        <v>79</v>
      </c>
      <c r="BM53">
        <v>0</v>
      </c>
      <c r="BN53">
        <v>1</v>
      </c>
      <c r="BO53">
        <v>1</v>
      </c>
      <c r="BP53" t="s">
        <v>80</v>
      </c>
      <c r="BR53">
        <v>0</v>
      </c>
      <c r="BS53">
        <v>6</v>
      </c>
      <c r="BU53" s="1">
        <v>516364</v>
      </c>
    </row>
    <row r="54" spans="1:73" x14ac:dyDescent="0.3">
      <c r="A54" t="s">
        <v>5305</v>
      </c>
      <c r="B54">
        <v>0</v>
      </c>
      <c r="C54">
        <v>0</v>
      </c>
      <c r="D54">
        <v>5</v>
      </c>
      <c r="E54">
        <v>627247</v>
      </c>
      <c r="F54">
        <v>0</v>
      </c>
      <c r="G54">
        <v>0</v>
      </c>
      <c r="H54">
        <v>8</v>
      </c>
      <c r="I54">
        <v>214494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10</v>
      </c>
      <c r="BC54" s="1">
        <v>1254494</v>
      </c>
      <c r="BD54" t="s">
        <v>74</v>
      </c>
      <c r="BE54" t="s">
        <v>5306</v>
      </c>
      <c r="BF54" s="10" t="s">
        <v>5307</v>
      </c>
      <c r="BH54" t="s">
        <v>77</v>
      </c>
      <c r="BI54" t="s">
        <v>593</v>
      </c>
      <c r="BJ54" t="s">
        <v>79</v>
      </c>
      <c r="BM54">
        <v>0</v>
      </c>
      <c r="BN54">
        <v>2</v>
      </c>
      <c r="BO54">
        <v>2</v>
      </c>
      <c r="BP54" t="s">
        <v>80</v>
      </c>
      <c r="BR54">
        <v>0</v>
      </c>
      <c r="BS54">
        <v>6</v>
      </c>
      <c r="BU54" s="1">
        <v>841741</v>
      </c>
    </row>
    <row r="55" spans="1:73" x14ac:dyDescent="0.3">
      <c r="A55" t="s">
        <v>2811</v>
      </c>
      <c r="B55">
        <v>1</v>
      </c>
      <c r="C55">
        <v>387743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47916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</v>
      </c>
      <c r="BC55" s="1">
        <v>483576</v>
      </c>
      <c r="BD55" t="s">
        <v>74</v>
      </c>
      <c r="BE55" t="s">
        <v>2812</v>
      </c>
      <c r="BF55" s="10" t="s">
        <v>2813</v>
      </c>
      <c r="BH55" t="s">
        <v>77</v>
      </c>
      <c r="BI55" t="s">
        <v>593</v>
      </c>
      <c r="BJ55" t="s">
        <v>79</v>
      </c>
      <c r="BM55">
        <v>1</v>
      </c>
      <c r="BN55">
        <v>1</v>
      </c>
      <c r="BO55">
        <v>2</v>
      </c>
      <c r="BP55" t="s">
        <v>80</v>
      </c>
      <c r="BR55">
        <v>0</v>
      </c>
      <c r="BS55">
        <v>6</v>
      </c>
      <c r="BU55" s="1">
        <v>435659</v>
      </c>
    </row>
    <row r="56" spans="1:73" x14ac:dyDescent="0.3">
      <c r="A56" t="s">
        <v>3082</v>
      </c>
      <c r="B56">
        <v>0</v>
      </c>
      <c r="C56">
        <v>0</v>
      </c>
      <c r="D56">
        <v>3</v>
      </c>
      <c r="E56">
        <v>729661</v>
      </c>
      <c r="F56">
        <v>0</v>
      </c>
      <c r="G56">
        <v>0</v>
      </c>
      <c r="H56">
        <v>4</v>
      </c>
      <c r="I56">
        <v>122180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6</v>
      </c>
      <c r="BC56" s="1">
        <v>1459322</v>
      </c>
      <c r="BD56" t="s">
        <v>74</v>
      </c>
      <c r="BE56" t="s">
        <v>3083</v>
      </c>
      <c r="BF56" s="10" t="s">
        <v>2813</v>
      </c>
      <c r="BH56" t="s">
        <v>77</v>
      </c>
      <c r="BI56" t="s">
        <v>593</v>
      </c>
      <c r="BJ56" t="s">
        <v>79</v>
      </c>
      <c r="BM56">
        <v>0</v>
      </c>
      <c r="BN56">
        <v>2</v>
      </c>
      <c r="BO56">
        <v>2</v>
      </c>
      <c r="BP56" t="s">
        <v>80</v>
      </c>
      <c r="BR56">
        <v>0</v>
      </c>
      <c r="BS56">
        <v>6</v>
      </c>
      <c r="BU56" s="1">
        <v>851841</v>
      </c>
    </row>
    <row r="57" spans="1:73" x14ac:dyDescent="0.3">
      <c r="A57" t="s">
        <v>3537</v>
      </c>
      <c r="B57">
        <v>0</v>
      </c>
      <c r="C57">
        <v>0</v>
      </c>
      <c r="D57">
        <v>1</v>
      </c>
      <c r="E57">
        <v>20000</v>
      </c>
      <c r="F57">
        <v>0</v>
      </c>
      <c r="G57">
        <v>0</v>
      </c>
      <c r="H57">
        <v>2</v>
      </c>
      <c r="I57">
        <v>40000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</v>
      </c>
      <c r="BC57" s="1">
        <v>897143</v>
      </c>
      <c r="BD57" t="s">
        <v>74</v>
      </c>
      <c r="BE57" t="s">
        <v>3538</v>
      </c>
      <c r="BF57" s="10" t="s">
        <v>3539</v>
      </c>
      <c r="BH57" t="s">
        <v>77</v>
      </c>
      <c r="BI57" t="s">
        <v>593</v>
      </c>
      <c r="BJ57" t="s">
        <v>79</v>
      </c>
      <c r="BM57">
        <v>0</v>
      </c>
      <c r="BN57">
        <v>2</v>
      </c>
      <c r="BO57">
        <v>2</v>
      </c>
      <c r="BP57" t="s">
        <v>80</v>
      </c>
      <c r="BR57">
        <v>0</v>
      </c>
      <c r="BS57">
        <v>6</v>
      </c>
      <c r="BU57" s="1">
        <v>60000</v>
      </c>
    </row>
    <row r="58" spans="1:73" x14ac:dyDescent="0.3">
      <c r="A58" t="s">
        <v>4779</v>
      </c>
      <c r="B58">
        <v>0</v>
      </c>
      <c r="C58">
        <v>0</v>
      </c>
      <c r="D58">
        <v>2</v>
      </c>
      <c r="E58">
        <v>1101218</v>
      </c>
      <c r="F58">
        <v>0</v>
      </c>
      <c r="G58">
        <v>0</v>
      </c>
      <c r="H58">
        <v>2</v>
      </c>
      <c r="I58">
        <v>42436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119217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11526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10</v>
      </c>
      <c r="BC58" s="1">
        <v>2463922</v>
      </c>
      <c r="BD58" t="s">
        <v>74</v>
      </c>
      <c r="BE58" t="s">
        <v>4780</v>
      </c>
      <c r="BF58" s="10" t="s">
        <v>3539</v>
      </c>
      <c r="BH58" t="s">
        <v>77</v>
      </c>
      <c r="BI58" t="s">
        <v>593</v>
      </c>
      <c r="BJ58" t="s">
        <v>79</v>
      </c>
      <c r="BM58">
        <v>2</v>
      </c>
      <c r="BN58">
        <v>2</v>
      </c>
      <c r="BO58">
        <v>4</v>
      </c>
      <c r="BP58" t="s">
        <v>80</v>
      </c>
      <c r="BR58">
        <v>0</v>
      </c>
      <c r="BS58">
        <v>6</v>
      </c>
      <c r="BU58" s="1">
        <v>1274397</v>
      </c>
    </row>
    <row r="59" spans="1:73" x14ac:dyDescent="0.3">
      <c r="A59" t="s">
        <v>5702</v>
      </c>
      <c r="B59">
        <v>0</v>
      </c>
      <c r="C59">
        <v>0</v>
      </c>
      <c r="D59">
        <v>2</v>
      </c>
      <c r="E59">
        <v>2424170</v>
      </c>
      <c r="F59">
        <v>0</v>
      </c>
      <c r="G59">
        <v>0</v>
      </c>
      <c r="H59">
        <v>2</v>
      </c>
      <c r="I59">
        <v>48340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4</v>
      </c>
      <c r="BC59" s="1">
        <v>4848340</v>
      </c>
      <c r="BD59" t="s">
        <v>74</v>
      </c>
      <c r="BE59" t="s">
        <v>5703</v>
      </c>
      <c r="BF59" s="10" t="s">
        <v>5704</v>
      </c>
      <c r="BH59" t="s">
        <v>77</v>
      </c>
      <c r="BI59" t="s">
        <v>593</v>
      </c>
      <c r="BJ59" t="s">
        <v>79</v>
      </c>
      <c r="BM59">
        <v>0</v>
      </c>
      <c r="BN59">
        <v>2</v>
      </c>
      <c r="BO59">
        <v>2</v>
      </c>
      <c r="BP59" t="s">
        <v>80</v>
      </c>
      <c r="BR59">
        <v>0</v>
      </c>
      <c r="BS59">
        <v>6</v>
      </c>
      <c r="BU59" s="1">
        <v>2472510</v>
      </c>
    </row>
    <row r="60" spans="1:73" x14ac:dyDescent="0.3">
      <c r="A60" t="s">
        <v>4137</v>
      </c>
      <c r="B60">
        <v>0</v>
      </c>
      <c r="C60">
        <v>807927</v>
      </c>
      <c r="D60">
        <v>16</v>
      </c>
      <c r="E60">
        <v>3028827</v>
      </c>
      <c r="F60">
        <v>0</v>
      </c>
      <c r="G60">
        <v>0</v>
      </c>
      <c r="H60">
        <v>26</v>
      </c>
      <c r="I60">
        <v>576926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31</v>
      </c>
      <c r="BC60" s="1">
        <v>6705217</v>
      </c>
      <c r="BD60" t="s">
        <v>74</v>
      </c>
      <c r="BE60" t="s">
        <v>4138</v>
      </c>
      <c r="BF60" s="10" t="s">
        <v>4139</v>
      </c>
      <c r="BH60" t="s">
        <v>77</v>
      </c>
      <c r="BI60" t="s">
        <v>593</v>
      </c>
      <c r="BJ60" t="s">
        <v>79</v>
      </c>
      <c r="BM60">
        <v>0</v>
      </c>
      <c r="BN60">
        <v>2</v>
      </c>
      <c r="BO60">
        <v>2</v>
      </c>
      <c r="BP60" t="s">
        <v>80</v>
      </c>
      <c r="BR60">
        <v>0</v>
      </c>
      <c r="BS60">
        <v>6</v>
      </c>
      <c r="BU60" s="1">
        <v>4413680</v>
      </c>
    </row>
    <row r="61" spans="1:73" x14ac:dyDescent="0.3">
      <c r="A61" t="s">
        <v>5212</v>
      </c>
      <c r="B61">
        <v>0</v>
      </c>
      <c r="C61">
        <v>0</v>
      </c>
      <c r="D61">
        <v>4</v>
      </c>
      <c r="E61">
        <v>937584</v>
      </c>
      <c r="F61">
        <v>0</v>
      </c>
      <c r="G61">
        <v>0</v>
      </c>
      <c r="H61">
        <v>6</v>
      </c>
      <c r="I61">
        <v>147168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135000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</v>
      </c>
      <c r="BC61" s="1">
        <v>2010168</v>
      </c>
      <c r="BD61" t="s">
        <v>74</v>
      </c>
      <c r="BE61" t="s">
        <v>5213</v>
      </c>
      <c r="BF61" s="10" t="s">
        <v>4139</v>
      </c>
      <c r="BH61" t="s">
        <v>77</v>
      </c>
      <c r="BI61" t="s">
        <v>593</v>
      </c>
      <c r="BJ61" t="s">
        <v>79</v>
      </c>
      <c r="BM61">
        <v>0</v>
      </c>
      <c r="BN61">
        <v>3</v>
      </c>
      <c r="BO61">
        <v>3</v>
      </c>
      <c r="BP61" t="s">
        <v>80</v>
      </c>
      <c r="BR61">
        <v>0</v>
      </c>
      <c r="BS61">
        <v>6</v>
      </c>
      <c r="BU61" s="1">
        <v>1219752</v>
      </c>
    </row>
    <row r="62" spans="1:73" x14ac:dyDescent="0.3">
      <c r="A62" t="s">
        <v>5633</v>
      </c>
      <c r="B62">
        <v>0</v>
      </c>
      <c r="C62">
        <v>0</v>
      </c>
      <c r="D62">
        <v>2</v>
      </c>
      <c r="E62">
        <v>609348</v>
      </c>
      <c r="F62">
        <v>0</v>
      </c>
      <c r="G62">
        <v>0</v>
      </c>
      <c r="H62">
        <v>2</v>
      </c>
      <c r="I62">
        <v>126696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</v>
      </c>
      <c r="BC62" s="1">
        <v>1218696</v>
      </c>
      <c r="BD62" t="s">
        <v>74</v>
      </c>
      <c r="BE62" t="s">
        <v>5634</v>
      </c>
      <c r="BF62" s="10" t="s">
        <v>4139</v>
      </c>
      <c r="BH62" t="s">
        <v>77</v>
      </c>
      <c r="BI62" t="s">
        <v>593</v>
      </c>
      <c r="BJ62" t="s">
        <v>79</v>
      </c>
      <c r="BM62">
        <v>0</v>
      </c>
      <c r="BN62">
        <v>2</v>
      </c>
      <c r="BO62">
        <v>2</v>
      </c>
      <c r="BP62" t="s">
        <v>80</v>
      </c>
      <c r="BR62">
        <v>0</v>
      </c>
      <c r="BS62">
        <v>6</v>
      </c>
      <c r="BU62" s="1">
        <v>736044</v>
      </c>
    </row>
    <row r="63" spans="1:73" x14ac:dyDescent="0.3">
      <c r="A63" t="s">
        <v>5672</v>
      </c>
      <c r="B63">
        <v>0</v>
      </c>
      <c r="C63">
        <v>0</v>
      </c>
      <c r="D63">
        <v>3</v>
      </c>
      <c r="E63">
        <v>592612</v>
      </c>
      <c r="F63">
        <v>0</v>
      </c>
      <c r="G63">
        <v>0</v>
      </c>
      <c r="H63">
        <v>4</v>
      </c>
      <c r="I63">
        <v>152496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</v>
      </c>
      <c r="BC63" s="1">
        <v>1185224</v>
      </c>
      <c r="BD63" t="s">
        <v>74</v>
      </c>
      <c r="BE63" t="s">
        <v>5673</v>
      </c>
      <c r="BF63" s="10" t="s">
        <v>4139</v>
      </c>
      <c r="BH63" t="s">
        <v>77</v>
      </c>
      <c r="BI63" t="s">
        <v>593</v>
      </c>
      <c r="BJ63" t="s">
        <v>79</v>
      </c>
      <c r="BM63">
        <v>0</v>
      </c>
      <c r="BN63">
        <v>2</v>
      </c>
      <c r="BO63">
        <v>2</v>
      </c>
      <c r="BP63" t="s">
        <v>80</v>
      </c>
      <c r="BR63">
        <v>0</v>
      </c>
      <c r="BS63">
        <v>6</v>
      </c>
      <c r="BU63" s="1">
        <v>745108</v>
      </c>
    </row>
    <row r="64" spans="1:73" x14ac:dyDescent="0.3">
      <c r="A64" t="s">
        <v>4331</v>
      </c>
      <c r="B64">
        <v>0</v>
      </c>
      <c r="C64">
        <v>0</v>
      </c>
      <c r="D64">
        <v>4</v>
      </c>
      <c r="E64">
        <v>840000</v>
      </c>
      <c r="F64">
        <v>0</v>
      </c>
      <c r="G64">
        <v>0</v>
      </c>
      <c r="H64">
        <v>6</v>
      </c>
      <c r="I64">
        <v>120000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8</v>
      </c>
      <c r="BC64" s="1">
        <v>1680000</v>
      </c>
      <c r="BD64" t="s">
        <v>74</v>
      </c>
      <c r="BE64" t="s">
        <v>4332</v>
      </c>
      <c r="BF64" s="10" t="s">
        <v>4333</v>
      </c>
      <c r="BH64" t="s">
        <v>77</v>
      </c>
      <c r="BI64" t="s">
        <v>593</v>
      </c>
      <c r="BJ64" t="s">
        <v>79</v>
      </c>
      <c r="BM64">
        <v>0</v>
      </c>
      <c r="BN64">
        <v>2</v>
      </c>
      <c r="BO64">
        <v>2</v>
      </c>
      <c r="BP64" t="s">
        <v>80</v>
      </c>
      <c r="BR64">
        <v>0</v>
      </c>
      <c r="BS64">
        <v>6</v>
      </c>
      <c r="BU64" s="1">
        <v>960000</v>
      </c>
    </row>
    <row r="65" spans="1:73" x14ac:dyDescent="0.3">
      <c r="A65" t="s">
        <v>3028</v>
      </c>
      <c r="B65">
        <v>0</v>
      </c>
      <c r="C65">
        <v>0</v>
      </c>
      <c r="D65">
        <v>3</v>
      </c>
      <c r="E65">
        <v>1188442</v>
      </c>
      <c r="F65">
        <v>0</v>
      </c>
      <c r="G65">
        <v>0</v>
      </c>
      <c r="H65">
        <v>4</v>
      </c>
      <c r="I65">
        <v>136884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6</v>
      </c>
      <c r="BC65" s="1">
        <v>2376884</v>
      </c>
      <c r="BD65" t="s">
        <v>74</v>
      </c>
      <c r="BE65" t="s">
        <v>3029</v>
      </c>
      <c r="BF65" s="10" t="s">
        <v>3030</v>
      </c>
      <c r="BH65" t="s">
        <v>77</v>
      </c>
      <c r="BI65" t="s">
        <v>593</v>
      </c>
      <c r="BJ65" t="s">
        <v>79</v>
      </c>
      <c r="BM65">
        <v>0</v>
      </c>
      <c r="BN65">
        <v>2</v>
      </c>
      <c r="BO65">
        <v>2</v>
      </c>
      <c r="BP65" t="s">
        <v>80</v>
      </c>
      <c r="BR65">
        <v>0</v>
      </c>
      <c r="BS65">
        <v>6</v>
      </c>
      <c r="BU65" s="1">
        <v>1325326</v>
      </c>
    </row>
    <row r="66" spans="1:73" x14ac:dyDescent="0.3">
      <c r="A66" t="s">
        <v>3943</v>
      </c>
      <c r="B66">
        <v>0</v>
      </c>
      <c r="C66">
        <v>0</v>
      </c>
      <c r="D66">
        <v>4</v>
      </c>
      <c r="E66">
        <v>1683282</v>
      </c>
      <c r="F66">
        <v>0</v>
      </c>
      <c r="G66">
        <v>0</v>
      </c>
      <c r="H66">
        <v>6</v>
      </c>
      <c r="I66">
        <v>166564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</v>
      </c>
      <c r="BC66" s="1">
        <v>3366564</v>
      </c>
      <c r="BD66" t="s">
        <v>74</v>
      </c>
      <c r="BE66" t="s">
        <v>3944</v>
      </c>
      <c r="BF66" s="10" t="s">
        <v>3945</v>
      </c>
      <c r="BH66" t="s">
        <v>77</v>
      </c>
      <c r="BI66" t="s">
        <v>593</v>
      </c>
      <c r="BJ66" t="s">
        <v>79</v>
      </c>
      <c r="BM66">
        <v>0</v>
      </c>
      <c r="BN66">
        <v>2</v>
      </c>
      <c r="BO66">
        <v>2</v>
      </c>
      <c r="BP66" t="s">
        <v>80</v>
      </c>
      <c r="BR66">
        <v>0</v>
      </c>
      <c r="BS66">
        <v>6</v>
      </c>
      <c r="BU66" s="1">
        <v>1849846</v>
      </c>
    </row>
    <row r="67" spans="1:73" x14ac:dyDescent="0.3">
      <c r="A67" t="s">
        <v>4203</v>
      </c>
      <c r="B67">
        <v>0</v>
      </c>
      <c r="C67">
        <v>0</v>
      </c>
      <c r="D67">
        <v>7</v>
      </c>
      <c r="E67">
        <v>2672212</v>
      </c>
      <c r="F67">
        <v>0</v>
      </c>
      <c r="G67">
        <v>0</v>
      </c>
      <c r="H67">
        <v>8</v>
      </c>
      <c r="I67">
        <v>240424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14</v>
      </c>
      <c r="BC67" s="1">
        <v>5344424</v>
      </c>
      <c r="BD67" t="s">
        <v>74</v>
      </c>
      <c r="BE67" t="s">
        <v>4204</v>
      </c>
      <c r="BF67" s="10" t="s">
        <v>4205</v>
      </c>
      <c r="BH67" t="s">
        <v>77</v>
      </c>
      <c r="BI67" t="s">
        <v>593</v>
      </c>
      <c r="BJ67" t="s">
        <v>79</v>
      </c>
      <c r="BM67">
        <v>0</v>
      </c>
      <c r="BN67">
        <v>2</v>
      </c>
      <c r="BO67">
        <v>2</v>
      </c>
      <c r="BP67" t="s">
        <v>80</v>
      </c>
      <c r="BR67">
        <v>0</v>
      </c>
      <c r="BS67">
        <v>6</v>
      </c>
      <c r="BU67" s="1">
        <v>2912636</v>
      </c>
    </row>
    <row r="68" spans="1:73" x14ac:dyDescent="0.3">
      <c r="A68" t="s">
        <v>4699</v>
      </c>
      <c r="B68">
        <v>0</v>
      </c>
      <c r="C68">
        <v>0</v>
      </c>
      <c r="D68">
        <v>3</v>
      </c>
      <c r="E68">
        <v>556364</v>
      </c>
      <c r="F68">
        <v>0</v>
      </c>
      <c r="G68">
        <v>0</v>
      </c>
      <c r="H68">
        <v>4</v>
      </c>
      <c r="I68">
        <v>80000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6</v>
      </c>
      <c r="BC68" s="1">
        <v>1112728</v>
      </c>
      <c r="BD68" t="s">
        <v>74</v>
      </c>
      <c r="BE68" t="s">
        <v>4700</v>
      </c>
      <c r="BF68" s="10" t="s">
        <v>4701</v>
      </c>
      <c r="BH68" t="s">
        <v>77</v>
      </c>
      <c r="BI68" t="s">
        <v>593</v>
      </c>
      <c r="BJ68" t="s">
        <v>79</v>
      </c>
      <c r="BM68">
        <v>0</v>
      </c>
      <c r="BN68">
        <v>2</v>
      </c>
      <c r="BO68">
        <v>2</v>
      </c>
      <c r="BP68" t="s">
        <v>80</v>
      </c>
      <c r="BR68">
        <v>0</v>
      </c>
      <c r="BS68">
        <v>6</v>
      </c>
      <c r="BU68" s="1">
        <v>636364</v>
      </c>
    </row>
    <row r="69" spans="1:73" x14ac:dyDescent="0.3">
      <c r="A69" t="s">
        <v>3768</v>
      </c>
      <c r="B69">
        <v>0</v>
      </c>
      <c r="C69">
        <v>0</v>
      </c>
      <c r="D69">
        <v>5</v>
      </c>
      <c r="E69">
        <v>1848835</v>
      </c>
      <c r="F69">
        <v>1</v>
      </c>
      <c r="G69">
        <v>9090909</v>
      </c>
      <c r="H69">
        <v>8</v>
      </c>
      <c r="I69">
        <v>269098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12</v>
      </c>
      <c r="BC69" s="1">
        <v>21879488</v>
      </c>
      <c r="BD69" t="s">
        <v>74</v>
      </c>
      <c r="BE69" t="s">
        <v>3769</v>
      </c>
      <c r="BF69" s="10" t="s">
        <v>3770</v>
      </c>
      <c r="BH69" t="s">
        <v>77</v>
      </c>
      <c r="BI69" t="s">
        <v>593</v>
      </c>
      <c r="BJ69" t="s">
        <v>79</v>
      </c>
      <c r="BM69">
        <v>0</v>
      </c>
      <c r="BN69">
        <v>3</v>
      </c>
      <c r="BO69">
        <v>3</v>
      </c>
      <c r="BP69" t="s">
        <v>80</v>
      </c>
      <c r="BR69">
        <v>0</v>
      </c>
      <c r="BS69">
        <v>4</v>
      </c>
      <c r="BU69" s="1">
        <v>11208842</v>
      </c>
    </row>
    <row r="70" spans="1:73" x14ac:dyDescent="0.3">
      <c r="A70" t="s">
        <v>3227</v>
      </c>
      <c r="B70">
        <v>2</v>
      </c>
      <c r="C70">
        <v>1502110</v>
      </c>
      <c r="D70">
        <v>8</v>
      </c>
      <c r="E70">
        <v>3445455</v>
      </c>
      <c r="F70">
        <v>0</v>
      </c>
      <c r="G70">
        <v>0</v>
      </c>
      <c r="H70">
        <v>5</v>
      </c>
      <c r="I70">
        <v>100000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16</v>
      </c>
      <c r="BC70" s="1">
        <v>14393020</v>
      </c>
      <c r="BD70" t="s">
        <v>74</v>
      </c>
      <c r="BE70" t="s">
        <v>3228</v>
      </c>
      <c r="BF70" s="10" t="s">
        <v>3229</v>
      </c>
      <c r="BH70" t="s">
        <v>136</v>
      </c>
      <c r="BI70" t="s">
        <v>191</v>
      </c>
      <c r="BJ70" t="s">
        <v>125</v>
      </c>
      <c r="BM70">
        <v>0</v>
      </c>
      <c r="BN70">
        <v>3</v>
      </c>
      <c r="BO70">
        <v>3</v>
      </c>
      <c r="BP70" t="s">
        <v>80</v>
      </c>
      <c r="BR70">
        <v>0</v>
      </c>
      <c r="BS70">
        <v>6</v>
      </c>
      <c r="BU70" s="1">
        <v>5047565</v>
      </c>
    </row>
    <row r="71" spans="1:73" x14ac:dyDescent="0.3">
      <c r="A71" t="s">
        <v>3520</v>
      </c>
      <c r="B71">
        <v>0</v>
      </c>
      <c r="C71">
        <v>0</v>
      </c>
      <c r="D71">
        <v>6</v>
      </c>
      <c r="E71">
        <v>146961</v>
      </c>
      <c r="F71">
        <v>0</v>
      </c>
      <c r="G71">
        <v>0</v>
      </c>
      <c r="H71">
        <v>12</v>
      </c>
      <c r="I71">
        <v>293922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12</v>
      </c>
      <c r="BC71" s="1">
        <v>293922</v>
      </c>
      <c r="BD71" t="s">
        <v>74</v>
      </c>
      <c r="BE71" t="s">
        <v>3521</v>
      </c>
      <c r="BF71" s="10" t="s">
        <v>3229</v>
      </c>
      <c r="BH71" t="s">
        <v>77</v>
      </c>
      <c r="BI71" t="s">
        <v>593</v>
      </c>
      <c r="BJ71" t="s">
        <v>79</v>
      </c>
      <c r="BM71">
        <v>0</v>
      </c>
      <c r="BN71">
        <v>2</v>
      </c>
      <c r="BO71">
        <v>2</v>
      </c>
      <c r="BP71" t="s">
        <v>80</v>
      </c>
      <c r="BR71">
        <v>0</v>
      </c>
      <c r="BS71">
        <v>6</v>
      </c>
      <c r="BU71" s="1">
        <v>440883</v>
      </c>
    </row>
    <row r="72" spans="1:73" x14ac:dyDescent="0.3">
      <c r="A72" t="s">
        <v>4176</v>
      </c>
      <c r="B72">
        <v>0</v>
      </c>
      <c r="C72">
        <v>0</v>
      </c>
      <c r="D72">
        <v>3</v>
      </c>
      <c r="E72">
        <v>1040000</v>
      </c>
      <c r="F72">
        <v>0</v>
      </c>
      <c r="G72">
        <v>0</v>
      </c>
      <c r="H72">
        <v>4</v>
      </c>
      <c r="I72">
        <v>80000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6</v>
      </c>
      <c r="BC72" s="1">
        <v>2080000</v>
      </c>
      <c r="BD72" t="s">
        <v>74</v>
      </c>
      <c r="BE72" t="s">
        <v>4177</v>
      </c>
      <c r="BF72" s="10" t="s">
        <v>3229</v>
      </c>
      <c r="BH72" t="s">
        <v>77</v>
      </c>
      <c r="BI72" t="s">
        <v>593</v>
      </c>
      <c r="BJ72" t="s">
        <v>79</v>
      </c>
      <c r="BM72">
        <v>0</v>
      </c>
      <c r="BN72">
        <v>2</v>
      </c>
      <c r="BO72">
        <v>2</v>
      </c>
      <c r="BP72" t="s">
        <v>80</v>
      </c>
      <c r="BR72">
        <v>0</v>
      </c>
      <c r="BS72">
        <v>6</v>
      </c>
      <c r="BU72" s="1">
        <v>1120000</v>
      </c>
    </row>
    <row r="73" spans="1:73" x14ac:dyDescent="0.3">
      <c r="A73" t="s">
        <v>4201</v>
      </c>
      <c r="B73">
        <v>0</v>
      </c>
      <c r="C73">
        <v>0</v>
      </c>
      <c r="D73">
        <v>3</v>
      </c>
      <c r="E73">
        <v>1046053</v>
      </c>
      <c r="F73">
        <v>0</v>
      </c>
      <c r="G73">
        <v>0</v>
      </c>
      <c r="H73">
        <v>4</v>
      </c>
      <c r="I73">
        <v>92106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</v>
      </c>
      <c r="BC73" s="1">
        <v>2092106</v>
      </c>
      <c r="BD73" t="s">
        <v>74</v>
      </c>
      <c r="BE73" t="s">
        <v>4202</v>
      </c>
      <c r="BF73" s="10" t="s">
        <v>3229</v>
      </c>
      <c r="BH73" t="s">
        <v>77</v>
      </c>
      <c r="BI73" t="s">
        <v>593</v>
      </c>
      <c r="BJ73" t="s">
        <v>79</v>
      </c>
      <c r="BM73">
        <v>0</v>
      </c>
      <c r="BN73">
        <v>2</v>
      </c>
      <c r="BO73">
        <v>2</v>
      </c>
      <c r="BP73" t="s">
        <v>80</v>
      </c>
      <c r="BR73">
        <v>0</v>
      </c>
      <c r="BS73">
        <v>6</v>
      </c>
      <c r="BU73" s="1">
        <v>1138159</v>
      </c>
    </row>
    <row r="74" spans="1:73" x14ac:dyDescent="0.3">
      <c r="A74" t="s">
        <v>5301</v>
      </c>
      <c r="B74">
        <v>0</v>
      </c>
      <c r="C74">
        <v>0</v>
      </c>
      <c r="D74">
        <v>12</v>
      </c>
      <c r="E74">
        <v>8947394</v>
      </c>
      <c r="F74">
        <v>0</v>
      </c>
      <c r="G74">
        <v>0</v>
      </c>
      <c r="H74">
        <v>20</v>
      </c>
      <c r="I74">
        <v>614788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82993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27</v>
      </c>
      <c r="BC74" s="1">
        <v>18394108</v>
      </c>
      <c r="BD74" t="s">
        <v>74</v>
      </c>
      <c r="BE74" t="s">
        <v>5302</v>
      </c>
      <c r="BF74" s="10" t="s">
        <v>3229</v>
      </c>
      <c r="BH74" t="s">
        <v>77</v>
      </c>
      <c r="BI74" t="s">
        <v>593</v>
      </c>
      <c r="BJ74" t="s">
        <v>79</v>
      </c>
      <c r="BM74">
        <v>1</v>
      </c>
      <c r="BN74">
        <v>2</v>
      </c>
      <c r="BO74">
        <v>3</v>
      </c>
      <c r="BP74" t="s">
        <v>80</v>
      </c>
      <c r="BR74">
        <v>0</v>
      </c>
      <c r="BS74">
        <v>4</v>
      </c>
      <c r="BU74" s="1">
        <v>9645175</v>
      </c>
    </row>
    <row r="75" spans="1:73" x14ac:dyDescent="0.3">
      <c r="A75" t="s">
        <v>5331</v>
      </c>
      <c r="B75">
        <v>0</v>
      </c>
      <c r="C75">
        <v>0</v>
      </c>
      <c r="D75">
        <v>5</v>
      </c>
      <c r="E75">
        <v>1681646</v>
      </c>
      <c r="F75">
        <v>0</v>
      </c>
      <c r="G75">
        <v>0</v>
      </c>
      <c r="H75">
        <v>8</v>
      </c>
      <c r="I75">
        <v>163292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10</v>
      </c>
      <c r="BC75" s="1">
        <v>3363292</v>
      </c>
      <c r="BD75" t="s">
        <v>74</v>
      </c>
      <c r="BE75" t="s">
        <v>5332</v>
      </c>
      <c r="BF75" s="10" t="s">
        <v>3229</v>
      </c>
      <c r="BH75" t="s">
        <v>77</v>
      </c>
      <c r="BI75" t="s">
        <v>593</v>
      </c>
      <c r="BJ75" t="s">
        <v>79</v>
      </c>
      <c r="BM75">
        <v>0</v>
      </c>
      <c r="BN75">
        <v>2</v>
      </c>
      <c r="BO75">
        <v>2</v>
      </c>
      <c r="BP75" t="s">
        <v>80</v>
      </c>
      <c r="BR75">
        <v>0</v>
      </c>
      <c r="BS75">
        <v>6</v>
      </c>
      <c r="BU75" s="1">
        <v>1844938</v>
      </c>
    </row>
    <row r="76" spans="1:73" x14ac:dyDescent="0.3">
      <c r="A76" t="s">
        <v>4122</v>
      </c>
      <c r="B76">
        <v>0</v>
      </c>
      <c r="C76">
        <v>0</v>
      </c>
      <c r="D76">
        <v>2</v>
      </c>
      <c r="E76">
        <v>294286</v>
      </c>
      <c r="F76">
        <v>0</v>
      </c>
      <c r="G76">
        <v>0</v>
      </c>
      <c r="H76">
        <v>2</v>
      </c>
      <c r="I76">
        <v>40000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3</v>
      </c>
      <c r="BC76" s="1">
        <v>314286</v>
      </c>
      <c r="BD76" t="s">
        <v>74</v>
      </c>
      <c r="BE76" t="s">
        <v>4123</v>
      </c>
      <c r="BF76" s="10" t="s">
        <v>4124</v>
      </c>
      <c r="BH76" t="s">
        <v>77</v>
      </c>
      <c r="BI76" t="s">
        <v>593</v>
      </c>
      <c r="BJ76" t="s">
        <v>79</v>
      </c>
      <c r="BM76">
        <v>0</v>
      </c>
      <c r="BN76">
        <v>2</v>
      </c>
      <c r="BO76">
        <v>2</v>
      </c>
      <c r="BP76" t="s">
        <v>80</v>
      </c>
      <c r="BR76">
        <v>0</v>
      </c>
      <c r="BS76">
        <v>6</v>
      </c>
      <c r="BU76" s="1">
        <v>334286</v>
      </c>
    </row>
    <row r="77" spans="1:73" x14ac:dyDescent="0.3">
      <c r="A77" t="s">
        <v>4178</v>
      </c>
      <c r="B77">
        <v>0</v>
      </c>
      <c r="C77">
        <v>0</v>
      </c>
      <c r="D77">
        <v>1</v>
      </c>
      <c r="E77">
        <v>350000</v>
      </c>
      <c r="F77">
        <v>0</v>
      </c>
      <c r="G77">
        <v>0</v>
      </c>
      <c r="H77">
        <v>1</v>
      </c>
      <c r="I77">
        <v>20000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73535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5</v>
      </c>
      <c r="BC77" s="1">
        <v>867070</v>
      </c>
      <c r="BD77" t="s">
        <v>74</v>
      </c>
      <c r="BE77" t="s">
        <v>4179</v>
      </c>
      <c r="BF77" t="s">
        <v>4180</v>
      </c>
      <c r="BH77" t="s">
        <v>77</v>
      </c>
      <c r="BI77" t="s">
        <v>92</v>
      </c>
      <c r="BJ77" t="s">
        <v>79</v>
      </c>
      <c r="BM77">
        <v>1</v>
      </c>
      <c r="BN77">
        <v>2</v>
      </c>
      <c r="BO77">
        <v>3</v>
      </c>
      <c r="BP77" t="s">
        <v>80</v>
      </c>
      <c r="BR77">
        <v>0</v>
      </c>
      <c r="BS77">
        <v>6</v>
      </c>
      <c r="BU77" s="1">
        <v>443535</v>
      </c>
    </row>
    <row r="78" spans="1:73" x14ac:dyDescent="0.3">
      <c r="A78" t="s">
        <v>5289</v>
      </c>
      <c r="B78">
        <v>0</v>
      </c>
      <c r="C78">
        <v>0</v>
      </c>
      <c r="D78">
        <v>1</v>
      </c>
      <c r="E78">
        <v>192000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 s="1">
        <v>192000</v>
      </c>
      <c r="BD78" t="s">
        <v>74</v>
      </c>
      <c r="BE78" t="s">
        <v>5290</v>
      </c>
      <c r="BF78" t="s">
        <v>5291</v>
      </c>
      <c r="BH78" t="s">
        <v>77</v>
      </c>
      <c r="BI78" t="s">
        <v>593</v>
      </c>
      <c r="BJ78" t="s">
        <v>79</v>
      </c>
      <c r="BM78">
        <v>0</v>
      </c>
      <c r="BN78">
        <v>1</v>
      </c>
      <c r="BO78">
        <v>1</v>
      </c>
      <c r="BP78" t="s">
        <v>80</v>
      </c>
      <c r="BR78">
        <v>0</v>
      </c>
      <c r="BS78">
        <v>6</v>
      </c>
      <c r="BU78" s="1">
        <v>192000</v>
      </c>
    </row>
    <row r="79" spans="1:73" x14ac:dyDescent="0.3">
      <c r="A79" t="s">
        <v>4155</v>
      </c>
      <c r="B79">
        <v>1</v>
      </c>
      <c r="C79">
        <v>606494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96439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 s="1">
        <v>799372</v>
      </c>
      <c r="BD79" t="s">
        <v>74</v>
      </c>
      <c r="BE79" t="s">
        <v>4156</v>
      </c>
      <c r="BF79" t="s">
        <v>4157</v>
      </c>
      <c r="BH79" t="s">
        <v>77</v>
      </c>
      <c r="BI79" t="s">
        <v>92</v>
      </c>
      <c r="BJ79" t="s">
        <v>79</v>
      </c>
      <c r="BM79">
        <v>1</v>
      </c>
      <c r="BN79">
        <v>1</v>
      </c>
      <c r="BO79">
        <v>2</v>
      </c>
      <c r="BP79" t="s">
        <v>80</v>
      </c>
      <c r="BR79">
        <v>0</v>
      </c>
      <c r="BS79">
        <v>6</v>
      </c>
      <c r="BU79" s="1">
        <v>702933</v>
      </c>
    </row>
    <row r="80" spans="1:73" x14ac:dyDescent="0.3">
      <c r="A80" t="s">
        <v>1412</v>
      </c>
      <c r="B80">
        <v>10</v>
      </c>
      <c r="C80">
        <v>3410649</v>
      </c>
      <c r="D80">
        <v>8</v>
      </c>
      <c r="E80">
        <v>1831634</v>
      </c>
      <c r="F80">
        <v>0</v>
      </c>
      <c r="G80">
        <v>0</v>
      </c>
      <c r="H80">
        <v>8</v>
      </c>
      <c r="I80">
        <v>160000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290000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36</v>
      </c>
      <c r="BC80" s="1">
        <v>7773917</v>
      </c>
      <c r="BD80" t="s">
        <v>74</v>
      </c>
      <c r="BE80" t="s">
        <v>1413</v>
      </c>
      <c r="BF80" t="s">
        <v>1414</v>
      </c>
      <c r="BH80" t="s">
        <v>77</v>
      </c>
      <c r="BI80" t="s">
        <v>92</v>
      </c>
      <c r="BJ80" t="s">
        <v>79</v>
      </c>
      <c r="BM80">
        <v>0</v>
      </c>
      <c r="BN80">
        <v>4</v>
      </c>
      <c r="BO80">
        <v>4</v>
      </c>
      <c r="BP80" t="s">
        <v>80</v>
      </c>
      <c r="BR80">
        <v>0</v>
      </c>
      <c r="BS80">
        <v>6</v>
      </c>
      <c r="BU80" s="1">
        <v>5692283</v>
      </c>
    </row>
    <row r="81" spans="1:73" x14ac:dyDescent="0.3">
      <c r="A81" t="s">
        <v>2037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</v>
      </c>
      <c r="I81">
        <v>82400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4</v>
      </c>
      <c r="BC81" s="1">
        <v>82400</v>
      </c>
      <c r="BD81" t="s">
        <v>74</v>
      </c>
      <c r="BE81" t="s">
        <v>2038</v>
      </c>
      <c r="BF81" t="s">
        <v>2039</v>
      </c>
      <c r="BH81" t="s">
        <v>77</v>
      </c>
      <c r="BI81" t="s">
        <v>78</v>
      </c>
      <c r="BJ81" t="s">
        <v>79</v>
      </c>
      <c r="BM81">
        <v>0</v>
      </c>
      <c r="BN81">
        <v>1</v>
      </c>
      <c r="BO81">
        <v>1</v>
      </c>
      <c r="BP81" t="s">
        <v>80</v>
      </c>
      <c r="BR81">
        <v>0</v>
      </c>
      <c r="BS81">
        <v>6</v>
      </c>
      <c r="BU81" s="1">
        <v>82400</v>
      </c>
    </row>
    <row r="82" spans="1:73" x14ac:dyDescent="0.3">
      <c r="A82" t="s">
        <v>3703</v>
      </c>
      <c r="B82">
        <v>2</v>
      </c>
      <c r="C82">
        <v>457923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</v>
      </c>
      <c r="BC82" s="1">
        <v>457923</v>
      </c>
      <c r="BD82" t="s">
        <v>74</v>
      </c>
      <c r="BE82" t="s">
        <v>3704</v>
      </c>
      <c r="BF82" t="s">
        <v>3705</v>
      </c>
      <c r="BM82">
        <v>0</v>
      </c>
      <c r="BN82">
        <v>1</v>
      </c>
      <c r="BO82">
        <v>1</v>
      </c>
      <c r="BP82" t="s">
        <v>80</v>
      </c>
      <c r="BR82">
        <v>0</v>
      </c>
      <c r="BS82">
        <v>6</v>
      </c>
      <c r="BU82" s="1">
        <v>457923</v>
      </c>
    </row>
    <row r="83" spans="1:73" s="5" customFormat="1" x14ac:dyDescent="0.3">
      <c r="A83" s="5" t="s">
        <v>1277</v>
      </c>
      <c r="B83" s="5">
        <v>1</v>
      </c>
      <c r="C83" s="5">
        <v>283334</v>
      </c>
      <c r="D83" s="5">
        <v>0</v>
      </c>
      <c r="E83" s="5">
        <v>0</v>
      </c>
      <c r="F83" s="5">
        <v>0</v>
      </c>
      <c r="G83" s="5">
        <v>0</v>
      </c>
      <c r="H83" s="5">
        <v>8</v>
      </c>
      <c r="I83" s="5">
        <v>170000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330000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11</v>
      </c>
      <c r="BC83" s="6">
        <v>1113334</v>
      </c>
      <c r="BD83" s="5" t="s">
        <v>74</v>
      </c>
      <c r="BE83" s="5" t="s">
        <v>1278</v>
      </c>
      <c r="BF83" s="5" t="s">
        <v>1279</v>
      </c>
      <c r="BH83" s="5" t="s">
        <v>77</v>
      </c>
      <c r="BI83" s="5" t="s">
        <v>92</v>
      </c>
      <c r="BJ83" s="5" t="s">
        <v>79</v>
      </c>
      <c r="BM83" s="5">
        <v>0</v>
      </c>
      <c r="BN83" s="5">
        <v>3</v>
      </c>
      <c r="BO83" s="5">
        <v>3</v>
      </c>
      <c r="BP83" s="5" t="s">
        <v>514</v>
      </c>
      <c r="BR83" s="5">
        <v>0</v>
      </c>
      <c r="BS83" s="5">
        <v>6</v>
      </c>
      <c r="BU83" s="6">
        <v>783334</v>
      </c>
    </row>
    <row r="84" spans="1:73" s="5" customFormat="1" x14ac:dyDescent="0.3">
      <c r="A84" s="5" t="s">
        <v>1679</v>
      </c>
      <c r="B84" s="5">
        <v>1</v>
      </c>
      <c r="C84" s="5">
        <v>255244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1</v>
      </c>
      <c r="BC84" s="6">
        <v>255244</v>
      </c>
      <c r="BD84" s="5" t="s">
        <v>74</v>
      </c>
      <c r="BE84" s="5" t="s">
        <v>1680</v>
      </c>
      <c r="BF84" s="5" t="s">
        <v>1681</v>
      </c>
      <c r="BH84" s="5" t="s">
        <v>77</v>
      </c>
      <c r="BI84" s="5" t="s">
        <v>574</v>
      </c>
      <c r="BJ84" s="5" t="s">
        <v>79</v>
      </c>
      <c r="BM84" s="5">
        <v>0</v>
      </c>
      <c r="BN84" s="5">
        <v>1</v>
      </c>
      <c r="BO84" s="5">
        <v>1</v>
      </c>
      <c r="BP84" s="5" t="s">
        <v>80</v>
      </c>
      <c r="BR84" s="5">
        <v>0</v>
      </c>
      <c r="BS84" s="5">
        <v>6</v>
      </c>
      <c r="BU84" s="6">
        <v>255244</v>
      </c>
    </row>
    <row r="85" spans="1:73" s="5" customFormat="1" x14ac:dyDescent="0.3">
      <c r="A85" s="5" t="s">
        <v>1219</v>
      </c>
      <c r="B85" s="5">
        <v>8</v>
      </c>
      <c r="C85" s="5">
        <v>954001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8</v>
      </c>
      <c r="BC85" s="6">
        <v>954001</v>
      </c>
      <c r="BD85" s="5" t="s">
        <v>74</v>
      </c>
      <c r="BE85" s="5" t="s">
        <v>1220</v>
      </c>
      <c r="BF85" s="5" t="s">
        <v>1221</v>
      </c>
      <c r="BM85" s="5">
        <v>0</v>
      </c>
      <c r="BN85" s="5">
        <v>1</v>
      </c>
      <c r="BO85" s="5">
        <v>1</v>
      </c>
      <c r="BP85" s="5" t="s">
        <v>80</v>
      </c>
      <c r="BR85" s="5">
        <v>0</v>
      </c>
      <c r="BS85" s="5">
        <v>6</v>
      </c>
      <c r="BU85" s="6">
        <v>954001</v>
      </c>
    </row>
    <row r="86" spans="1:73" s="5" customFormat="1" x14ac:dyDescent="0.3">
      <c r="A86" s="5" t="s">
        <v>5696</v>
      </c>
      <c r="B86" s="5">
        <v>8</v>
      </c>
      <c r="C86" s="5">
        <v>1553447</v>
      </c>
      <c r="D86" s="5">
        <v>3</v>
      </c>
      <c r="E86" s="5">
        <v>1428528</v>
      </c>
      <c r="F86" s="5">
        <v>0</v>
      </c>
      <c r="G86" s="5">
        <v>0</v>
      </c>
      <c r="H86" s="5">
        <v>4</v>
      </c>
      <c r="I86" s="5">
        <v>157056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14</v>
      </c>
      <c r="BC86" s="6">
        <v>4410503</v>
      </c>
      <c r="BD86" s="5" t="s">
        <v>74</v>
      </c>
      <c r="BE86" s="5" t="s">
        <v>5697</v>
      </c>
      <c r="BF86" s="5" t="s">
        <v>5698</v>
      </c>
      <c r="BH86" s="5" t="s">
        <v>1464</v>
      </c>
      <c r="BI86" s="5" t="s">
        <v>2929</v>
      </c>
      <c r="BJ86" s="5" t="s">
        <v>125</v>
      </c>
      <c r="BM86" s="5">
        <v>0</v>
      </c>
      <c r="BN86" s="5">
        <v>3</v>
      </c>
      <c r="BO86" s="5">
        <v>3</v>
      </c>
      <c r="BP86" s="5" t="s">
        <v>80</v>
      </c>
      <c r="BR86" s="5">
        <v>0</v>
      </c>
      <c r="BS86" s="5">
        <v>6</v>
      </c>
      <c r="BU86" s="6">
        <v>3139031</v>
      </c>
    </row>
    <row r="87" spans="1:73" s="5" customFormat="1" x14ac:dyDescent="0.3">
      <c r="A87" s="5" t="s">
        <v>5197</v>
      </c>
      <c r="B87" s="5">
        <v>0</v>
      </c>
      <c r="C87" s="5">
        <v>0</v>
      </c>
      <c r="D87" s="5">
        <v>1</v>
      </c>
      <c r="E87" s="5">
        <v>20757</v>
      </c>
      <c r="F87" s="5">
        <v>0</v>
      </c>
      <c r="G87" s="5">
        <v>0</v>
      </c>
      <c r="H87" s="5">
        <v>1</v>
      </c>
      <c r="I87" s="5">
        <v>20757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1</v>
      </c>
      <c r="Z87" s="5">
        <v>78585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1</v>
      </c>
      <c r="AL87" s="5">
        <v>19792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4</v>
      </c>
      <c r="BC87" s="6">
        <v>138926</v>
      </c>
      <c r="BD87" s="5" t="s">
        <v>74</v>
      </c>
      <c r="BE87" s="5" t="s">
        <v>5198</v>
      </c>
      <c r="BF87" s="5" t="s">
        <v>5199</v>
      </c>
      <c r="BH87" s="5" t="s">
        <v>77</v>
      </c>
      <c r="BI87" s="5" t="s">
        <v>88</v>
      </c>
      <c r="BM87" s="5">
        <v>2</v>
      </c>
      <c r="BN87" s="5">
        <v>2</v>
      </c>
      <c r="BO87" s="5">
        <v>4</v>
      </c>
      <c r="BP87" s="5" t="s">
        <v>80</v>
      </c>
      <c r="BR87" s="5">
        <v>0</v>
      </c>
      <c r="BS87" s="5">
        <v>6</v>
      </c>
      <c r="BU87" s="6">
        <v>139891</v>
      </c>
    </row>
    <row r="88" spans="1:73" x14ac:dyDescent="0.3">
      <c r="A88" t="s">
        <v>2548</v>
      </c>
      <c r="B88">
        <v>0</v>
      </c>
      <c r="C88">
        <v>0</v>
      </c>
      <c r="D88">
        <v>4</v>
      </c>
      <c r="E88">
        <v>2457000</v>
      </c>
      <c r="F88">
        <v>0</v>
      </c>
      <c r="G88">
        <v>0</v>
      </c>
      <c r="H88">
        <v>13</v>
      </c>
      <c r="I88">
        <v>270936</v>
      </c>
      <c r="J88">
        <v>0</v>
      </c>
      <c r="K88">
        <v>0</v>
      </c>
      <c r="L88">
        <v>0</v>
      </c>
      <c r="M88">
        <v>0</v>
      </c>
      <c r="N88">
        <v>7</v>
      </c>
      <c r="O88">
        <v>2310000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31</v>
      </c>
      <c r="BC88" s="1">
        <v>7347936</v>
      </c>
      <c r="BD88" t="s">
        <v>74</v>
      </c>
      <c r="BE88" t="s">
        <v>2549</v>
      </c>
      <c r="BF88" t="s">
        <v>2550</v>
      </c>
      <c r="BH88" t="s">
        <v>77</v>
      </c>
      <c r="BI88" t="s">
        <v>78</v>
      </c>
      <c r="BJ88" t="s">
        <v>79</v>
      </c>
      <c r="BM88">
        <v>0</v>
      </c>
      <c r="BN88">
        <v>3</v>
      </c>
      <c r="BO88">
        <v>3</v>
      </c>
      <c r="BP88" t="s">
        <v>514</v>
      </c>
      <c r="BR88">
        <v>0</v>
      </c>
      <c r="BS88">
        <v>5</v>
      </c>
      <c r="BU88" s="1">
        <v>5037936</v>
      </c>
    </row>
    <row r="89" spans="1:73" x14ac:dyDescent="0.3">
      <c r="A89" t="s">
        <v>1303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73535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</v>
      </c>
      <c r="BC89" s="1">
        <v>147070</v>
      </c>
      <c r="BD89" t="s">
        <v>74</v>
      </c>
      <c r="BE89" t="s">
        <v>1304</v>
      </c>
      <c r="BF89" t="s">
        <v>1305</v>
      </c>
      <c r="BH89" t="s">
        <v>77</v>
      </c>
      <c r="BI89" t="s">
        <v>204</v>
      </c>
      <c r="BJ89" t="s">
        <v>79</v>
      </c>
      <c r="BM89">
        <v>1</v>
      </c>
      <c r="BN89">
        <v>0</v>
      </c>
      <c r="BO89">
        <v>1</v>
      </c>
      <c r="BP89" t="s">
        <v>80</v>
      </c>
      <c r="BR89">
        <v>0</v>
      </c>
      <c r="BS89">
        <v>0</v>
      </c>
      <c r="BU89" s="1">
        <v>73535</v>
      </c>
    </row>
    <row r="90" spans="1:73" x14ac:dyDescent="0.3">
      <c r="A90" t="s">
        <v>1093</v>
      </c>
      <c r="B90">
        <v>0</v>
      </c>
      <c r="C90">
        <v>0</v>
      </c>
      <c r="D90">
        <v>2</v>
      </c>
      <c r="E90">
        <v>40888</v>
      </c>
      <c r="F90">
        <v>0</v>
      </c>
      <c r="G90">
        <v>0</v>
      </c>
      <c r="H90">
        <v>3</v>
      </c>
      <c r="I90">
        <v>60888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5</v>
      </c>
      <c r="BC90" s="1">
        <v>660888</v>
      </c>
      <c r="BD90" t="s">
        <v>74</v>
      </c>
      <c r="BE90" t="s">
        <v>1094</v>
      </c>
      <c r="BF90" t="s">
        <v>1095</v>
      </c>
      <c r="BH90" t="s">
        <v>77</v>
      </c>
      <c r="BI90" t="s">
        <v>88</v>
      </c>
      <c r="BJ90" t="s">
        <v>79</v>
      </c>
      <c r="BM90">
        <v>0</v>
      </c>
      <c r="BN90">
        <v>2</v>
      </c>
      <c r="BO90">
        <v>2</v>
      </c>
      <c r="BP90" t="s">
        <v>99</v>
      </c>
      <c r="BR90">
        <v>0</v>
      </c>
      <c r="BS90">
        <v>6</v>
      </c>
      <c r="BU90" s="1">
        <v>101776</v>
      </c>
    </row>
    <row r="91" spans="1:73" x14ac:dyDescent="0.3">
      <c r="A91" t="s">
        <v>405</v>
      </c>
      <c r="B91">
        <v>9</v>
      </c>
      <c r="C91">
        <v>1758780</v>
      </c>
      <c r="D91">
        <v>3</v>
      </c>
      <c r="E91">
        <v>651818</v>
      </c>
      <c r="F91">
        <v>0</v>
      </c>
      <c r="G91">
        <v>0</v>
      </c>
      <c r="H91">
        <v>18</v>
      </c>
      <c r="I91">
        <v>1110755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73535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33</v>
      </c>
      <c r="BC91" s="1">
        <v>3715796</v>
      </c>
      <c r="BD91" t="s">
        <v>74</v>
      </c>
      <c r="BE91" t="s">
        <v>406</v>
      </c>
      <c r="BF91" t="s">
        <v>407</v>
      </c>
      <c r="BH91" t="s">
        <v>114</v>
      </c>
      <c r="BI91" t="s">
        <v>408</v>
      </c>
      <c r="BJ91" t="s">
        <v>79</v>
      </c>
      <c r="BM91">
        <v>1</v>
      </c>
      <c r="BN91">
        <v>3</v>
      </c>
      <c r="BO91">
        <v>4</v>
      </c>
      <c r="BP91" t="s">
        <v>99</v>
      </c>
      <c r="BR91">
        <v>0</v>
      </c>
      <c r="BS91">
        <v>6</v>
      </c>
      <c r="BU91" s="1">
        <v>3594888</v>
      </c>
    </row>
    <row r="92" spans="1:73" x14ac:dyDescent="0.3">
      <c r="A92" t="s">
        <v>521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30000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80000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62070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17929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</v>
      </c>
      <c r="BC92" s="1">
        <v>189999</v>
      </c>
      <c r="BD92" t="s">
        <v>74</v>
      </c>
      <c r="BE92" t="s">
        <v>522</v>
      </c>
      <c r="BF92" t="s">
        <v>523</v>
      </c>
      <c r="BH92" t="s">
        <v>77</v>
      </c>
      <c r="BI92" t="s">
        <v>524</v>
      </c>
      <c r="BJ92" t="s">
        <v>79</v>
      </c>
      <c r="BM92">
        <v>2</v>
      </c>
      <c r="BN92">
        <v>2</v>
      </c>
      <c r="BO92">
        <v>4</v>
      </c>
      <c r="BP92" t="s">
        <v>80</v>
      </c>
      <c r="BR92">
        <v>0</v>
      </c>
      <c r="BS92">
        <v>6</v>
      </c>
      <c r="BU92" s="1">
        <v>189999</v>
      </c>
    </row>
    <row r="93" spans="1:73" x14ac:dyDescent="0.3">
      <c r="A93" t="s">
        <v>5161</v>
      </c>
      <c r="B93">
        <v>0</v>
      </c>
      <c r="C93">
        <v>0</v>
      </c>
      <c r="D93">
        <v>1</v>
      </c>
      <c r="E93">
        <v>20000</v>
      </c>
      <c r="F93">
        <v>0</v>
      </c>
      <c r="G93">
        <v>0</v>
      </c>
      <c r="H93">
        <v>2</v>
      </c>
      <c r="I93">
        <v>50000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24243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</v>
      </c>
      <c r="BC93" s="1">
        <v>178486</v>
      </c>
      <c r="BD93" t="s">
        <v>74</v>
      </c>
      <c r="BE93" t="s">
        <v>5162</v>
      </c>
      <c r="BF93" t="s">
        <v>5163</v>
      </c>
      <c r="BH93" t="s">
        <v>77</v>
      </c>
      <c r="BI93" t="s">
        <v>524</v>
      </c>
      <c r="BJ93" t="s">
        <v>79</v>
      </c>
      <c r="BM93">
        <v>1</v>
      </c>
      <c r="BN93">
        <v>2</v>
      </c>
      <c r="BO93">
        <v>3</v>
      </c>
      <c r="BP93" t="s">
        <v>80</v>
      </c>
      <c r="BR93">
        <v>0</v>
      </c>
      <c r="BS93">
        <v>6</v>
      </c>
      <c r="BU93" s="1">
        <v>94243</v>
      </c>
    </row>
    <row r="94" spans="1:73" x14ac:dyDescent="0.3">
      <c r="A94" t="s">
        <v>3157</v>
      </c>
      <c r="B94">
        <v>3</v>
      </c>
      <c r="C94">
        <v>905604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</v>
      </c>
      <c r="BC94" s="1">
        <v>905604</v>
      </c>
      <c r="BD94" t="s">
        <v>74</v>
      </c>
      <c r="BE94" t="s">
        <v>3158</v>
      </c>
      <c r="BF94" t="s">
        <v>3159</v>
      </c>
      <c r="BH94" t="s">
        <v>77</v>
      </c>
      <c r="BI94" t="s">
        <v>92</v>
      </c>
      <c r="BJ94" t="s">
        <v>79</v>
      </c>
      <c r="BM94">
        <v>0</v>
      </c>
      <c r="BN94">
        <v>1</v>
      </c>
      <c r="BO94">
        <v>1</v>
      </c>
      <c r="BP94" t="s">
        <v>80</v>
      </c>
      <c r="BR94">
        <v>0</v>
      </c>
      <c r="BS94">
        <v>0</v>
      </c>
      <c r="BU94" s="1">
        <v>905604</v>
      </c>
    </row>
    <row r="95" spans="1:73" x14ac:dyDescent="0.3">
      <c r="A95" t="s">
        <v>621</v>
      </c>
      <c r="B95">
        <v>1</v>
      </c>
      <c r="C95">
        <v>411156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 s="1">
        <v>411156</v>
      </c>
      <c r="BD95" t="s">
        <v>74</v>
      </c>
      <c r="BE95" t="s">
        <v>622</v>
      </c>
      <c r="BF95" t="s">
        <v>623</v>
      </c>
      <c r="BM95">
        <v>0</v>
      </c>
      <c r="BN95">
        <v>1</v>
      </c>
      <c r="BO95">
        <v>1</v>
      </c>
      <c r="BP95" t="s">
        <v>80</v>
      </c>
      <c r="BR95">
        <v>0</v>
      </c>
      <c r="BS95">
        <v>6</v>
      </c>
      <c r="BU95" s="1">
        <v>411156</v>
      </c>
    </row>
    <row r="96" spans="1:73" x14ac:dyDescent="0.3">
      <c r="A96" t="s">
        <v>3267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40000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</v>
      </c>
      <c r="BC96" s="1">
        <v>40000</v>
      </c>
      <c r="BD96" t="s">
        <v>74</v>
      </c>
      <c r="BE96" t="s">
        <v>3268</v>
      </c>
      <c r="BF96" t="s">
        <v>3269</v>
      </c>
      <c r="BH96" t="s">
        <v>77</v>
      </c>
      <c r="BI96" t="s">
        <v>593</v>
      </c>
      <c r="BJ96" t="s">
        <v>79</v>
      </c>
      <c r="BM96">
        <v>0</v>
      </c>
      <c r="BN96">
        <v>1</v>
      </c>
      <c r="BO96">
        <v>1</v>
      </c>
      <c r="BP96" t="s">
        <v>80</v>
      </c>
      <c r="BR96">
        <v>0</v>
      </c>
      <c r="BS96">
        <v>6</v>
      </c>
      <c r="BU96" s="1">
        <v>40000</v>
      </c>
    </row>
    <row r="97" spans="1:73" x14ac:dyDescent="0.3">
      <c r="A97" t="s">
        <v>1578</v>
      </c>
      <c r="B97">
        <v>0</v>
      </c>
      <c r="C97">
        <v>3163638</v>
      </c>
      <c r="D97">
        <v>26</v>
      </c>
      <c r="E97">
        <v>19575718</v>
      </c>
      <c r="F97">
        <v>0</v>
      </c>
      <c r="G97">
        <v>0</v>
      </c>
      <c r="H97">
        <v>28</v>
      </c>
      <c r="I97">
        <v>836840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67878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55</v>
      </c>
      <c r="BC97" s="1">
        <v>41822259</v>
      </c>
      <c r="BD97" t="s">
        <v>74</v>
      </c>
      <c r="BE97" t="s">
        <v>1579</v>
      </c>
      <c r="BF97" t="s">
        <v>1580</v>
      </c>
      <c r="BH97" t="s">
        <v>77</v>
      </c>
      <c r="BI97" t="s">
        <v>593</v>
      </c>
      <c r="BJ97" t="s">
        <v>79</v>
      </c>
      <c r="BM97">
        <v>1</v>
      </c>
      <c r="BN97">
        <v>2</v>
      </c>
      <c r="BO97">
        <v>3</v>
      </c>
      <c r="BP97" t="s">
        <v>80</v>
      </c>
      <c r="BR97">
        <v>0</v>
      </c>
      <c r="BS97">
        <v>4</v>
      </c>
      <c r="BU97" s="1">
        <v>23644074</v>
      </c>
    </row>
    <row r="98" spans="1:73" x14ac:dyDescent="0.3">
      <c r="A98" t="s">
        <v>3864</v>
      </c>
      <c r="B98">
        <v>0</v>
      </c>
      <c r="C98">
        <v>0</v>
      </c>
      <c r="D98">
        <v>1</v>
      </c>
      <c r="E98">
        <v>24000</v>
      </c>
      <c r="F98">
        <v>0</v>
      </c>
      <c r="G98">
        <v>0</v>
      </c>
      <c r="H98">
        <v>1</v>
      </c>
      <c r="I98">
        <v>37316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</v>
      </c>
      <c r="BC98" s="1">
        <v>61316</v>
      </c>
      <c r="BD98" t="s">
        <v>74</v>
      </c>
      <c r="BE98" t="s">
        <v>3865</v>
      </c>
      <c r="BF98" t="s">
        <v>3866</v>
      </c>
      <c r="BH98" t="s">
        <v>77</v>
      </c>
      <c r="BI98" t="s">
        <v>593</v>
      </c>
      <c r="BJ98" t="s">
        <v>79</v>
      </c>
      <c r="BM98">
        <v>0</v>
      </c>
      <c r="BN98">
        <v>2</v>
      </c>
      <c r="BO98">
        <v>2</v>
      </c>
      <c r="BP98" t="s">
        <v>80</v>
      </c>
      <c r="BR98">
        <v>0</v>
      </c>
      <c r="BS98">
        <v>6</v>
      </c>
      <c r="BU98" s="1">
        <v>61316</v>
      </c>
    </row>
    <row r="99" spans="1:73" x14ac:dyDescent="0.3">
      <c r="A99" t="s">
        <v>4900</v>
      </c>
      <c r="B99">
        <v>0</v>
      </c>
      <c r="C99">
        <v>0</v>
      </c>
      <c r="D99">
        <v>1</v>
      </c>
      <c r="E99">
        <v>200000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  <c r="BC99" s="1">
        <v>400000</v>
      </c>
      <c r="BD99" t="s">
        <v>74</v>
      </c>
      <c r="BE99" t="s">
        <v>4901</v>
      </c>
      <c r="BF99" t="s">
        <v>4902</v>
      </c>
      <c r="BH99" t="s">
        <v>175</v>
      </c>
      <c r="BI99" t="s">
        <v>857</v>
      </c>
      <c r="BJ99" t="s">
        <v>125</v>
      </c>
      <c r="BM99">
        <v>0</v>
      </c>
      <c r="BN99">
        <v>1</v>
      </c>
      <c r="BO99">
        <v>1</v>
      </c>
      <c r="BP99" t="s">
        <v>80</v>
      </c>
      <c r="BR99">
        <v>0</v>
      </c>
      <c r="BS99">
        <v>6</v>
      </c>
      <c r="BU99" s="1">
        <v>200000</v>
      </c>
    </row>
    <row r="100" spans="1:73" x14ac:dyDescent="0.3">
      <c r="A100" t="s">
        <v>3899</v>
      </c>
      <c r="B100">
        <v>0</v>
      </c>
      <c r="C100">
        <v>1923636</v>
      </c>
      <c r="D100">
        <v>3</v>
      </c>
      <c r="E100">
        <v>230909</v>
      </c>
      <c r="F100">
        <v>0</v>
      </c>
      <c r="G100">
        <v>0</v>
      </c>
      <c r="H100">
        <v>4</v>
      </c>
      <c r="I100">
        <v>80000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73535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19792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9</v>
      </c>
      <c r="BC100" s="1">
        <v>2498573</v>
      </c>
      <c r="BD100" t="s">
        <v>74</v>
      </c>
      <c r="BE100" t="s">
        <v>3900</v>
      </c>
      <c r="BF100" t="s">
        <v>3901</v>
      </c>
      <c r="BH100" t="s">
        <v>77</v>
      </c>
      <c r="BI100" t="s">
        <v>593</v>
      </c>
      <c r="BJ100" t="s">
        <v>79</v>
      </c>
      <c r="BM100">
        <v>2</v>
      </c>
      <c r="BN100">
        <v>2</v>
      </c>
      <c r="BO100">
        <v>4</v>
      </c>
      <c r="BP100" t="s">
        <v>80</v>
      </c>
      <c r="BR100">
        <v>0</v>
      </c>
      <c r="BS100">
        <v>6</v>
      </c>
      <c r="BU100" s="1">
        <v>2327872</v>
      </c>
    </row>
    <row r="101" spans="1:73" x14ac:dyDescent="0.3">
      <c r="A101" t="s">
        <v>2327</v>
      </c>
      <c r="B101">
        <v>1</v>
      </c>
      <c r="C101">
        <v>81818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 s="1">
        <v>81818</v>
      </c>
      <c r="BD101" t="s">
        <v>74</v>
      </c>
      <c r="BE101" t="s">
        <v>2328</v>
      </c>
      <c r="BF101" t="s">
        <v>2329</v>
      </c>
      <c r="BH101" t="s">
        <v>97</v>
      </c>
      <c r="BI101" t="s">
        <v>1006</v>
      </c>
      <c r="BJ101" t="s">
        <v>79</v>
      </c>
      <c r="BM101">
        <v>0</v>
      </c>
      <c r="BN101">
        <v>1</v>
      </c>
      <c r="BO101">
        <v>1</v>
      </c>
      <c r="BP101" t="s">
        <v>80</v>
      </c>
      <c r="BR101">
        <v>0</v>
      </c>
      <c r="BS101">
        <v>6</v>
      </c>
      <c r="BU101" s="1">
        <v>81818</v>
      </c>
    </row>
    <row r="102" spans="1:73" x14ac:dyDescent="0.3">
      <c r="A102" t="s">
        <v>2896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20000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 s="1">
        <v>20000</v>
      </c>
      <c r="BD102" t="s">
        <v>74</v>
      </c>
      <c r="BE102" t="s">
        <v>2897</v>
      </c>
      <c r="BF102" t="s">
        <v>2898</v>
      </c>
      <c r="BH102" t="s">
        <v>77</v>
      </c>
      <c r="BI102" t="s">
        <v>593</v>
      </c>
      <c r="BJ102" t="s">
        <v>79</v>
      </c>
      <c r="BM102">
        <v>0</v>
      </c>
      <c r="BN102">
        <v>1</v>
      </c>
      <c r="BO102">
        <v>1</v>
      </c>
      <c r="BP102" t="s">
        <v>80</v>
      </c>
      <c r="BR102">
        <v>0</v>
      </c>
      <c r="BS102">
        <v>6</v>
      </c>
      <c r="BU102" s="1">
        <v>20000</v>
      </c>
    </row>
    <row r="103" spans="1:73" x14ac:dyDescent="0.3">
      <c r="A103" t="s">
        <v>4861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19792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 s="1">
        <v>19792</v>
      </c>
      <c r="BD103" t="s">
        <v>74</v>
      </c>
      <c r="BE103" t="s">
        <v>4862</v>
      </c>
      <c r="BF103" t="s">
        <v>4863</v>
      </c>
      <c r="BH103" t="s">
        <v>77</v>
      </c>
      <c r="BI103" t="s">
        <v>228</v>
      </c>
      <c r="BJ103" t="s">
        <v>79</v>
      </c>
      <c r="BM103">
        <v>1</v>
      </c>
      <c r="BN103">
        <v>0</v>
      </c>
      <c r="BO103">
        <v>1</v>
      </c>
      <c r="BP103" t="s">
        <v>80</v>
      </c>
      <c r="BR103">
        <v>0</v>
      </c>
      <c r="BS103">
        <v>0</v>
      </c>
      <c r="BU103" s="1">
        <v>19792</v>
      </c>
    </row>
    <row r="104" spans="1:73" x14ac:dyDescent="0.3">
      <c r="A104" t="s">
        <v>5298</v>
      </c>
      <c r="B104">
        <v>0</v>
      </c>
      <c r="C104">
        <v>1054546</v>
      </c>
      <c r="D104">
        <v>3</v>
      </c>
      <c r="E104">
        <v>210909</v>
      </c>
      <c r="F104">
        <v>0</v>
      </c>
      <c r="G104">
        <v>0</v>
      </c>
      <c r="H104">
        <v>4</v>
      </c>
      <c r="I104">
        <v>80000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6</v>
      </c>
      <c r="BC104" s="1">
        <v>1476364</v>
      </c>
      <c r="BD104" t="s">
        <v>74</v>
      </c>
      <c r="BE104" t="s">
        <v>5299</v>
      </c>
      <c r="BF104" t="s">
        <v>5300</v>
      </c>
      <c r="BH104" t="s">
        <v>136</v>
      </c>
      <c r="BI104" t="s">
        <v>333</v>
      </c>
      <c r="BJ104" t="s">
        <v>125</v>
      </c>
      <c r="BM104">
        <v>0</v>
      </c>
      <c r="BN104">
        <v>2</v>
      </c>
      <c r="BO104">
        <v>2</v>
      </c>
      <c r="BP104" t="s">
        <v>80</v>
      </c>
      <c r="BR104">
        <v>0</v>
      </c>
      <c r="BS104">
        <v>6</v>
      </c>
      <c r="BU104" s="1">
        <v>1345455</v>
      </c>
    </row>
    <row r="105" spans="1:73" x14ac:dyDescent="0.3">
      <c r="A105" t="s">
        <v>1149</v>
      </c>
      <c r="B105">
        <v>0</v>
      </c>
      <c r="C105">
        <v>0</v>
      </c>
      <c r="D105">
        <v>2</v>
      </c>
      <c r="E105">
        <v>40840</v>
      </c>
      <c r="F105">
        <v>0</v>
      </c>
      <c r="G105">
        <v>0</v>
      </c>
      <c r="H105">
        <v>4</v>
      </c>
      <c r="I105">
        <v>81680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210000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</v>
      </c>
      <c r="BC105" s="1">
        <v>501680</v>
      </c>
      <c r="BD105" t="s">
        <v>74</v>
      </c>
      <c r="BE105" t="s">
        <v>1150</v>
      </c>
      <c r="BF105" t="s">
        <v>1151</v>
      </c>
      <c r="BH105" t="s">
        <v>77</v>
      </c>
      <c r="BI105" t="s">
        <v>281</v>
      </c>
      <c r="BJ105" t="s">
        <v>79</v>
      </c>
      <c r="BM105">
        <v>0</v>
      </c>
      <c r="BN105">
        <v>3</v>
      </c>
      <c r="BO105">
        <v>3</v>
      </c>
      <c r="BP105" t="s">
        <v>99</v>
      </c>
      <c r="BR105">
        <v>0</v>
      </c>
      <c r="BS105">
        <v>6</v>
      </c>
      <c r="BU105" s="1">
        <v>332520</v>
      </c>
    </row>
    <row r="106" spans="1:73" x14ac:dyDescent="0.3">
      <c r="A106" t="s">
        <v>3166</v>
      </c>
      <c r="B106">
        <v>2</v>
      </c>
      <c r="C106">
        <v>475107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 s="1">
        <v>475107</v>
      </c>
      <c r="BD106" t="s">
        <v>74</v>
      </c>
      <c r="BE106" t="s">
        <v>3167</v>
      </c>
      <c r="BF106" t="s">
        <v>3168</v>
      </c>
      <c r="BH106" t="s">
        <v>77</v>
      </c>
      <c r="BI106" t="s">
        <v>88</v>
      </c>
      <c r="BJ106" t="s">
        <v>79</v>
      </c>
      <c r="BM106">
        <v>0</v>
      </c>
      <c r="BN106">
        <v>1</v>
      </c>
      <c r="BO106">
        <v>1</v>
      </c>
      <c r="BP106" t="s">
        <v>80</v>
      </c>
      <c r="BR106">
        <v>0</v>
      </c>
      <c r="BS106">
        <v>6</v>
      </c>
      <c r="BU106" s="1">
        <v>475107</v>
      </c>
    </row>
    <row r="107" spans="1:73" x14ac:dyDescent="0.3">
      <c r="A107" t="s">
        <v>5085</v>
      </c>
      <c r="B107">
        <v>1</v>
      </c>
      <c r="C107">
        <v>417322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 s="1">
        <v>417322</v>
      </c>
      <c r="BD107" t="s">
        <v>74</v>
      </c>
      <c r="BE107" t="s">
        <v>5086</v>
      </c>
      <c r="BF107" t="s">
        <v>5087</v>
      </c>
      <c r="BH107" t="s">
        <v>5088</v>
      </c>
      <c r="BI107" t="s">
        <v>5089</v>
      </c>
      <c r="BJ107" t="s">
        <v>79</v>
      </c>
      <c r="BM107">
        <v>0</v>
      </c>
      <c r="BN107">
        <v>1</v>
      </c>
      <c r="BO107">
        <v>1</v>
      </c>
      <c r="BP107" t="s">
        <v>80</v>
      </c>
      <c r="BR107">
        <v>0</v>
      </c>
      <c r="BS107">
        <v>6</v>
      </c>
      <c r="BU107" s="1">
        <v>417322</v>
      </c>
    </row>
    <row r="108" spans="1:73" x14ac:dyDescent="0.3">
      <c r="A108" t="s">
        <v>3169</v>
      </c>
      <c r="B108">
        <v>1</v>
      </c>
      <c r="C108">
        <v>135455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 s="1">
        <v>135455</v>
      </c>
      <c r="BD108" t="s">
        <v>74</v>
      </c>
      <c r="BE108" t="s">
        <v>3170</v>
      </c>
      <c r="BF108" t="s">
        <v>3171</v>
      </c>
      <c r="BH108" t="s">
        <v>77</v>
      </c>
      <c r="BI108" t="s">
        <v>593</v>
      </c>
      <c r="BJ108" t="s">
        <v>79</v>
      </c>
      <c r="BM108">
        <v>0</v>
      </c>
      <c r="BN108">
        <v>1</v>
      </c>
      <c r="BO108">
        <v>1</v>
      </c>
      <c r="BP108" t="s">
        <v>80</v>
      </c>
      <c r="BR108">
        <v>0</v>
      </c>
      <c r="BS108">
        <v>0</v>
      </c>
      <c r="BU108" s="1">
        <v>135455</v>
      </c>
    </row>
    <row r="109" spans="1:73" x14ac:dyDescent="0.3">
      <c r="A109" t="s">
        <v>5705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11526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 s="1">
        <v>11526</v>
      </c>
      <c r="BD109" t="s">
        <v>74</v>
      </c>
      <c r="BE109" t="s">
        <v>5706</v>
      </c>
      <c r="BF109" t="s">
        <v>5707</v>
      </c>
      <c r="BH109" t="s">
        <v>77</v>
      </c>
      <c r="BI109" t="s">
        <v>78</v>
      </c>
      <c r="BJ109" t="s">
        <v>79</v>
      </c>
      <c r="BM109">
        <v>1</v>
      </c>
      <c r="BN109">
        <v>0</v>
      </c>
      <c r="BO109">
        <v>1</v>
      </c>
      <c r="BP109" t="s">
        <v>80</v>
      </c>
      <c r="BR109">
        <v>0</v>
      </c>
      <c r="BS109">
        <v>0</v>
      </c>
      <c r="BU109" s="1">
        <v>11526</v>
      </c>
    </row>
    <row r="110" spans="1:73" x14ac:dyDescent="0.3">
      <c r="A110" t="s">
        <v>1854</v>
      </c>
      <c r="B110">
        <v>1</v>
      </c>
      <c r="C110">
        <v>559975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 s="1">
        <v>559975</v>
      </c>
      <c r="BD110" t="s">
        <v>74</v>
      </c>
      <c r="BE110" t="s">
        <v>1855</v>
      </c>
      <c r="BF110" t="s">
        <v>1856</v>
      </c>
      <c r="BH110" t="s">
        <v>77</v>
      </c>
      <c r="BI110" t="s">
        <v>84</v>
      </c>
      <c r="BJ110" t="s">
        <v>79</v>
      </c>
      <c r="BM110">
        <v>0</v>
      </c>
      <c r="BN110">
        <v>1</v>
      </c>
      <c r="BO110">
        <v>1</v>
      </c>
      <c r="BP110" t="s">
        <v>80</v>
      </c>
      <c r="BR110">
        <v>0</v>
      </c>
      <c r="BS110">
        <v>6</v>
      </c>
      <c r="BU110" s="1">
        <v>559975</v>
      </c>
    </row>
    <row r="111" spans="1:73" x14ac:dyDescent="0.3">
      <c r="A111" t="s">
        <v>1461</v>
      </c>
      <c r="B111">
        <v>3</v>
      </c>
      <c r="C111">
        <v>766362</v>
      </c>
      <c r="D111">
        <v>6</v>
      </c>
      <c r="E111">
        <v>661752</v>
      </c>
      <c r="F111">
        <v>0</v>
      </c>
      <c r="G111">
        <v>0</v>
      </c>
      <c r="H111">
        <v>6</v>
      </c>
      <c r="I111">
        <v>134412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15</v>
      </c>
      <c r="BC111" s="1">
        <v>2089866</v>
      </c>
      <c r="BD111" t="s">
        <v>74</v>
      </c>
      <c r="BE111" t="s">
        <v>1462</v>
      </c>
      <c r="BF111" t="s">
        <v>1463</v>
      </c>
      <c r="BH111" t="s">
        <v>1464</v>
      </c>
      <c r="BI111" t="s">
        <v>1465</v>
      </c>
      <c r="BJ111" t="s">
        <v>125</v>
      </c>
      <c r="BM111">
        <v>0</v>
      </c>
      <c r="BN111">
        <v>3</v>
      </c>
      <c r="BO111">
        <v>3</v>
      </c>
      <c r="BP111" t="s">
        <v>80</v>
      </c>
      <c r="BR111">
        <v>0</v>
      </c>
      <c r="BS111">
        <v>6</v>
      </c>
      <c r="BU111" s="1">
        <v>1562526</v>
      </c>
    </row>
    <row r="112" spans="1:73" x14ac:dyDescent="0.3">
      <c r="A112" t="s">
        <v>1059</v>
      </c>
      <c r="B112">
        <v>0</v>
      </c>
      <c r="C112">
        <v>0</v>
      </c>
      <c r="D112">
        <v>6</v>
      </c>
      <c r="E112">
        <v>1623844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42000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8</v>
      </c>
      <c r="BC112" s="1">
        <v>2591557</v>
      </c>
      <c r="BD112" t="s">
        <v>74</v>
      </c>
      <c r="BE112" t="s">
        <v>1060</v>
      </c>
      <c r="BF112" t="s">
        <v>1061</v>
      </c>
      <c r="BH112" t="s">
        <v>114</v>
      </c>
      <c r="BI112" t="s">
        <v>1062</v>
      </c>
      <c r="BJ112" t="s">
        <v>79</v>
      </c>
      <c r="BM112">
        <v>0</v>
      </c>
      <c r="BN112">
        <v>2</v>
      </c>
      <c r="BO112">
        <v>2</v>
      </c>
      <c r="BP112" t="s">
        <v>80</v>
      </c>
      <c r="BR112">
        <v>0</v>
      </c>
      <c r="BS112">
        <v>6</v>
      </c>
      <c r="BU112" s="1">
        <v>1665844</v>
      </c>
    </row>
    <row r="113" spans="1:73" x14ac:dyDescent="0.3">
      <c r="A113" t="s">
        <v>1821</v>
      </c>
      <c r="B113">
        <v>0</v>
      </c>
      <c r="C113">
        <v>0</v>
      </c>
      <c r="D113">
        <v>1</v>
      </c>
      <c r="E113">
        <v>145454</v>
      </c>
      <c r="F113">
        <v>0</v>
      </c>
      <c r="G113">
        <v>0</v>
      </c>
      <c r="H113">
        <v>1</v>
      </c>
      <c r="I113">
        <v>20000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</v>
      </c>
      <c r="BC113" s="1">
        <v>165454</v>
      </c>
      <c r="BD113" t="s">
        <v>74</v>
      </c>
      <c r="BE113" t="s">
        <v>1822</v>
      </c>
      <c r="BF113" t="s">
        <v>1823</v>
      </c>
      <c r="BH113" t="s">
        <v>77</v>
      </c>
      <c r="BI113" t="s">
        <v>92</v>
      </c>
      <c r="BJ113" t="s">
        <v>79</v>
      </c>
      <c r="BM113">
        <v>0</v>
      </c>
      <c r="BN113">
        <v>2</v>
      </c>
      <c r="BO113">
        <v>2</v>
      </c>
      <c r="BP113" t="s">
        <v>80</v>
      </c>
      <c r="BR113">
        <v>0</v>
      </c>
      <c r="BS113">
        <v>6</v>
      </c>
      <c r="BU113" s="1">
        <v>165454</v>
      </c>
    </row>
    <row r="114" spans="1:73" x14ac:dyDescent="0.3">
      <c r="A114" t="s">
        <v>2921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73535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 s="1">
        <v>73535</v>
      </c>
      <c r="BD114" t="s">
        <v>74</v>
      </c>
      <c r="BE114" t="s">
        <v>2922</v>
      </c>
      <c r="BF114" t="s">
        <v>2923</v>
      </c>
      <c r="BH114" t="s">
        <v>77</v>
      </c>
      <c r="BI114" t="s">
        <v>92</v>
      </c>
      <c r="BM114">
        <v>1</v>
      </c>
      <c r="BN114">
        <v>0</v>
      </c>
      <c r="BO114">
        <v>1</v>
      </c>
      <c r="BP114" t="s">
        <v>80</v>
      </c>
      <c r="BR114">
        <v>0</v>
      </c>
      <c r="BS114">
        <v>0</v>
      </c>
      <c r="BU114" s="1">
        <v>73535</v>
      </c>
    </row>
    <row r="115" spans="1:73" x14ac:dyDescent="0.3">
      <c r="A115" t="s">
        <v>2198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78585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 s="1">
        <v>78585</v>
      </c>
      <c r="BD115" t="s">
        <v>74</v>
      </c>
      <c r="BE115" t="s">
        <v>2199</v>
      </c>
      <c r="BF115" t="s">
        <v>2200</v>
      </c>
      <c r="BH115" t="s">
        <v>77</v>
      </c>
      <c r="BI115" t="s">
        <v>720</v>
      </c>
      <c r="BJ115" t="s">
        <v>79</v>
      </c>
      <c r="BM115">
        <v>1</v>
      </c>
      <c r="BN115">
        <v>0</v>
      </c>
      <c r="BO115">
        <v>1</v>
      </c>
      <c r="BP115" t="s">
        <v>80</v>
      </c>
      <c r="BR115">
        <v>0</v>
      </c>
      <c r="BS115">
        <v>0</v>
      </c>
      <c r="BU115" s="1">
        <v>78585</v>
      </c>
    </row>
    <row r="116" spans="1:73" x14ac:dyDescent="0.3">
      <c r="A116" t="s">
        <v>4209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73535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</v>
      </c>
      <c r="BC116" s="1">
        <v>147070</v>
      </c>
      <c r="BD116" t="s">
        <v>74</v>
      </c>
      <c r="BE116" t="s">
        <v>4210</v>
      </c>
      <c r="BF116" t="s">
        <v>4211</v>
      </c>
      <c r="BH116" t="s">
        <v>77</v>
      </c>
      <c r="BI116" t="s">
        <v>281</v>
      </c>
      <c r="BJ116" t="s">
        <v>79</v>
      </c>
      <c r="BM116">
        <v>1</v>
      </c>
      <c r="BN116">
        <v>0</v>
      </c>
      <c r="BO116">
        <v>1</v>
      </c>
      <c r="BP116" t="s">
        <v>80</v>
      </c>
      <c r="BR116">
        <v>0</v>
      </c>
      <c r="BS116">
        <v>6</v>
      </c>
      <c r="BU116" s="1">
        <v>73535</v>
      </c>
    </row>
    <row r="117" spans="1:73" x14ac:dyDescent="0.3">
      <c r="A117" t="s">
        <v>1676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73535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</v>
      </c>
      <c r="BC117" s="1">
        <v>147070</v>
      </c>
      <c r="BD117" t="s">
        <v>74</v>
      </c>
      <c r="BE117" t="s">
        <v>1677</v>
      </c>
      <c r="BF117" t="s">
        <v>1678</v>
      </c>
      <c r="BH117" t="s">
        <v>77</v>
      </c>
      <c r="BI117" t="s">
        <v>228</v>
      </c>
      <c r="BJ117" t="s">
        <v>79</v>
      </c>
      <c r="BM117">
        <v>1</v>
      </c>
      <c r="BN117">
        <v>0</v>
      </c>
      <c r="BO117">
        <v>1</v>
      </c>
      <c r="BP117" t="s">
        <v>80</v>
      </c>
      <c r="BR117">
        <v>0</v>
      </c>
      <c r="BS117">
        <v>0</v>
      </c>
      <c r="BU117" s="1">
        <v>73535</v>
      </c>
    </row>
    <row r="118" spans="1:73" x14ac:dyDescent="0.3">
      <c r="A118" t="s">
        <v>3650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73535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 s="1">
        <v>73535</v>
      </c>
      <c r="BD118" t="s">
        <v>74</v>
      </c>
      <c r="BE118" t="s">
        <v>3651</v>
      </c>
      <c r="BF118" t="s">
        <v>3652</v>
      </c>
      <c r="BH118" t="s">
        <v>77</v>
      </c>
      <c r="BI118" t="s">
        <v>204</v>
      </c>
      <c r="BJ118" t="s">
        <v>79</v>
      </c>
      <c r="BM118">
        <v>1</v>
      </c>
      <c r="BN118">
        <v>0</v>
      </c>
      <c r="BO118">
        <v>1</v>
      </c>
      <c r="BP118" t="s">
        <v>80</v>
      </c>
      <c r="BR118">
        <v>0</v>
      </c>
      <c r="BS118">
        <v>0</v>
      </c>
      <c r="BU118" s="1">
        <v>73535</v>
      </c>
    </row>
    <row r="119" spans="1:73" x14ac:dyDescent="0.3">
      <c r="A119" t="s">
        <v>3791</v>
      </c>
      <c r="B119">
        <v>1</v>
      </c>
      <c r="C119">
        <v>270692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 s="1">
        <v>270692</v>
      </c>
      <c r="BD119" t="s">
        <v>74</v>
      </c>
      <c r="BE119" t="s">
        <v>3792</v>
      </c>
      <c r="BF119" t="s">
        <v>3793</v>
      </c>
      <c r="BH119" t="s">
        <v>77</v>
      </c>
      <c r="BI119" t="s">
        <v>88</v>
      </c>
      <c r="BJ119" t="s">
        <v>79</v>
      </c>
      <c r="BM119">
        <v>0</v>
      </c>
      <c r="BN119">
        <v>1</v>
      </c>
      <c r="BO119">
        <v>1</v>
      </c>
      <c r="BP119" t="s">
        <v>80</v>
      </c>
      <c r="BR119">
        <v>0</v>
      </c>
      <c r="BS119">
        <v>6</v>
      </c>
      <c r="BU119" s="1">
        <v>270692</v>
      </c>
    </row>
    <row r="120" spans="1:73" x14ac:dyDescent="0.3">
      <c r="A120" t="s">
        <v>2876</v>
      </c>
      <c r="B120">
        <v>0</v>
      </c>
      <c r="C120">
        <v>0</v>
      </c>
      <c r="D120">
        <v>1</v>
      </c>
      <c r="E120">
        <v>20000</v>
      </c>
      <c r="F120">
        <v>0</v>
      </c>
      <c r="G120">
        <v>0</v>
      </c>
      <c r="H120">
        <v>2</v>
      </c>
      <c r="I120">
        <v>40000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 s="1">
        <v>40000</v>
      </c>
      <c r="BD120" t="s">
        <v>74</v>
      </c>
      <c r="BE120" t="s">
        <v>2877</v>
      </c>
      <c r="BF120" t="s">
        <v>2878</v>
      </c>
      <c r="BH120" t="s">
        <v>77</v>
      </c>
      <c r="BI120" t="s">
        <v>593</v>
      </c>
      <c r="BJ120" t="s">
        <v>79</v>
      </c>
      <c r="BM120">
        <v>0</v>
      </c>
      <c r="BN120">
        <v>2</v>
      </c>
      <c r="BO120">
        <v>2</v>
      </c>
      <c r="BP120" t="s">
        <v>80</v>
      </c>
      <c r="BR120">
        <v>0</v>
      </c>
      <c r="BS120">
        <v>6</v>
      </c>
      <c r="BU120" s="1">
        <v>60000</v>
      </c>
    </row>
    <row r="121" spans="1:73" x14ac:dyDescent="0.3">
      <c r="A121" t="s">
        <v>2389</v>
      </c>
      <c r="B121">
        <v>0</v>
      </c>
      <c r="C121">
        <v>0</v>
      </c>
      <c r="D121">
        <v>6</v>
      </c>
      <c r="E121">
        <v>1667259</v>
      </c>
      <c r="F121">
        <v>0</v>
      </c>
      <c r="G121">
        <v>0</v>
      </c>
      <c r="H121">
        <v>10</v>
      </c>
      <c r="I121">
        <v>354646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20</v>
      </c>
      <c r="BC121" s="1">
        <v>4416896</v>
      </c>
      <c r="BD121" t="s">
        <v>74</v>
      </c>
      <c r="BE121" t="s">
        <v>2390</v>
      </c>
      <c r="BF121" t="s">
        <v>2391</v>
      </c>
      <c r="BH121" t="s">
        <v>77</v>
      </c>
      <c r="BI121" t="s">
        <v>204</v>
      </c>
      <c r="BJ121" t="s">
        <v>79</v>
      </c>
      <c r="BM121">
        <v>0</v>
      </c>
      <c r="BN121">
        <v>2</v>
      </c>
      <c r="BO121">
        <v>2</v>
      </c>
      <c r="BP121" t="s">
        <v>514</v>
      </c>
      <c r="BR121">
        <v>0</v>
      </c>
      <c r="BS121">
        <v>6</v>
      </c>
      <c r="BU121" s="1">
        <v>2021905</v>
      </c>
    </row>
    <row r="122" spans="1:73" x14ac:dyDescent="0.3">
      <c r="A122" t="s">
        <v>4400</v>
      </c>
      <c r="B122">
        <v>1</v>
      </c>
      <c r="C122">
        <v>55852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 s="1">
        <v>55852</v>
      </c>
      <c r="BD122" t="s">
        <v>74</v>
      </c>
      <c r="BE122" t="s">
        <v>4401</v>
      </c>
      <c r="BF122" t="s">
        <v>4402</v>
      </c>
      <c r="BH122" t="s">
        <v>77</v>
      </c>
      <c r="BI122" t="s">
        <v>281</v>
      </c>
      <c r="BJ122" t="s">
        <v>79</v>
      </c>
      <c r="BM122">
        <v>0</v>
      </c>
      <c r="BN122">
        <v>1</v>
      </c>
      <c r="BO122">
        <v>1</v>
      </c>
      <c r="BP122" t="s">
        <v>80</v>
      </c>
      <c r="BR122">
        <v>0</v>
      </c>
      <c r="BS122">
        <v>6</v>
      </c>
      <c r="BU122" s="1">
        <v>55852</v>
      </c>
    </row>
    <row r="123" spans="1:73" x14ac:dyDescent="0.3">
      <c r="A123" t="s">
        <v>492</v>
      </c>
      <c r="B123">
        <v>1</v>
      </c>
      <c r="C123">
        <v>126105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 s="1">
        <v>126105</v>
      </c>
      <c r="BD123" t="s">
        <v>74</v>
      </c>
      <c r="BE123" t="s">
        <v>493</v>
      </c>
      <c r="BF123" t="s">
        <v>494</v>
      </c>
      <c r="BH123" t="s">
        <v>77</v>
      </c>
      <c r="BI123" t="s">
        <v>228</v>
      </c>
      <c r="BJ123" t="s">
        <v>79</v>
      </c>
      <c r="BM123">
        <v>0</v>
      </c>
      <c r="BN123">
        <v>1</v>
      </c>
      <c r="BO123">
        <v>1</v>
      </c>
      <c r="BP123" t="s">
        <v>80</v>
      </c>
      <c r="BR123">
        <v>0</v>
      </c>
      <c r="BS123">
        <v>6</v>
      </c>
      <c r="BU123" s="1">
        <v>126105</v>
      </c>
    </row>
    <row r="124" spans="1:73" x14ac:dyDescent="0.3">
      <c r="A124" t="s">
        <v>4445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73535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19792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3</v>
      </c>
      <c r="BC124" s="1">
        <v>113119</v>
      </c>
      <c r="BD124" t="s">
        <v>74</v>
      </c>
      <c r="BE124" t="s">
        <v>4446</v>
      </c>
      <c r="BF124" t="s">
        <v>4447</v>
      </c>
      <c r="BH124" t="s">
        <v>77</v>
      </c>
      <c r="BI124" t="s">
        <v>88</v>
      </c>
      <c r="BJ124" t="s">
        <v>79</v>
      </c>
      <c r="BM124">
        <v>2</v>
      </c>
      <c r="BN124">
        <v>0</v>
      </c>
      <c r="BO124">
        <v>2</v>
      </c>
      <c r="BP124" t="s">
        <v>80</v>
      </c>
      <c r="BR124">
        <v>0</v>
      </c>
      <c r="BS124">
        <v>6</v>
      </c>
      <c r="BU124" s="1">
        <v>93327</v>
      </c>
    </row>
    <row r="125" spans="1:73" x14ac:dyDescent="0.3">
      <c r="A125" t="s">
        <v>346</v>
      </c>
      <c r="B125">
        <v>0</v>
      </c>
      <c r="C125">
        <v>0</v>
      </c>
      <c r="D125">
        <v>1</v>
      </c>
      <c r="E125">
        <v>540000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3</v>
      </c>
      <c r="BC125" s="1">
        <v>2005715</v>
      </c>
      <c r="BD125" t="s">
        <v>74</v>
      </c>
      <c r="BE125" t="s">
        <v>347</v>
      </c>
      <c r="BF125" t="s">
        <v>348</v>
      </c>
      <c r="BH125" t="s">
        <v>97</v>
      </c>
      <c r="BI125" t="s">
        <v>265</v>
      </c>
      <c r="BJ125" t="s">
        <v>79</v>
      </c>
      <c r="BM125">
        <v>0</v>
      </c>
      <c r="BN125">
        <v>1</v>
      </c>
      <c r="BO125">
        <v>1</v>
      </c>
      <c r="BP125" t="s">
        <v>80</v>
      </c>
      <c r="BR125">
        <v>0</v>
      </c>
      <c r="BS125">
        <v>6</v>
      </c>
      <c r="BU125" s="1">
        <v>540000</v>
      </c>
    </row>
    <row r="126" spans="1:73" x14ac:dyDescent="0.3">
      <c r="A126" t="s">
        <v>2321</v>
      </c>
      <c r="B126">
        <v>0</v>
      </c>
      <c r="C126">
        <v>0</v>
      </c>
      <c r="D126">
        <v>1</v>
      </c>
      <c r="E126">
        <v>209091</v>
      </c>
      <c r="F126">
        <v>0</v>
      </c>
      <c r="G126">
        <v>0</v>
      </c>
      <c r="H126">
        <v>2</v>
      </c>
      <c r="I126">
        <v>50000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</v>
      </c>
      <c r="BC126" s="1">
        <v>468182</v>
      </c>
      <c r="BD126" t="s">
        <v>74</v>
      </c>
      <c r="BE126" t="s">
        <v>2322</v>
      </c>
      <c r="BF126" t="s">
        <v>2323</v>
      </c>
      <c r="BH126" t="s">
        <v>77</v>
      </c>
      <c r="BI126" t="s">
        <v>593</v>
      </c>
      <c r="BJ126" t="s">
        <v>79</v>
      </c>
      <c r="BM126">
        <v>0</v>
      </c>
      <c r="BN126">
        <v>2</v>
      </c>
      <c r="BO126">
        <v>2</v>
      </c>
      <c r="BP126" t="s">
        <v>80</v>
      </c>
      <c r="BR126">
        <v>0</v>
      </c>
      <c r="BS126">
        <v>6</v>
      </c>
      <c r="BU126" s="1">
        <v>259091</v>
      </c>
    </row>
    <row r="127" spans="1:73" x14ac:dyDescent="0.3">
      <c r="A127" t="s">
        <v>1608</v>
      </c>
      <c r="B127">
        <v>0</v>
      </c>
      <c r="C127">
        <v>0</v>
      </c>
      <c r="D127">
        <v>9</v>
      </c>
      <c r="E127">
        <v>8702727</v>
      </c>
      <c r="F127">
        <v>0</v>
      </c>
      <c r="G127">
        <v>0</v>
      </c>
      <c r="H127">
        <v>14</v>
      </c>
      <c r="I127">
        <v>285454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22</v>
      </c>
      <c r="BC127" s="1">
        <v>17485454</v>
      </c>
      <c r="BD127" t="s">
        <v>74</v>
      </c>
      <c r="BE127" t="s">
        <v>1609</v>
      </c>
      <c r="BF127" t="s">
        <v>1610</v>
      </c>
      <c r="BH127" t="s">
        <v>77</v>
      </c>
      <c r="BI127" t="s">
        <v>593</v>
      </c>
      <c r="BJ127" t="s">
        <v>79</v>
      </c>
      <c r="BM127">
        <v>0</v>
      </c>
      <c r="BN127">
        <v>2</v>
      </c>
      <c r="BO127">
        <v>2</v>
      </c>
      <c r="BP127" t="s">
        <v>80</v>
      </c>
      <c r="BR127">
        <v>0</v>
      </c>
      <c r="BS127">
        <v>5</v>
      </c>
      <c r="BU127" s="1">
        <v>8988181</v>
      </c>
    </row>
    <row r="128" spans="1:73" x14ac:dyDescent="0.3">
      <c r="A128" t="s">
        <v>2833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82955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19792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</v>
      </c>
      <c r="BC128" s="1">
        <v>102747</v>
      </c>
      <c r="BD128" t="s">
        <v>74</v>
      </c>
      <c r="BE128" t="s">
        <v>2834</v>
      </c>
      <c r="BF128" t="s">
        <v>2835</v>
      </c>
      <c r="BH128" t="s">
        <v>77</v>
      </c>
      <c r="BI128" t="s">
        <v>129</v>
      </c>
      <c r="BJ128" t="s">
        <v>79</v>
      </c>
      <c r="BM128">
        <v>2</v>
      </c>
      <c r="BN128">
        <v>0</v>
      </c>
      <c r="BO128">
        <v>2</v>
      </c>
      <c r="BP128" t="s">
        <v>80</v>
      </c>
      <c r="BR128">
        <v>0</v>
      </c>
      <c r="BS128">
        <v>0</v>
      </c>
      <c r="BU128" s="1">
        <v>102747</v>
      </c>
    </row>
    <row r="129" spans="1:73" x14ac:dyDescent="0.3">
      <c r="A129" t="s">
        <v>111</v>
      </c>
      <c r="B129">
        <v>0</v>
      </c>
      <c r="C129">
        <v>0</v>
      </c>
      <c r="D129">
        <v>2</v>
      </c>
      <c r="E129">
        <v>962857</v>
      </c>
      <c r="F129">
        <v>0</v>
      </c>
      <c r="G129">
        <v>0</v>
      </c>
      <c r="H129">
        <v>3</v>
      </c>
      <c r="I129">
        <v>65174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</v>
      </c>
      <c r="BC129" s="1">
        <v>1028031</v>
      </c>
      <c r="BD129" t="s">
        <v>74</v>
      </c>
      <c r="BE129" t="s">
        <v>112</v>
      </c>
      <c r="BF129" t="s">
        <v>113</v>
      </c>
      <c r="BH129" t="s">
        <v>114</v>
      </c>
      <c r="BI129" t="s">
        <v>115</v>
      </c>
      <c r="BJ129" t="s">
        <v>79</v>
      </c>
      <c r="BM129">
        <v>0</v>
      </c>
      <c r="BN129">
        <v>2</v>
      </c>
      <c r="BO129">
        <v>2</v>
      </c>
      <c r="BP129" t="s">
        <v>99</v>
      </c>
      <c r="BR129">
        <v>0</v>
      </c>
      <c r="BS129">
        <v>6</v>
      </c>
      <c r="BU129" s="1">
        <v>1028031</v>
      </c>
    </row>
    <row r="130" spans="1:73" x14ac:dyDescent="0.3">
      <c r="A130" t="s">
        <v>5204</v>
      </c>
      <c r="B130">
        <v>1</v>
      </c>
      <c r="C130">
        <v>701170</v>
      </c>
      <c r="D130">
        <v>2</v>
      </c>
      <c r="E130">
        <v>643636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242727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73535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24243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13</v>
      </c>
      <c r="BC130" s="1">
        <v>2723998</v>
      </c>
      <c r="BD130" t="s">
        <v>74</v>
      </c>
      <c r="BE130" t="s">
        <v>5205</v>
      </c>
      <c r="BF130" t="s">
        <v>5206</v>
      </c>
      <c r="BH130" t="s">
        <v>77</v>
      </c>
      <c r="BI130" t="s">
        <v>92</v>
      </c>
      <c r="BJ130" t="s">
        <v>79</v>
      </c>
      <c r="BM130">
        <v>2</v>
      </c>
      <c r="BN130">
        <v>3</v>
      </c>
      <c r="BO130">
        <v>5</v>
      </c>
      <c r="BP130" t="s">
        <v>80</v>
      </c>
      <c r="BR130">
        <v>0</v>
      </c>
      <c r="BS130">
        <v>6</v>
      </c>
      <c r="BU130" s="1">
        <v>1685311</v>
      </c>
    </row>
    <row r="131" spans="1:73" x14ac:dyDescent="0.3">
      <c r="A131" t="s">
        <v>2195</v>
      </c>
      <c r="B131">
        <v>1</v>
      </c>
      <c r="C131">
        <v>342966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 s="1">
        <v>342966</v>
      </c>
      <c r="BD131" t="s">
        <v>74</v>
      </c>
      <c r="BE131" t="s">
        <v>2196</v>
      </c>
      <c r="BF131" t="s">
        <v>2197</v>
      </c>
      <c r="BM131">
        <v>0</v>
      </c>
      <c r="BN131">
        <v>1</v>
      </c>
      <c r="BO131">
        <v>1</v>
      </c>
      <c r="BP131" t="s">
        <v>80</v>
      </c>
      <c r="BR131">
        <v>0</v>
      </c>
      <c r="BS131">
        <v>6</v>
      </c>
      <c r="BU131" s="1">
        <v>342966</v>
      </c>
    </row>
    <row r="132" spans="1:73" x14ac:dyDescent="0.3">
      <c r="A132" t="s">
        <v>1857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45000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</v>
      </c>
      <c r="BC132" s="1">
        <v>45000</v>
      </c>
      <c r="BD132" t="s">
        <v>74</v>
      </c>
      <c r="BE132" t="s">
        <v>1858</v>
      </c>
      <c r="BF132" t="s">
        <v>1859</v>
      </c>
      <c r="BH132" t="s">
        <v>77</v>
      </c>
      <c r="BI132" t="s">
        <v>593</v>
      </c>
      <c r="BJ132" t="s">
        <v>79</v>
      </c>
      <c r="BM132">
        <v>0</v>
      </c>
      <c r="BN132">
        <v>1</v>
      </c>
      <c r="BO132">
        <v>1</v>
      </c>
      <c r="BP132" t="s">
        <v>80</v>
      </c>
      <c r="BR132">
        <v>0</v>
      </c>
      <c r="BS132">
        <v>6</v>
      </c>
      <c r="BU132" s="1">
        <v>45000</v>
      </c>
    </row>
    <row r="133" spans="1:73" x14ac:dyDescent="0.3">
      <c r="A133" t="s">
        <v>383</v>
      </c>
      <c r="B133">
        <v>0</v>
      </c>
      <c r="C133">
        <v>0</v>
      </c>
      <c r="D133">
        <v>1</v>
      </c>
      <c r="E133">
        <v>231428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</v>
      </c>
      <c r="BC133" s="1">
        <v>462856</v>
      </c>
      <c r="BD133" t="s">
        <v>74</v>
      </c>
      <c r="BE133" t="s">
        <v>384</v>
      </c>
      <c r="BF133" t="s">
        <v>385</v>
      </c>
      <c r="BH133" t="s">
        <v>77</v>
      </c>
      <c r="BI133" t="s">
        <v>92</v>
      </c>
      <c r="BJ133" t="s">
        <v>79</v>
      </c>
      <c r="BM133">
        <v>0</v>
      </c>
      <c r="BN133">
        <v>1</v>
      </c>
      <c r="BO133">
        <v>1</v>
      </c>
      <c r="BP133" t="s">
        <v>80</v>
      </c>
      <c r="BR133">
        <v>0</v>
      </c>
      <c r="BS133">
        <v>6</v>
      </c>
      <c r="BU133" s="1">
        <v>231428</v>
      </c>
    </row>
    <row r="134" spans="1:73" x14ac:dyDescent="0.3">
      <c r="A134" t="s">
        <v>5120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19792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 s="1">
        <v>19792</v>
      </c>
      <c r="BD134" t="s">
        <v>74</v>
      </c>
      <c r="BE134" t="s">
        <v>5121</v>
      </c>
      <c r="BF134" t="s">
        <v>5122</v>
      </c>
      <c r="BH134" t="s">
        <v>77</v>
      </c>
      <c r="BI134" t="s">
        <v>739</v>
      </c>
      <c r="BJ134" t="s">
        <v>79</v>
      </c>
      <c r="BM134">
        <v>1</v>
      </c>
      <c r="BN134">
        <v>0</v>
      </c>
      <c r="BO134">
        <v>1</v>
      </c>
      <c r="BP134" t="s">
        <v>80</v>
      </c>
      <c r="BR134">
        <v>0</v>
      </c>
      <c r="BS134">
        <v>0</v>
      </c>
      <c r="BU134" s="1">
        <v>19792</v>
      </c>
    </row>
    <row r="135" spans="1:73" x14ac:dyDescent="0.3">
      <c r="A135" t="s">
        <v>3458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82993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  <c r="BC135" s="1">
        <v>165986</v>
      </c>
      <c r="BD135" t="s">
        <v>74</v>
      </c>
      <c r="BE135" t="s">
        <v>3459</v>
      </c>
      <c r="BF135" t="s">
        <v>3460</v>
      </c>
      <c r="BH135" t="s">
        <v>77</v>
      </c>
      <c r="BI135" t="s">
        <v>281</v>
      </c>
      <c r="BJ135" t="s">
        <v>79</v>
      </c>
      <c r="BM135">
        <v>1</v>
      </c>
      <c r="BN135">
        <v>0</v>
      </c>
      <c r="BO135">
        <v>1</v>
      </c>
      <c r="BP135" t="s">
        <v>80</v>
      </c>
      <c r="BR135">
        <v>0</v>
      </c>
      <c r="BS135">
        <v>0</v>
      </c>
      <c r="BU135" s="1">
        <v>82993</v>
      </c>
    </row>
    <row r="136" spans="1:73" x14ac:dyDescent="0.3">
      <c r="A136" t="s">
        <v>5012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78585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 s="1">
        <v>78585</v>
      </c>
      <c r="BD136" t="s">
        <v>74</v>
      </c>
      <c r="BE136" t="s">
        <v>5013</v>
      </c>
      <c r="BF136" t="s">
        <v>5014</v>
      </c>
      <c r="BH136" t="s">
        <v>77</v>
      </c>
      <c r="BI136" t="s">
        <v>281</v>
      </c>
      <c r="BJ136" t="s">
        <v>79</v>
      </c>
      <c r="BM136">
        <v>1</v>
      </c>
      <c r="BN136">
        <v>0</v>
      </c>
      <c r="BO136">
        <v>1</v>
      </c>
      <c r="BP136" t="s">
        <v>80</v>
      </c>
      <c r="BR136">
        <v>0</v>
      </c>
      <c r="BS136">
        <v>0</v>
      </c>
      <c r="BU136" s="1">
        <v>78585</v>
      </c>
    </row>
    <row r="137" spans="1:73" x14ac:dyDescent="0.3">
      <c r="A137" t="s">
        <v>1208</v>
      </c>
      <c r="B137">
        <v>0</v>
      </c>
      <c r="C137">
        <v>0</v>
      </c>
      <c r="D137">
        <v>3</v>
      </c>
      <c r="E137">
        <v>1356104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</v>
      </c>
      <c r="BC137" s="1">
        <v>1854026</v>
      </c>
      <c r="BD137" t="s">
        <v>74</v>
      </c>
      <c r="BE137" t="s">
        <v>1209</v>
      </c>
      <c r="BF137" t="s">
        <v>1210</v>
      </c>
      <c r="BH137" t="s">
        <v>123</v>
      </c>
      <c r="BI137" t="s">
        <v>124</v>
      </c>
      <c r="BJ137" t="s">
        <v>125</v>
      </c>
      <c r="BM137">
        <v>0</v>
      </c>
      <c r="BN137">
        <v>1</v>
      </c>
      <c r="BO137">
        <v>1</v>
      </c>
      <c r="BP137" t="s">
        <v>80</v>
      </c>
      <c r="BR137">
        <v>0</v>
      </c>
      <c r="BS137">
        <v>6</v>
      </c>
      <c r="BU137" s="1">
        <v>1356104</v>
      </c>
    </row>
    <row r="138" spans="1:73" x14ac:dyDescent="0.3">
      <c r="A138" t="s">
        <v>2967</v>
      </c>
      <c r="B138">
        <v>2</v>
      </c>
      <c r="C138">
        <v>464935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</v>
      </c>
      <c r="BC138" s="1">
        <v>464935</v>
      </c>
      <c r="BD138" t="s">
        <v>74</v>
      </c>
      <c r="BE138" t="s">
        <v>2968</v>
      </c>
      <c r="BF138" t="s">
        <v>2969</v>
      </c>
      <c r="BH138" t="s">
        <v>77</v>
      </c>
      <c r="BI138" t="s">
        <v>92</v>
      </c>
      <c r="BJ138" t="s">
        <v>79</v>
      </c>
      <c r="BM138">
        <v>0</v>
      </c>
      <c r="BN138">
        <v>1</v>
      </c>
      <c r="BO138">
        <v>1</v>
      </c>
      <c r="BP138" t="s">
        <v>80</v>
      </c>
      <c r="BR138">
        <v>0</v>
      </c>
      <c r="BS138">
        <v>6</v>
      </c>
      <c r="BU138" s="1">
        <v>464935</v>
      </c>
    </row>
    <row r="139" spans="1:73" x14ac:dyDescent="0.3">
      <c r="A139" t="s">
        <v>5586</v>
      </c>
      <c r="B139">
        <v>2</v>
      </c>
      <c r="C139">
        <v>89090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 s="1">
        <v>89090</v>
      </c>
      <c r="BD139" t="s">
        <v>74</v>
      </c>
      <c r="BE139" t="s">
        <v>5587</v>
      </c>
      <c r="BF139" t="s">
        <v>5588</v>
      </c>
      <c r="BH139" t="s">
        <v>77</v>
      </c>
      <c r="BI139" t="s">
        <v>204</v>
      </c>
      <c r="BJ139" t="s">
        <v>79</v>
      </c>
      <c r="BM139">
        <v>0</v>
      </c>
      <c r="BN139">
        <v>1</v>
      </c>
      <c r="BO139">
        <v>1</v>
      </c>
      <c r="BP139" t="s">
        <v>80</v>
      </c>
      <c r="BR139">
        <v>0</v>
      </c>
      <c r="BS139">
        <v>6</v>
      </c>
      <c r="BU139" s="1">
        <v>89090</v>
      </c>
    </row>
    <row r="140" spans="1:73" x14ac:dyDescent="0.3">
      <c r="A140" t="s">
        <v>546</v>
      </c>
      <c r="B140">
        <v>0</v>
      </c>
      <c r="C140">
        <v>0</v>
      </c>
      <c r="D140">
        <v>2</v>
      </c>
      <c r="E140">
        <v>1419062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 s="1">
        <v>1419062</v>
      </c>
      <c r="BD140" t="s">
        <v>74</v>
      </c>
      <c r="BE140" t="s">
        <v>547</v>
      </c>
      <c r="BF140" t="s">
        <v>548</v>
      </c>
      <c r="BH140" t="s">
        <v>114</v>
      </c>
      <c r="BI140" t="s">
        <v>549</v>
      </c>
      <c r="BJ140" t="s">
        <v>79</v>
      </c>
      <c r="BM140">
        <v>0</v>
      </c>
      <c r="BN140">
        <v>1</v>
      </c>
      <c r="BO140">
        <v>1</v>
      </c>
      <c r="BP140" t="s">
        <v>99</v>
      </c>
      <c r="BR140">
        <v>0</v>
      </c>
      <c r="BS140">
        <v>6</v>
      </c>
      <c r="BU140" s="1">
        <v>1419062</v>
      </c>
    </row>
    <row r="141" spans="1:73" x14ac:dyDescent="0.3">
      <c r="A141" t="s">
        <v>2070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82993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</v>
      </c>
      <c r="BC141" s="1">
        <v>165986</v>
      </c>
      <c r="BD141" t="s">
        <v>74</v>
      </c>
      <c r="BE141" t="s">
        <v>2071</v>
      </c>
      <c r="BF141" t="s">
        <v>2072</v>
      </c>
      <c r="BH141" t="s">
        <v>77</v>
      </c>
      <c r="BI141" t="s">
        <v>204</v>
      </c>
      <c r="BJ141" t="s">
        <v>79</v>
      </c>
      <c r="BM141">
        <v>1</v>
      </c>
      <c r="BN141">
        <v>0</v>
      </c>
      <c r="BO141">
        <v>1</v>
      </c>
      <c r="BP141" t="s">
        <v>80</v>
      </c>
      <c r="BR141">
        <v>0</v>
      </c>
      <c r="BS141">
        <v>6</v>
      </c>
      <c r="BU141" s="1">
        <v>82993</v>
      </c>
    </row>
    <row r="142" spans="1:73" x14ac:dyDescent="0.3">
      <c r="A142" t="s">
        <v>1841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82993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 s="1">
        <v>165986</v>
      </c>
      <c r="BD142" t="s">
        <v>74</v>
      </c>
      <c r="BE142" t="s">
        <v>1842</v>
      </c>
      <c r="BF142" t="s">
        <v>1843</v>
      </c>
      <c r="BH142" t="s">
        <v>77</v>
      </c>
      <c r="BI142" t="s">
        <v>204</v>
      </c>
      <c r="BJ142" t="s">
        <v>79</v>
      </c>
      <c r="BM142">
        <v>1</v>
      </c>
      <c r="BN142">
        <v>0</v>
      </c>
      <c r="BO142">
        <v>1</v>
      </c>
      <c r="BP142" t="s">
        <v>80</v>
      </c>
      <c r="BR142">
        <v>0</v>
      </c>
      <c r="BS142">
        <v>0</v>
      </c>
      <c r="BU142" s="1">
        <v>82993</v>
      </c>
    </row>
    <row r="143" spans="1:73" x14ac:dyDescent="0.3">
      <c r="A143" t="s">
        <v>5191</v>
      </c>
      <c r="B143">
        <v>1</v>
      </c>
      <c r="C143">
        <v>546166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 s="1">
        <v>546166</v>
      </c>
      <c r="BD143" t="s">
        <v>74</v>
      </c>
      <c r="BE143" t="s">
        <v>5192</v>
      </c>
      <c r="BF143" t="s">
        <v>5193</v>
      </c>
      <c r="BH143" t="s">
        <v>77</v>
      </c>
      <c r="BI143" t="s">
        <v>204</v>
      </c>
      <c r="BJ143" t="s">
        <v>79</v>
      </c>
      <c r="BM143">
        <v>0</v>
      </c>
      <c r="BN143">
        <v>1</v>
      </c>
      <c r="BO143">
        <v>1</v>
      </c>
      <c r="BP143" t="s">
        <v>80</v>
      </c>
      <c r="BR143">
        <v>0</v>
      </c>
      <c r="BS143">
        <v>6</v>
      </c>
      <c r="BU143" s="1">
        <v>546166</v>
      </c>
    </row>
    <row r="144" spans="1:73" x14ac:dyDescent="0.3">
      <c r="A144" t="s">
        <v>133</v>
      </c>
      <c r="B144">
        <v>0</v>
      </c>
      <c r="C144">
        <v>0</v>
      </c>
      <c r="D144">
        <v>3</v>
      </c>
      <c r="E144">
        <v>705600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5</v>
      </c>
      <c r="BC144" s="1">
        <v>1276800</v>
      </c>
      <c r="BD144" t="s">
        <v>74</v>
      </c>
      <c r="BE144" t="s">
        <v>134</v>
      </c>
      <c r="BF144" t="s">
        <v>135</v>
      </c>
      <c r="BH144" t="s">
        <v>136</v>
      </c>
      <c r="BI144" t="s">
        <v>137</v>
      </c>
      <c r="BJ144" t="s">
        <v>125</v>
      </c>
      <c r="BM144">
        <v>0</v>
      </c>
      <c r="BN144">
        <v>1</v>
      </c>
      <c r="BO144">
        <v>1</v>
      </c>
      <c r="BP144" t="s">
        <v>80</v>
      </c>
      <c r="BR144">
        <v>0</v>
      </c>
      <c r="BS144">
        <v>6</v>
      </c>
      <c r="BU144" s="1">
        <v>705600</v>
      </c>
    </row>
    <row r="145" spans="1:73" x14ac:dyDescent="0.3">
      <c r="A145" t="s">
        <v>540</v>
      </c>
      <c r="B145">
        <v>1</v>
      </c>
      <c r="C145">
        <v>328641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 s="1">
        <v>328641</v>
      </c>
      <c r="BD145" t="s">
        <v>74</v>
      </c>
      <c r="BE145" t="s">
        <v>541</v>
      </c>
      <c r="BF145" t="s">
        <v>542</v>
      </c>
      <c r="BM145">
        <v>0</v>
      </c>
      <c r="BN145">
        <v>1</v>
      </c>
      <c r="BO145">
        <v>1</v>
      </c>
      <c r="BP145" t="s">
        <v>99</v>
      </c>
      <c r="BR145">
        <v>0</v>
      </c>
      <c r="BS145">
        <v>6</v>
      </c>
      <c r="BU145" s="1">
        <v>328641</v>
      </c>
    </row>
    <row r="146" spans="1:73" x14ac:dyDescent="0.3">
      <c r="A146" t="s">
        <v>2017</v>
      </c>
      <c r="B146">
        <v>2</v>
      </c>
      <c r="C146">
        <v>672709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30000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</v>
      </c>
      <c r="BC146" s="1">
        <v>702709</v>
      </c>
      <c r="BD146" t="s">
        <v>74</v>
      </c>
      <c r="BE146" t="s">
        <v>2018</v>
      </c>
      <c r="BF146" t="s">
        <v>2019</v>
      </c>
      <c r="BH146" t="s">
        <v>77</v>
      </c>
      <c r="BI146" t="s">
        <v>524</v>
      </c>
      <c r="BJ146" t="s">
        <v>79</v>
      </c>
      <c r="BM146">
        <v>0</v>
      </c>
      <c r="BN146">
        <v>2</v>
      </c>
      <c r="BO146">
        <v>2</v>
      </c>
      <c r="BP146" t="s">
        <v>80</v>
      </c>
      <c r="BR146">
        <v>0</v>
      </c>
      <c r="BS146">
        <v>6</v>
      </c>
      <c r="BU146" s="1">
        <v>702709</v>
      </c>
    </row>
    <row r="147" spans="1:73" x14ac:dyDescent="0.3">
      <c r="A147" t="s">
        <v>1400</v>
      </c>
      <c r="B147">
        <v>0</v>
      </c>
      <c r="C147">
        <v>0</v>
      </c>
      <c r="D147">
        <v>5</v>
      </c>
      <c r="E147">
        <v>310733</v>
      </c>
      <c r="F147">
        <v>0</v>
      </c>
      <c r="G147">
        <v>0</v>
      </c>
      <c r="H147">
        <v>8</v>
      </c>
      <c r="I147">
        <v>160666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10</v>
      </c>
      <c r="BC147" s="1">
        <v>621466</v>
      </c>
      <c r="BD147" t="s">
        <v>74</v>
      </c>
      <c r="BE147" t="s">
        <v>1401</v>
      </c>
      <c r="BF147" t="s">
        <v>1402</v>
      </c>
      <c r="BH147" t="s">
        <v>136</v>
      </c>
      <c r="BI147" t="s">
        <v>191</v>
      </c>
      <c r="BJ147" t="s">
        <v>125</v>
      </c>
      <c r="BM147">
        <v>0</v>
      </c>
      <c r="BN147">
        <v>2</v>
      </c>
      <c r="BO147">
        <v>2</v>
      </c>
      <c r="BP147" t="s">
        <v>99</v>
      </c>
      <c r="BR147">
        <v>0</v>
      </c>
      <c r="BS147">
        <v>6</v>
      </c>
      <c r="BU147" s="1">
        <v>471399</v>
      </c>
    </row>
    <row r="148" spans="1:73" x14ac:dyDescent="0.3">
      <c r="A148" t="s">
        <v>2680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73535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</v>
      </c>
      <c r="BC148" s="1">
        <v>152120</v>
      </c>
      <c r="BD148" t="s">
        <v>74</v>
      </c>
      <c r="BE148" t="s">
        <v>2681</v>
      </c>
      <c r="BF148" t="s">
        <v>2682</v>
      </c>
      <c r="BH148" t="s">
        <v>77</v>
      </c>
      <c r="BI148" t="s">
        <v>88</v>
      </c>
      <c r="BJ148" t="s">
        <v>79</v>
      </c>
      <c r="BM148">
        <v>1</v>
      </c>
      <c r="BN148">
        <v>0</v>
      </c>
      <c r="BO148">
        <v>1</v>
      </c>
      <c r="BP148" t="s">
        <v>80</v>
      </c>
      <c r="BR148">
        <v>0</v>
      </c>
      <c r="BS148">
        <v>0</v>
      </c>
      <c r="BU148" s="1">
        <v>73535</v>
      </c>
    </row>
    <row r="149" spans="1:73" x14ac:dyDescent="0.3">
      <c r="A149" t="s">
        <v>915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20000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 s="1">
        <v>20000</v>
      </c>
      <c r="BD149" t="s">
        <v>74</v>
      </c>
      <c r="BE149" t="s">
        <v>916</v>
      </c>
      <c r="BF149" t="s">
        <v>917</v>
      </c>
      <c r="BH149" t="s">
        <v>77</v>
      </c>
      <c r="BI149" t="s">
        <v>593</v>
      </c>
      <c r="BJ149" t="s">
        <v>79</v>
      </c>
      <c r="BM149">
        <v>0</v>
      </c>
      <c r="BN149">
        <v>1</v>
      </c>
      <c r="BO149">
        <v>1</v>
      </c>
      <c r="BP149" t="s">
        <v>80</v>
      </c>
      <c r="BR149">
        <v>0</v>
      </c>
      <c r="BS149">
        <v>6</v>
      </c>
      <c r="BU149" s="1">
        <v>20000</v>
      </c>
    </row>
    <row r="150" spans="1:73" x14ac:dyDescent="0.3">
      <c r="A150" t="s">
        <v>2466</v>
      </c>
      <c r="B150">
        <v>0</v>
      </c>
      <c r="C150">
        <v>0</v>
      </c>
      <c r="D150">
        <v>1</v>
      </c>
      <c r="E150">
        <v>136364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14662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</v>
      </c>
      <c r="BC150" s="1">
        <v>151026</v>
      </c>
      <c r="BD150" t="s">
        <v>74</v>
      </c>
      <c r="BE150" t="s">
        <v>2467</v>
      </c>
      <c r="BF150" t="s">
        <v>2468</v>
      </c>
      <c r="BH150" t="s">
        <v>77</v>
      </c>
      <c r="BI150" t="s">
        <v>574</v>
      </c>
      <c r="BJ150" t="s">
        <v>79</v>
      </c>
      <c r="BM150">
        <v>0</v>
      </c>
      <c r="BN150">
        <v>2</v>
      </c>
      <c r="BO150">
        <v>2</v>
      </c>
      <c r="BP150" t="s">
        <v>80</v>
      </c>
      <c r="BR150">
        <v>0</v>
      </c>
      <c r="BS150">
        <v>6</v>
      </c>
      <c r="BU150" s="1">
        <v>151026</v>
      </c>
    </row>
    <row r="151" spans="1:73" x14ac:dyDescent="0.3">
      <c r="A151" t="s">
        <v>5424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38008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 s="1">
        <v>38008</v>
      </c>
      <c r="BD151" t="s">
        <v>74</v>
      </c>
      <c r="BE151" t="s">
        <v>5425</v>
      </c>
      <c r="BF151" t="s">
        <v>5426</v>
      </c>
      <c r="BH151" t="s">
        <v>77</v>
      </c>
      <c r="BI151" t="s">
        <v>204</v>
      </c>
      <c r="BJ151" t="s">
        <v>79</v>
      </c>
      <c r="BM151">
        <v>0</v>
      </c>
      <c r="BN151">
        <v>1</v>
      </c>
      <c r="BO151">
        <v>1</v>
      </c>
      <c r="BP151" t="s">
        <v>80</v>
      </c>
      <c r="BR151">
        <v>0</v>
      </c>
      <c r="BS151">
        <v>6</v>
      </c>
      <c r="BU151" s="1">
        <v>38008</v>
      </c>
    </row>
    <row r="152" spans="1:73" x14ac:dyDescent="0.3">
      <c r="A152" t="s">
        <v>758</v>
      </c>
      <c r="B152">
        <v>0</v>
      </c>
      <c r="C152">
        <v>0</v>
      </c>
      <c r="D152">
        <v>4</v>
      </c>
      <c r="E152">
        <v>1860000</v>
      </c>
      <c r="F152">
        <v>0</v>
      </c>
      <c r="G152">
        <v>0</v>
      </c>
      <c r="H152">
        <v>6</v>
      </c>
      <c r="I152">
        <v>120000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8</v>
      </c>
      <c r="BC152" s="1">
        <v>3720000</v>
      </c>
      <c r="BD152" t="s">
        <v>74</v>
      </c>
      <c r="BE152" t="s">
        <v>759</v>
      </c>
      <c r="BF152" t="s">
        <v>760</v>
      </c>
      <c r="BH152" t="s">
        <v>136</v>
      </c>
      <c r="BI152" t="s">
        <v>191</v>
      </c>
      <c r="BJ152" t="s">
        <v>125</v>
      </c>
      <c r="BM152">
        <v>0</v>
      </c>
      <c r="BN152">
        <v>2</v>
      </c>
      <c r="BO152">
        <v>2</v>
      </c>
      <c r="BP152" t="s">
        <v>80</v>
      </c>
      <c r="BR152">
        <v>0</v>
      </c>
      <c r="BS152">
        <v>6</v>
      </c>
      <c r="BU152" s="1">
        <v>1980000</v>
      </c>
    </row>
    <row r="153" spans="1:73" x14ac:dyDescent="0.3">
      <c r="A153" t="s">
        <v>3614</v>
      </c>
      <c r="B153">
        <v>1</v>
      </c>
      <c r="C153">
        <v>345644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 s="1">
        <v>345644</v>
      </c>
      <c r="BD153" t="s">
        <v>74</v>
      </c>
      <c r="BE153" t="s">
        <v>3615</v>
      </c>
      <c r="BF153" t="s">
        <v>3616</v>
      </c>
      <c r="BH153" t="s">
        <v>114</v>
      </c>
      <c r="BI153" t="s">
        <v>3617</v>
      </c>
      <c r="BJ153" t="s">
        <v>79</v>
      </c>
      <c r="BM153">
        <v>0</v>
      </c>
      <c r="BN153">
        <v>1</v>
      </c>
      <c r="BO153">
        <v>1</v>
      </c>
      <c r="BP153" t="s">
        <v>80</v>
      </c>
      <c r="BR153">
        <v>0</v>
      </c>
      <c r="BS153">
        <v>6</v>
      </c>
      <c r="BU153" s="1">
        <v>345644</v>
      </c>
    </row>
    <row r="154" spans="1:73" x14ac:dyDescent="0.3">
      <c r="A154" t="s">
        <v>1187</v>
      </c>
      <c r="B154">
        <v>0</v>
      </c>
      <c r="C154">
        <v>0</v>
      </c>
      <c r="D154">
        <v>1</v>
      </c>
      <c r="E154">
        <v>171428</v>
      </c>
      <c r="F154">
        <v>0</v>
      </c>
      <c r="G154">
        <v>0</v>
      </c>
      <c r="H154">
        <v>1</v>
      </c>
      <c r="I154">
        <v>20000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</v>
      </c>
      <c r="BC154" s="1">
        <v>191428</v>
      </c>
      <c r="BD154" t="s">
        <v>74</v>
      </c>
      <c r="BE154" t="s">
        <v>1188</v>
      </c>
      <c r="BF154" t="s">
        <v>1189</v>
      </c>
      <c r="BH154" t="s">
        <v>77</v>
      </c>
      <c r="BI154" t="s">
        <v>204</v>
      </c>
      <c r="BJ154" t="s">
        <v>79</v>
      </c>
      <c r="BM154">
        <v>0</v>
      </c>
      <c r="BN154">
        <v>2</v>
      </c>
      <c r="BO154">
        <v>2</v>
      </c>
      <c r="BP154" t="s">
        <v>80</v>
      </c>
      <c r="BR154">
        <v>0</v>
      </c>
      <c r="BS154">
        <v>6</v>
      </c>
      <c r="BU154" s="1">
        <v>191428</v>
      </c>
    </row>
    <row r="155" spans="1:73" x14ac:dyDescent="0.3">
      <c r="A155" t="s">
        <v>2577</v>
      </c>
      <c r="B155">
        <v>0</v>
      </c>
      <c r="C155">
        <v>0</v>
      </c>
      <c r="D155">
        <v>3</v>
      </c>
      <c r="E155">
        <v>1754286</v>
      </c>
      <c r="F155">
        <v>0</v>
      </c>
      <c r="G155">
        <v>0</v>
      </c>
      <c r="H155">
        <v>4</v>
      </c>
      <c r="I155">
        <v>80000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6</v>
      </c>
      <c r="BC155" s="1">
        <v>3508572</v>
      </c>
      <c r="BD155" t="s">
        <v>74</v>
      </c>
      <c r="BE155" t="s">
        <v>2578</v>
      </c>
      <c r="BF155" t="s">
        <v>2579</v>
      </c>
      <c r="BH155" t="s">
        <v>77</v>
      </c>
      <c r="BI155" t="s">
        <v>204</v>
      </c>
      <c r="BJ155" t="s">
        <v>79</v>
      </c>
      <c r="BM155">
        <v>0</v>
      </c>
      <c r="BN155">
        <v>2</v>
      </c>
      <c r="BO155">
        <v>2</v>
      </c>
      <c r="BP155" t="s">
        <v>80</v>
      </c>
      <c r="BR155">
        <v>0</v>
      </c>
      <c r="BS155">
        <v>6</v>
      </c>
      <c r="BU155" s="1">
        <v>1834286</v>
      </c>
    </row>
    <row r="156" spans="1:73" x14ac:dyDescent="0.3">
      <c r="A156" t="s">
        <v>5068</v>
      </c>
      <c r="B156">
        <v>0</v>
      </c>
      <c r="C156">
        <v>0</v>
      </c>
      <c r="D156">
        <v>1</v>
      </c>
      <c r="E156">
        <v>20200</v>
      </c>
      <c r="F156">
        <v>0</v>
      </c>
      <c r="G156">
        <v>0</v>
      </c>
      <c r="H156">
        <v>2</v>
      </c>
      <c r="I156">
        <v>40400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</v>
      </c>
      <c r="BC156" s="1">
        <v>40400</v>
      </c>
      <c r="BD156" t="s">
        <v>74</v>
      </c>
      <c r="BE156" t="s">
        <v>5069</v>
      </c>
      <c r="BF156" t="s">
        <v>5070</v>
      </c>
      <c r="BH156" t="s">
        <v>77</v>
      </c>
      <c r="BI156" t="s">
        <v>204</v>
      </c>
      <c r="BJ156" t="s">
        <v>79</v>
      </c>
      <c r="BM156">
        <v>0</v>
      </c>
      <c r="BN156">
        <v>2</v>
      </c>
      <c r="BO156">
        <v>2</v>
      </c>
      <c r="BP156" t="s">
        <v>80</v>
      </c>
      <c r="BR156">
        <v>0</v>
      </c>
      <c r="BS156">
        <v>6</v>
      </c>
      <c r="BU156" s="1">
        <v>60600</v>
      </c>
    </row>
    <row r="157" spans="1:73" x14ac:dyDescent="0.3">
      <c r="A157" t="s">
        <v>5053</v>
      </c>
      <c r="B157">
        <v>0</v>
      </c>
      <c r="C157">
        <v>0</v>
      </c>
      <c r="D157">
        <v>2</v>
      </c>
      <c r="E157">
        <v>266857</v>
      </c>
      <c r="F157">
        <v>0</v>
      </c>
      <c r="G157">
        <v>0</v>
      </c>
      <c r="H157">
        <v>2</v>
      </c>
      <c r="I157">
        <v>40000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5</v>
      </c>
      <c r="BC157" s="1">
        <v>705142</v>
      </c>
      <c r="BD157" t="s">
        <v>74</v>
      </c>
      <c r="BE157" t="s">
        <v>5054</v>
      </c>
      <c r="BF157" t="s">
        <v>5055</v>
      </c>
      <c r="BH157" t="s">
        <v>136</v>
      </c>
      <c r="BI157" t="s">
        <v>191</v>
      </c>
      <c r="BJ157" t="s">
        <v>125</v>
      </c>
      <c r="BM157">
        <v>0</v>
      </c>
      <c r="BN157">
        <v>2</v>
      </c>
      <c r="BO157">
        <v>2</v>
      </c>
      <c r="BP157" t="s">
        <v>80</v>
      </c>
      <c r="BR157">
        <v>0</v>
      </c>
      <c r="BS157">
        <v>6</v>
      </c>
      <c r="BU157" s="1">
        <v>306857</v>
      </c>
    </row>
    <row r="158" spans="1:73" x14ac:dyDescent="0.3">
      <c r="A158" t="s">
        <v>1007</v>
      </c>
      <c r="B158">
        <v>0</v>
      </c>
      <c r="C158">
        <v>0</v>
      </c>
      <c r="D158">
        <v>3</v>
      </c>
      <c r="E158">
        <v>690000</v>
      </c>
      <c r="F158">
        <v>0</v>
      </c>
      <c r="G158">
        <v>0</v>
      </c>
      <c r="H158">
        <v>4</v>
      </c>
      <c r="I158">
        <v>80000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6</v>
      </c>
      <c r="BC158" s="1">
        <v>1380000</v>
      </c>
      <c r="BD158" t="s">
        <v>74</v>
      </c>
      <c r="BE158" t="s">
        <v>1008</v>
      </c>
      <c r="BF158" t="s">
        <v>1009</v>
      </c>
      <c r="BH158" t="s">
        <v>77</v>
      </c>
      <c r="BI158" t="s">
        <v>88</v>
      </c>
      <c r="BJ158" t="s">
        <v>79</v>
      </c>
      <c r="BM158">
        <v>0</v>
      </c>
      <c r="BN158">
        <v>2</v>
      </c>
      <c r="BO158">
        <v>2</v>
      </c>
      <c r="BP158" t="s">
        <v>80</v>
      </c>
      <c r="BR158">
        <v>0</v>
      </c>
      <c r="BS158">
        <v>6</v>
      </c>
      <c r="BU158" s="1">
        <v>770000</v>
      </c>
    </row>
    <row r="159" spans="1:73" x14ac:dyDescent="0.3">
      <c r="A159" t="s">
        <v>4908</v>
      </c>
      <c r="B159">
        <v>0</v>
      </c>
      <c r="C159">
        <v>0</v>
      </c>
      <c r="D159">
        <v>2</v>
      </c>
      <c r="E159">
        <v>500000</v>
      </c>
      <c r="F159">
        <v>0</v>
      </c>
      <c r="G159">
        <v>0</v>
      </c>
      <c r="H159">
        <v>2</v>
      </c>
      <c r="I159">
        <v>40000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</v>
      </c>
      <c r="BC159" s="1">
        <v>1000000</v>
      </c>
      <c r="BD159" t="s">
        <v>74</v>
      </c>
      <c r="BE159" t="s">
        <v>4909</v>
      </c>
      <c r="BF159" t="s">
        <v>4910</v>
      </c>
      <c r="BH159" t="s">
        <v>77</v>
      </c>
      <c r="BI159" t="s">
        <v>281</v>
      </c>
      <c r="BJ159" t="s">
        <v>79</v>
      </c>
      <c r="BM159">
        <v>0</v>
      </c>
      <c r="BN159">
        <v>2</v>
      </c>
      <c r="BO159">
        <v>2</v>
      </c>
      <c r="BP159" t="s">
        <v>80</v>
      </c>
      <c r="BR159">
        <v>0</v>
      </c>
      <c r="BS159">
        <v>6</v>
      </c>
      <c r="BU159" s="1">
        <v>540000</v>
      </c>
    </row>
    <row r="160" spans="1:73" x14ac:dyDescent="0.3">
      <c r="A160" t="s">
        <v>5936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78585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</v>
      </c>
      <c r="BC160" s="1">
        <v>157170</v>
      </c>
      <c r="BD160" t="s">
        <v>74</v>
      </c>
      <c r="BE160" t="s">
        <v>5937</v>
      </c>
      <c r="BF160" t="s">
        <v>5938</v>
      </c>
      <c r="BH160" t="s">
        <v>77</v>
      </c>
      <c r="BI160" t="s">
        <v>88</v>
      </c>
      <c r="BJ160" t="s">
        <v>79</v>
      </c>
      <c r="BM160">
        <v>1</v>
      </c>
      <c r="BN160">
        <v>0</v>
      </c>
      <c r="BO160">
        <v>1</v>
      </c>
      <c r="BP160" t="s">
        <v>80</v>
      </c>
      <c r="BR160">
        <v>0</v>
      </c>
      <c r="BS160">
        <v>6</v>
      </c>
      <c r="BU160" s="1">
        <v>78585</v>
      </c>
    </row>
    <row r="161" spans="1:73" x14ac:dyDescent="0.3">
      <c r="A161" t="s">
        <v>5561</v>
      </c>
      <c r="B161">
        <v>1</v>
      </c>
      <c r="C161">
        <v>246722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 s="1">
        <v>246722</v>
      </c>
      <c r="BD161" t="s">
        <v>74</v>
      </c>
      <c r="BE161" t="s">
        <v>5562</v>
      </c>
      <c r="BF161" t="s">
        <v>5563</v>
      </c>
      <c r="BH161" t="s">
        <v>77</v>
      </c>
      <c r="BI161" t="s">
        <v>204</v>
      </c>
      <c r="BJ161" t="s">
        <v>79</v>
      </c>
      <c r="BM161">
        <v>0</v>
      </c>
      <c r="BN161">
        <v>1</v>
      </c>
      <c r="BO161">
        <v>1</v>
      </c>
      <c r="BP161" t="s">
        <v>80</v>
      </c>
      <c r="BR161">
        <v>0</v>
      </c>
      <c r="BS161">
        <v>6</v>
      </c>
      <c r="BU161" s="1">
        <v>246722</v>
      </c>
    </row>
    <row r="162" spans="1:73" x14ac:dyDescent="0.3">
      <c r="A162" t="s">
        <v>2020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20000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 s="1">
        <v>20000</v>
      </c>
      <c r="BD162" t="s">
        <v>74</v>
      </c>
      <c r="BE162" t="s">
        <v>2021</v>
      </c>
      <c r="BF162" t="s">
        <v>2022</v>
      </c>
      <c r="BH162" t="s">
        <v>77</v>
      </c>
      <c r="BI162" t="s">
        <v>593</v>
      </c>
      <c r="BJ162" t="s">
        <v>79</v>
      </c>
      <c r="BM162">
        <v>0</v>
      </c>
      <c r="BN162">
        <v>1</v>
      </c>
      <c r="BO162">
        <v>1</v>
      </c>
      <c r="BP162" t="s">
        <v>80</v>
      </c>
      <c r="BR162">
        <v>0</v>
      </c>
      <c r="BS162">
        <v>6</v>
      </c>
      <c r="BU162" s="1">
        <v>20000</v>
      </c>
    </row>
    <row r="163" spans="1:73" x14ac:dyDescent="0.3">
      <c r="A163" t="s">
        <v>368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40000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</v>
      </c>
      <c r="BC163" s="1">
        <v>40000</v>
      </c>
      <c r="BD163" t="s">
        <v>74</v>
      </c>
      <c r="BE163" t="s">
        <v>369</v>
      </c>
      <c r="BF163" t="s">
        <v>370</v>
      </c>
      <c r="BH163" t="s">
        <v>77</v>
      </c>
      <c r="BI163" t="s">
        <v>78</v>
      </c>
      <c r="BJ163" t="s">
        <v>79</v>
      </c>
      <c r="BM163">
        <v>0</v>
      </c>
      <c r="BN163">
        <v>1</v>
      </c>
      <c r="BO163">
        <v>1</v>
      </c>
      <c r="BP163" t="s">
        <v>80</v>
      </c>
      <c r="BR163">
        <v>0</v>
      </c>
      <c r="BS163">
        <v>6</v>
      </c>
      <c r="BU163" s="1">
        <v>40000</v>
      </c>
    </row>
    <row r="164" spans="1:73" x14ac:dyDescent="0.3">
      <c r="A164" t="s">
        <v>4870</v>
      </c>
      <c r="B164">
        <v>0</v>
      </c>
      <c r="C164">
        <v>0</v>
      </c>
      <c r="D164">
        <v>1</v>
      </c>
      <c r="E164">
        <v>261818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19792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5</v>
      </c>
      <c r="BC164" s="1">
        <v>708935</v>
      </c>
      <c r="BD164" t="s">
        <v>74</v>
      </c>
      <c r="BE164" t="s">
        <v>4871</v>
      </c>
      <c r="BF164" t="s">
        <v>4872</v>
      </c>
      <c r="BH164" t="s">
        <v>77</v>
      </c>
      <c r="BI164" t="s">
        <v>574</v>
      </c>
      <c r="BJ164" t="s">
        <v>79</v>
      </c>
      <c r="BM164">
        <v>1</v>
      </c>
      <c r="BN164">
        <v>1</v>
      </c>
      <c r="BO164">
        <v>2</v>
      </c>
      <c r="BP164" t="s">
        <v>80</v>
      </c>
      <c r="BR164">
        <v>0</v>
      </c>
      <c r="BS164">
        <v>6</v>
      </c>
      <c r="BU164" s="1">
        <v>281610</v>
      </c>
    </row>
    <row r="165" spans="1:73" x14ac:dyDescent="0.3">
      <c r="A165" t="s">
        <v>1827</v>
      </c>
      <c r="B165">
        <v>1</v>
      </c>
      <c r="C165">
        <v>145276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 s="1">
        <v>145276</v>
      </c>
      <c r="BD165" t="s">
        <v>74</v>
      </c>
      <c r="BE165" t="s">
        <v>1828</v>
      </c>
      <c r="BF165" t="s">
        <v>1829</v>
      </c>
      <c r="BH165" t="s">
        <v>77</v>
      </c>
      <c r="BI165" t="s">
        <v>593</v>
      </c>
      <c r="BJ165" t="s">
        <v>79</v>
      </c>
      <c r="BM165">
        <v>0</v>
      </c>
      <c r="BN165">
        <v>1</v>
      </c>
      <c r="BO165">
        <v>1</v>
      </c>
      <c r="BP165" t="s">
        <v>80</v>
      </c>
      <c r="BR165">
        <v>0</v>
      </c>
      <c r="BS165">
        <v>6</v>
      </c>
      <c r="BU165" s="1">
        <v>145276</v>
      </c>
    </row>
    <row r="166" spans="1:73" x14ac:dyDescent="0.3">
      <c r="A166" t="s">
        <v>5209</v>
      </c>
      <c r="B166">
        <v>4</v>
      </c>
      <c r="C166">
        <v>855583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</v>
      </c>
      <c r="BC166" s="1">
        <v>855583</v>
      </c>
      <c r="BD166" t="s">
        <v>74</v>
      </c>
      <c r="BE166" t="s">
        <v>5210</v>
      </c>
      <c r="BF166" t="s">
        <v>5211</v>
      </c>
      <c r="BH166" t="s">
        <v>77</v>
      </c>
      <c r="BI166" t="s">
        <v>593</v>
      </c>
      <c r="BJ166" t="s">
        <v>79</v>
      </c>
      <c r="BM166">
        <v>0</v>
      </c>
      <c r="BN166">
        <v>1</v>
      </c>
      <c r="BO166">
        <v>1</v>
      </c>
      <c r="BP166" t="s">
        <v>80</v>
      </c>
      <c r="BR166">
        <v>0</v>
      </c>
      <c r="BS166">
        <v>6</v>
      </c>
      <c r="BU166" s="1">
        <v>855583</v>
      </c>
    </row>
    <row r="167" spans="1:73" x14ac:dyDescent="0.3">
      <c r="A167" t="s">
        <v>3189</v>
      </c>
      <c r="B167">
        <v>1</v>
      </c>
      <c r="C167">
        <v>72860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 s="1">
        <v>72860</v>
      </c>
      <c r="BD167" t="s">
        <v>74</v>
      </c>
      <c r="BE167" t="s">
        <v>3190</v>
      </c>
      <c r="BF167" t="s">
        <v>3191</v>
      </c>
      <c r="BH167" t="s">
        <v>77</v>
      </c>
      <c r="BI167" t="s">
        <v>228</v>
      </c>
      <c r="BJ167" t="s">
        <v>79</v>
      </c>
      <c r="BM167">
        <v>0</v>
      </c>
      <c r="BN167">
        <v>1</v>
      </c>
      <c r="BO167">
        <v>1</v>
      </c>
      <c r="BP167" t="s">
        <v>80</v>
      </c>
      <c r="BR167">
        <v>0</v>
      </c>
      <c r="BS167">
        <v>6</v>
      </c>
      <c r="BU167" s="1">
        <v>72860</v>
      </c>
    </row>
    <row r="168" spans="1:73" x14ac:dyDescent="0.3">
      <c r="A168" t="s">
        <v>2887</v>
      </c>
      <c r="B168">
        <v>1</v>
      </c>
      <c r="C168">
        <v>688818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 s="1">
        <v>688818</v>
      </c>
      <c r="BD168" t="s">
        <v>74</v>
      </c>
      <c r="BE168" t="s">
        <v>2888</v>
      </c>
      <c r="BF168" t="s">
        <v>2889</v>
      </c>
      <c r="BH168" t="s">
        <v>77</v>
      </c>
      <c r="BI168" t="s">
        <v>88</v>
      </c>
      <c r="BJ168" t="s">
        <v>79</v>
      </c>
      <c r="BM168">
        <v>0</v>
      </c>
      <c r="BN168">
        <v>1</v>
      </c>
      <c r="BO168">
        <v>1</v>
      </c>
      <c r="BP168" t="s">
        <v>80</v>
      </c>
      <c r="BR168">
        <v>0</v>
      </c>
      <c r="BS168">
        <v>6</v>
      </c>
      <c r="BU168" s="1">
        <v>688818</v>
      </c>
    </row>
    <row r="169" spans="1:73" x14ac:dyDescent="0.3">
      <c r="A169" t="s">
        <v>2049</v>
      </c>
      <c r="B169">
        <v>2</v>
      </c>
      <c r="C169">
        <v>341840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2</v>
      </c>
      <c r="BC169" s="1">
        <v>341840</v>
      </c>
      <c r="BD169" t="s">
        <v>74</v>
      </c>
      <c r="BE169" t="s">
        <v>2050</v>
      </c>
      <c r="BF169" t="s">
        <v>2051</v>
      </c>
      <c r="BH169" t="s">
        <v>97</v>
      </c>
      <c r="BI169" t="s">
        <v>208</v>
      </c>
      <c r="BJ169" t="s">
        <v>79</v>
      </c>
      <c r="BM169">
        <v>0</v>
      </c>
      <c r="BN169">
        <v>1</v>
      </c>
      <c r="BO169">
        <v>1</v>
      </c>
      <c r="BP169" t="s">
        <v>80</v>
      </c>
      <c r="BR169">
        <v>0</v>
      </c>
      <c r="BS169">
        <v>6</v>
      </c>
      <c r="BU169" s="1">
        <v>341840</v>
      </c>
    </row>
    <row r="170" spans="1:73" x14ac:dyDescent="0.3">
      <c r="A170" t="s">
        <v>873</v>
      </c>
      <c r="B170">
        <v>0</v>
      </c>
      <c r="C170">
        <v>0</v>
      </c>
      <c r="D170">
        <v>1</v>
      </c>
      <c r="E170">
        <v>20000</v>
      </c>
      <c r="F170">
        <v>0</v>
      </c>
      <c r="G170">
        <v>0</v>
      </c>
      <c r="H170">
        <v>2</v>
      </c>
      <c r="I170">
        <v>40000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73535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19792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</v>
      </c>
      <c r="BC170" s="1">
        <v>133327</v>
      </c>
      <c r="BD170" t="s">
        <v>74</v>
      </c>
      <c r="BE170" t="s">
        <v>874</v>
      </c>
      <c r="BF170" t="s">
        <v>875</v>
      </c>
      <c r="BH170" t="s">
        <v>77</v>
      </c>
      <c r="BI170" t="s">
        <v>593</v>
      </c>
      <c r="BJ170" t="s">
        <v>79</v>
      </c>
      <c r="BM170">
        <v>2</v>
      </c>
      <c r="BN170">
        <v>2</v>
      </c>
      <c r="BO170">
        <v>4</v>
      </c>
      <c r="BP170" t="s">
        <v>80</v>
      </c>
      <c r="BR170">
        <v>0</v>
      </c>
      <c r="BS170">
        <v>6</v>
      </c>
      <c r="BU170" s="1">
        <v>153327</v>
      </c>
    </row>
    <row r="171" spans="1:73" x14ac:dyDescent="0.3">
      <c r="A171" t="s">
        <v>957</v>
      </c>
      <c r="B171">
        <v>0</v>
      </c>
      <c r="C171">
        <v>0</v>
      </c>
      <c r="D171">
        <v>4</v>
      </c>
      <c r="E171">
        <v>5590909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41</v>
      </c>
      <c r="BC171" s="1">
        <v>11538495</v>
      </c>
      <c r="BD171" t="s">
        <v>74</v>
      </c>
      <c r="BE171" t="s">
        <v>958</v>
      </c>
      <c r="BF171" t="s">
        <v>959</v>
      </c>
      <c r="BH171" t="s">
        <v>77</v>
      </c>
      <c r="BI171" t="s">
        <v>574</v>
      </c>
      <c r="BJ171" t="s">
        <v>79</v>
      </c>
      <c r="BM171">
        <v>0</v>
      </c>
      <c r="BN171">
        <v>1</v>
      </c>
      <c r="BO171">
        <v>1</v>
      </c>
      <c r="BP171" t="s">
        <v>80</v>
      </c>
      <c r="BR171">
        <v>0</v>
      </c>
      <c r="BS171">
        <v>5</v>
      </c>
      <c r="BU171" s="1">
        <v>5590909</v>
      </c>
    </row>
    <row r="172" spans="1:73" x14ac:dyDescent="0.3">
      <c r="A172" t="s">
        <v>2958</v>
      </c>
      <c r="B172">
        <v>1</v>
      </c>
      <c r="C172">
        <v>584101</v>
      </c>
      <c r="D172">
        <v>1</v>
      </c>
      <c r="E172">
        <v>20000</v>
      </c>
      <c r="F172">
        <v>0</v>
      </c>
      <c r="G172">
        <v>0</v>
      </c>
      <c r="H172">
        <v>2</v>
      </c>
      <c r="I172">
        <v>40000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</v>
      </c>
      <c r="BC172" s="1">
        <v>720540</v>
      </c>
      <c r="BD172" t="s">
        <v>74</v>
      </c>
      <c r="BE172" t="s">
        <v>2959</v>
      </c>
      <c r="BF172" t="s">
        <v>2960</v>
      </c>
      <c r="BH172" t="s">
        <v>1464</v>
      </c>
      <c r="BI172" t="s">
        <v>1465</v>
      </c>
      <c r="BJ172" t="s">
        <v>125</v>
      </c>
      <c r="BM172">
        <v>0</v>
      </c>
      <c r="BN172">
        <v>3</v>
      </c>
      <c r="BO172">
        <v>3</v>
      </c>
      <c r="BP172" t="s">
        <v>80</v>
      </c>
      <c r="BR172">
        <v>0</v>
      </c>
      <c r="BS172">
        <v>6</v>
      </c>
      <c r="BU172" s="1">
        <v>644101</v>
      </c>
    </row>
    <row r="173" spans="1:73" x14ac:dyDescent="0.3">
      <c r="A173" t="s">
        <v>2944</v>
      </c>
      <c r="B173">
        <v>1</v>
      </c>
      <c r="C173">
        <v>204594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 s="1">
        <v>204594</v>
      </c>
      <c r="BD173" t="s">
        <v>74</v>
      </c>
      <c r="BE173" t="s">
        <v>2945</v>
      </c>
      <c r="BF173" t="s">
        <v>2946</v>
      </c>
      <c r="BH173" t="s">
        <v>77</v>
      </c>
      <c r="BI173" t="s">
        <v>574</v>
      </c>
      <c r="BJ173" t="s">
        <v>79</v>
      </c>
      <c r="BM173">
        <v>0</v>
      </c>
      <c r="BN173">
        <v>1</v>
      </c>
      <c r="BO173">
        <v>1</v>
      </c>
      <c r="BP173" t="s">
        <v>80</v>
      </c>
      <c r="BR173">
        <v>0</v>
      </c>
      <c r="BS173">
        <v>6</v>
      </c>
      <c r="BU173" s="1">
        <v>204594</v>
      </c>
    </row>
    <row r="174" spans="1:73" x14ac:dyDescent="0.3">
      <c r="A174" t="s">
        <v>4989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24243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</v>
      </c>
      <c r="BC174" s="1">
        <v>97778</v>
      </c>
      <c r="BD174" t="s">
        <v>74</v>
      </c>
      <c r="BE174" t="s">
        <v>4990</v>
      </c>
      <c r="BF174" t="s">
        <v>4991</v>
      </c>
      <c r="BH174" t="s">
        <v>77</v>
      </c>
      <c r="BI174" t="s">
        <v>204</v>
      </c>
      <c r="BJ174" t="s">
        <v>79</v>
      </c>
      <c r="BM174">
        <v>1</v>
      </c>
      <c r="BN174">
        <v>0</v>
      </c>
      <c r="BO174">
        <v>1</v>
      </c>
      <c r="BP174" t="s">
        <v>80</v>
      </c>
      <c r="BR174">
        <v>0</v>
      </c>
      <c r="BS174">
        <v>6</v>
      </c>
      <c r="BU174" s="1">
        <v>24243</v>
      </c>
    </row>
    <row r="175" spans="1:73" x14ac:dyDescent="0.3">
      <c r="A175" t="s">
        <v>1300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152120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</v>
      </c>
      <c r="BC175" s="1">
        <v>230705</v>
      </c>
      <c r="BD175" t="s">
        <v>74</v>
      </c>
      <c r="BE175" t="s">
        <v>1301</v>
      </c>
      <c r="BF175" t="s">
        <v>1302</v>
      </c>
      <c r="BH175" t="s">
        <v>77</v>
      </c>
      <c r="BI175" t="s">
        <v>204</v>
      </c>
      <c r="BJ175" t="s">
        <v>79</v>
      </c>
      <c r="BM175">
        <v>1</v>
      </c>
      <c r="BN175">
        <v>0</v>
      </c>
      <c r="BO175">
        <v>1</v>
      </c>
      <c r="BP175" t="s">
        <v>80</v>
      </c>
      <c r="BR175">
        <v>0</v>
      </c>
      <c r="BS175">
        <v>6</v>
      </c>
      <c r="BU175" s="1">
        <v>152120</v>
      </c>
    </row>
    <row r="176" spans="1:73" x14ac:dyDescent="0.3">
      <c r="A176" t="s">
        <v>5903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73535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</v>
      </c>
      <c r="BC176" s="1">
        <v>147070</v>
      </c>
      <c r="BD176" t="s">
        <v>74</v>
      </c>
      <c r="BE176" t="s">
        <v>5904</v>
      </c>
      <c r="BF176" t="s">
        <v>5905</v>
      </c>
      <c r="BH176" t="s">
        <v>77</v>
      </c>
      <c r="BI176" t="s">
        <v>593</v>
      </c>
      <c r="BJ176" t="s">
        <v>79</v>
      </c>
      <c r="BM176">
        <v>1</v>
      </c>
      <c r="BN176">
        <v>0</v>
      </c>
      <c r="BO176">
        <v>1</v>
      </c>
      <c r="BP176" t="s">
        <v>80</v>
      </c>
      <c r="BR176">
        <v>0</v>
      </c>
      <c r="BS176">
        <v>0</v>
      </c>
      <c r="BU176" s="1">
        <v>73535</v>
      </c>
    </row>
    <row r="177" spans="1:73" x14ac:dyDescent="0.3">
      <c r="A177" t="s">
        <v>1161</v>
      </c>
      <c r="B177">
        <v>0</v>
      </c>
      <c r="C177">
        <v>0</v>
      </c>
      <c r="D177">
        <v>3</v>
      </c>
      <c r="E177">
        <v>740000</v>
      </c>
      <c r="F177">
        <v>0</v>
      </c>
      <c r="G177">
        <v>0</v>
      </c>
      <c r="H177">
        <v>4</v>
      </c>
      <c r="I177">
        <v>80000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6</v>
      </c>
      <c r="BC177" s="1">
        <v>1480000</v>
      </c>
      <c r="BD177" t="s">
        <v>74</v>
      </c>
      <c r="BE177" t="s">
        <v>1162</v>
      </c>
      <c r="BF177" t="s">
        <v>1163</v>
      </c>
      <c r="BH177" t="s">
        <v>77</v>
      </c>
      <c r="BI177" t="s">
        <v>88</v>
      </c>
      <c r="BJ177" t="s">
        <v>79</v>
      </c>
      <c r="BM177">
        <v>0</v>
      </c>
      <c r="BN177">
        <v>2</v>
      </c>
      <c r="BO177">
        <v>2</v>
      </c>
      <c r="BP177" t="s">
        <v>80</v>
      </c>
      <c r="BR177">
        <v>0</v>
      </c>
      <c r="BS177">
        <v>6</v>
      </c>
      <c r="BU177" s="1">
        <v>820000</v>
      </c>
    </row>
    <row r="178" spans="1:73" x14ac:dyDescent="0.3">
      <c r="A178" t="s">
        <v>3618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10000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3</v>
      </c>
      <c r="BC178" s="1">
        <v>210000</v>
      </c>
      <c r="BD178" t="s">
        <v>74</v>
      </c>
      <c r="BE178" t="s">
        <v>3619</v>
      </c>
      <c r="BF178" t="s">
        <v>3620</v>
      </c>
      <c r="BH178" t="s">
        <v>77</v>
      </c>
      <c r="BI178" t="s">
        <v>574</v>
      </c>
      <c r="BJ178" t="s">
        <v>79</v>
      </c>
      <c r="BM178">
        <v>0</v>
      </c>
      <c r="BN178">
        <v>1</v>
      </c>
      <c r="BO178">
        <v>1</v>
      </c>
      <c r="BP178" t="s">
        <v>80</v>
      </c>
      <c r="BR178">
        <v>0</v>
      </c>
      <c r="BS178">
        <v>6</v>
      </c>
      <c r="BU178" s="1">
        <v>10000</v>
      </c>
    </row>
    <row r="179" spans="1:73" x14ac:dyDescent="0.3">
      <c r="A179" t="s">
        <v>5858</v>
      </c>
      <c r="B179">
        <v>4</v>
      </c>
      <c r="C179">
        <v>1310456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</v>
      </c>
      <c r="BC179" s="1">
        <v>1310456</v>
      </c>
      <c r="BD179" t="s">
        <v>74</v>
      </c>
      <c r="BE179" t="s">
        <v>5859</v>
      </c>
      <c r="BF179" t="s">
        <v>5860</v>
      </c>
      <c r="BH179" t="s">
        <v>77</v>
      </c>
      <c r="BI179" t="s">
        <v>129</v>
      </c>
      <c r="BJ179" t="s">
        <v>79</v>
      </c>
      <c r="BM179">
        <v>0</v>
      </c>
      <c r="BN179">
        <v>1</v>
      </c>
      <c r="BO179">
        <v>1</v>
      </c>
      <c r="BP179" t="s">
        <v>80</v>
      </c>
      <c r="BR179">
        <v>0</v>
      </c>
      <c r="BS179">
        <v>0</v>
      </c>
      <c r="BU179" s="1">
        <v>1310456</v>
      </c>
    </row>
    <row r="180" spans="1:73" x14ac:dyDescent="0.3">
      <c r="A180" t="s">
        <v>1812</v>
      </c>
      <c r="B180">
        <v>0</v>
      </c>
      <c r="C180">
        <v>0</v>
      </c>
      <c r="D180">
        <v>2</v>
      </c>
      <c r="E180">
        <v>255454</v>
      </c>
      <c r="F180">
        <v>0</v>
      </c>
      <c r="G180">
        <v>0</v>
      </c>
      <c r="H180">
        <v>10</v>
      </c>
      <c r="I180">
        <v>210000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11</v>
      </c>
      <c r="BC180" s="1">
        <v>445454</v>
      </c>
      <c r="BD180" t="s">
        <v>74</v>
      </c>
      <c r="BE180" t="s">
        <v>1813</v>
      </c>
      <c r="BF180" t="s">
        <v>1814</v>
      </c>
      <c r="BH180" t="s">
        <v>77</v>
      </c>
      <c r="BI180" t="s">
        <v>281</v>
      </c>
      <c r="BJ180" t="s">
        <v>79</v>
      </c>
      <c r="BM180">
        <v>0</v>
      </c>
      <c r="BN180">
        <v>2</v>
      </c>
      <c r="BO180">
        <v>2</v>
      </c>
      <c r="BP180" t="s">
        <v>80</v>
      </c>
      <c r="BR180">
        <v>0</v>
      </c>
      <c r="BS180">
        <v>6</v>
      </c>
      <c r="BU180" s="1">
        <v>465454</v>
      </c>
    </row>
    <row r="181" spans="1:73" x14ac:dyDescent="0.3">
      <c r="A181" t="s">
        <v>377</v>
      </c>
      <c r="B181">
        <v>0</v>
      </c>
      <c r="C181">
        <v>0</v>
      </c>
      <c r="D181">
        <v>1</v>
      </c>
      <c r="E181">
        <v>192000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2</v>
      </c>
      <c r="BC181" s="1">
        <v>384000</v>
      </c>
      <c r="BD181" t="s">
        <v>74</v>
      </c>
      <c r="BE181" t="s">
        <v>378</v>
      </c>
      <c r="BF181" t="s">
        <v>379</v>
      </c>
      <c r="BH181" t="s">
        <v>136</v>
      </c>
      <c r="BI181" t="s">
        <v>333</v>
      </c>
      <c r="BJ181" t="s">
        <v>125</v>
      </c>
      <c r="BM181">
        <v>0</v>
      </c>
      <c r="BN181">
        <v>1</v>
      </c>
      <c r="BO181">
        <v>1</v>
      </c>
      <c r="BP181" t="s">
        <v>80</v>
      </c>
      <c r="BR181">
        <v>0</v>
      </c>
      <c r="BS181">
        <v>6</v>
      </c>
      <c r="BU181" s="1">
        <v>192000</v>
      </c>
    </row>
    <row r="182" spans="1:73" x14ac:dyDescent="0.3">
      <c r="A182" t="s">
        <v>2224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57208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 s="1">
        <v>57208</v>
      </c>
      <c r="BD182" t="s">
        <v>74</v>
      </c>
      <c r="BE182" t="s">
        <v>2225</v>
      </c>
      <c r="BF182" t="s">
        <v>2226</v>
      </c>
      <c r="BH182" t="s">
        <v>77</v>
      </c>
      <c r="BI182" t="s">
        <v>593</v>
      </c>
      <c r="BJ182" t="s">
        <v>79</v>
      </c>
      <c r="BM182">
        <v>1</v>
      </c>
      <c r="BN182">
        <v>0</v>
      </c>
      <c r="BO182">
        <v>1</v>
      </c>
      <c r="BP182" t="s">
        <v>80</v>
      </c>
      <c r="BR182">
        <v>0</v>
      </c>
      <c r="BS182">
        <v>0</v>
      </c>
      <c r="BU182" s="1">
        <v>57208</v>
      </c>
    </row>
    <row r="183" spans="1:73" x14ac:dyDescent="0.3">
      <c r="A183" t="s">
        <v>3574</v>
      </c>
      <c r="B183">
        <v>0</v>
      </c>
      <c r="C183">
        <v>0</v>
      </c>
      <c r="D183">
        <v>3</v>
      </c>
      <c r="E183">
        <v>328000</v>
      </c>
      <c r="F183">
        <v>0</v>
      </c>
      <c r="G183">
        <v>0</v>
      </c>
      <c r="H183">
        <v>8</v>
      </c>
      <c r="I183">
        <v>160000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10</v>
      </c>
      <c r="BC183" s="1">
        <v>736000</v>
      </c>
      <c r="BD183" t="s">
        <v>74</v>
      </c>
      <c r="BE183" t="s">
        <v>3575</v>
      </c>
      <c r="BF183" t="s">
        <v>3576</v>
      </c>
      <c r="BH183" t="s">
        <v>77</v>
      </c>
      <c r="BI183" t="s">
        <v>593</v>
      </c>
      <c r="BJ183" t="s">
        <v>79</v>
      </c>
      <c r="BM183">
        <v>0</v>
      </c>
      <c r="BN183">
        <v>2</v>
      </c>
      <c r="BO183">
        <v>2</v>
      </c>
      <c r="BP183" t="s">
        <v>80</v>
      </c>
      <c r="BR183">
        <v>0</v>
      </c>
      <c r="BS183">
        <v>6</v>
      </c>
      <c r="BU183" s="1">
        <v>488000</v>
      </c>
    </row>
    <row r="184" spans="1:73" x14ac:dyDescent="0.3">
      <c r="A184" t="s">
        <v>918</v>
      </c>
      <c r="B184">
        <v>5</v>
      </c>
      <c r="C184">
        <v>1780097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80000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</v>
      </c>
      <c r="BC184" s="1">
        <v>1860097</v>
      </c>
      <c r="BD184" t="s">
        <v>74</v>
      </c>
      <c r="BE184" t="s">
        <v>919</v>
      </c>
      <c r="BF184" t="s">
        <v>920</v>
      </c>
      <c r="BH184" t="s">
        <v>77</v>
      </c>
      <c r="BI184" t="s">
        <v>92</v>
      </c>
      <c r="BJ184" t="s">
        <v>79</v>
      </c>
      <c r="BM184">
        <v>0</v>
      </c>
      <c r="BN184">
        <v>2</v>
      </c>
      <c r="BO184">
        <v>2</v>
      </c>
      <c r="BP184" t="s">
        <v>80</v>
      </c>
      <c r="BR184">
        <v>0</v>
      </c>
      <c r="BS184">
        <v>6</v>
      </c>
      <c r="BU184" s="1">
        <v>1860097</v>
      </c>
    </row>
    <row r="185" spans="1:73" x14ac:dyDescent="0.3">
      <c r="A185" t="s">
        <v>5228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25000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 s="1">
        <v>25000</v>
      </c>
      <c r="BD185" t="s">
        <v>74</v>
      </c>
      <c r="BE185" t="s">
        <v>5229</v>
      </c>
      <c r="BF185" t="s">
        <v>5230</v>
      </c>
      <c r="BH185" t="s">
        <v>77</v>
      </c>
      <c r="BI185" t="s">
        <v>204</v>
      </c>
      <c r="BJ185" t="s">
        <v>79</v>
      </c>
      <c r="BM185">
        <v>0</v>
      </c>
      <c r="BN185">
        <v>1</v>
      </c>
      <c r="BO185">
        <v>1</v>
      </c>
      <c r="BP185" t="s">
        <v>80</v>
      </c>
      <c r="BR185">
        <v>0</v>
      </c>
      <c r="BS185">
        <v>6</v>
      </c>
      <c r="BU185" s="1">
        <v>25000</v>
      </c>
    </row>
    <row r="186" spans="1:73" x14ac:dyDescent="0.3">
      <c r="A186" t="s">
        <v>483</v>
      </c>
      <c r="B186">
        <v>0</v>
      </c>
      <c r="C186">
        <v>0</v>
      </c>
      <c r="D186">
        <v>2</v>
      </c>
      <c r="E186">
        <v>850000</v>
      </c>
      <c r="F186">
        <v>0</v>
      </c>
      <c r="G186">
        <v>0</v>
      </c>
      <c r="H186">
        <v>1</v>
      </c>
      <c r="I186">
        <v>20000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</v>
      </c>
      <c r="BC186" s="1">
        <v>1570000</v>
      </c>
      <c r="BD186" t="s">
        <v>74</v>
      </c>
      <c r="BE186" t="s">
        <v>484</v>
      </c>
      <c r="BF186" t="s">
        <v>485</v>
      </c>
      <c r="BH186" t="s">
        <v>114</v>
      </c>
      <c r="BI186" t="s">
        <v>221</v>
      </c>
      <c r="BJ186" t="s">
        <v>79</v>
      </c>
      <c r="BM186">
        <v>0</v>
      </c>
      <c r="BN186">
        <v>2</v>
      </c>
      <c r="BO186">
        <v>2</v>
      </c>
      <c r="BP186" t="s">
        <v>80</v>
      </c>
      <c r="BR186">
        <v>0</v>
      </c>
      <c r="BS186">
        <v>6</v>
      </c>
      <c r="BU186" s="1">
        <v>870000</v>
      </c>
    </row>
    <row r="187" spans="1:73" x14ac:dyDescent="0.3">
      <c r="A187" t="s">
        <v>2214</v>
      </c>
      <c r="B187">
        <v>0</v>
      </c>
      <c r="C187">
        <v>0</v>
      </c>
      <c r="D187">
        <v>3</v>
      </c>
      <c r="E187">
        <v>572727</v>
      </c>
      <c r="F187">
        <v>0</v>
      </c>
      <c r="G187">
        <v>0</v>
      </c>
      <c r="H187">
        <v>1</v>
      </c>
      <c r="I187">
        <v>20000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7</v>
      </c>
      <c r="BC187" s="1">
        <v>1165454</v>
      </c>
      <c r="BD187" t="s">
        <v>74</v>
      </c>
      <c r="BE187" t="s">
        <v>2215</v>
      </c>
      <c r="BF187" t="s">
        <v>2216</v>
      </c>
      <c r="BH187" t="s">
        <v>77</v>
      </c>
      <c r="BI187" t="s">
        <v>88</v>
      </c>
      <c r="BJ187" t="s">
        <v>79</v>
      </c>
      <c r="BM187">
        <v>0</v>
      </c>
      <c r="BN187">
        <v>2</v>
      </c>
      <c r="BO187">
        <v>2</v>
      </c>
      <c r="BP187" t="s">
        <v>80</v>
      </c>
      <c r="BR187">
        <v>0</v>
      </c>
      <c r="BS187">
        <v>6</v>
      </c>
      <c r="BU187" s="1">
        <v>592727</v>
      </c>
    </row>
    <row r="188" spans="1:73" x14ac:dyDescent="0.3">
      <c r="A188" t="s">
        <v>3557</v>
      </c>
      <c r="B188">
        <v>1</v>
      </c>
      <c r="C188">
        <v>245143</v>
      </c>
      <c r="D188">
        <v>1</v>
      </c>
      <c r="E188">
        <v>900000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3</v>
      </c>
      <c r="BC188" s="1">
        <v>2045143</v>
      </c>
      <c r="BD188" t="s">
        <v>74</v>
      </c>
      <c r="BE188" t="s">
        <v>3558</v>
      </c>
      <c r="BF188" t="s">
        <v>3559</v>
      </c>
      <c r="BH188" t="s">
        <v>136</v>
      </c>
      <c r="BI188" t="s">
        <v>439</v>
      </c>
      <c r="BJ188" t="s">
        <v>125</v>
      </c>
      <c r="BM188">
        <v>0</v>
      </c>
      <c r="BN188">
        <v>2</v>
      </c>
      <c r="BO188">
        <v>2</v>
      </c>
      <c r="BP188" t="s">
        <v>80</v>
      </c>
      <c r="BR188">
        <v>0</v>
      </c>
      <c r="BS188">
        <v>6</v>
      </c>
      <c r="BU188" s="1">
        <v>1145143</v>
      </c>
    </row>
    <row r="189" spans="1:73" x14ac:dyDescent="0.3">
      <c r="A189" t="s">
        <v>4511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73535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2</v>
      </c>
      <c r="BC189" s="1">
        <v>147070</v>
      </c>
      <c r="BD189" t="s">
        <v>74</v>
      </c>
      <c r="BE189" t="s">
        <v>4512</v>
      </c>
      <c r="BF189" t="s">
        <v>4513</v>
      </c>
      <c r="BH189" t="s">
        <v>77</v>
      </c>
      <c r="BI189" t="s">
        <v>204</v>
      </c>
      <c r="BJ189" t="s">
        <v>79</v>
      </c>
      <c r="BM189">
        <v>1</v>
      </c>
      <c r="BN189">
        <v>0</v>
      </c>
      <c r="BO189">
        <v>1</v>
      </c>
      <c r="BP189" t="s">
        <v>80</v>
      </c>
      <c r="BR189">
        <v>0</v>
      </c>
      <c r="BS189">
        <v>6</v>
      </c>
      <c r="BU189" s="1">
        <v>73535</v>
      </c>
    </row>
    <row r="190" spans="1:73" x14ac:dyDescent="0.3">
      <c r="A190" t="s">
        <v>2235</v>
      </c>
      <c r="B190">
        <v>1</v>
      </c>
      <c r="C190">
        <v>493163</v>
      </c>
      <c r="D190">
        <v>1</v>
      </c>
      <c r="E190">
        <v>35000</v>
      </c>
      <c r="F190">
        <v>0</v>
      </c>
      <c r="G190">
        <v>0</v>
      </c>
      <c r="H190">
        <v>1</v>
      </c>
      <c r="I190">
        <v>20000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</v>
      </c>
      <c r="BC190" s="1">
        <v>548163</v>
      </c>
      <c r="BD190" t="s">
        <v>74</v>
      </c>
      <c r="BE190" t="s">
        <v>2236</v>
      </c>
      <c r="BF190" t="s">
        <v>2237</v>
      </c>
      <c r="BH190" t="s">
        <v>77</v>
      </c>
      <c r="BI190" t="s">
        <v>204</v>
      </c>
      <c r="BJ190" t="s">
        <v>79</v>
      </c>
      <c r="BM190">
        <v>0</v>
      </c>
      <c r="BN190">
        <v>3</v>
      </c>
      <c r="BO190">
        <v>3</v>
      </c>
      <c r="BP190" t="s">
        <v>80</v>
      </c>
      <c r="BR190">
        <v>0</v>
      </c>
      <c r="BS190">
        <v>6</v>
      </c>
      <c r="BU190" s="1">
        <v>548163</v>
      </c>
    </row>
    <row r="191" spans="1:73" x14ac:dyDescent="0.3">
      <c r="A191" t="s">
        <v>4992</v>
      </c>
      <c r="B191">
        <v>1</v>
      </c>
      <c r="C191">
        <v>318227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 s="1">
        <v>318227</v>
      </c>
      <c r="BD191" t="s">
        <v>74</v>
      </c>
      <c r="BE191" t="s">
        <v>4993</v>
      </c>
      <c r="BF191" t="s">
        <v>4994</v>
      </c>
      <c r="BM191">
        <v>0</v>
      </c>
      <c r="BN191">
        <v>1</v>
      </c>
      <c r="BO191">
        <v>1</v>
      </c>
      <c r="BP191" t="s">
        <v>80</v>
      </c>
      <c r="BR191">
        <v>0</v>
      </c>
      <c r="BS191">
        <v>6</v>
      </c>
      <c r="BU191" s="1">
        <v>318227</v>
      </c>
    </row>
    <row r="192" spans="1:73" x14ac:dyDescent="0.3">
      <c r="A192" t="s">
        <v>412</v>
      </c>
      <c r="B192">
        <v>1</v>
      </c>
      <c r="C192">
        <v>895124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 s="1">
        <v>895124</v>
      </c>
      <c r="BD192" t="s">
        <v>74</v>
      </c>
      <c r="BE192" t="s">
        <v>413</v>
      </c>
      <c r="BF192" t="s">
        <v>414</v>
      </c>
      <c r="BM192">
        <v>0</v>
      </c>
      <c r="BN192">
        <v>1</v>
      </c>
      <c r="BO192">
        <v>1</v>
      </c>
      <c r="BP192" t="s">
        <v>80</v>
      </c>
      <c r="BR192">
        <v>0</v>
      </c>
      <c r="BS192">
        <v>6</v>
      </c>
      <c r="BU192" s="1">
        <v>895124</v>
      </c>
    </row>
    <row r="193" spans="1:73" x14ac:dyDescent="0.3">
      <c r="A193" t="s">
        <v>1264</v>
      </c>
      <c r="B193">
        <v>0</v>
      </c>
      <c r="C193">
        <v>0</v>
      </c>
      <c r="D193">
        <v>3</v>
      </c>
      <c r="E193">
        <v>380000</v>
      </c>
      <c r="F193">
        <v>0</v>
      </c>
      <c r="G193">
        <v>0</v>
      </c>
      <c r="H193">
        <v>4</v>
      </c>
      <c r="I193">
        <v>80000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81818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</v>
      </c>
      <c r="BC193" s="1">
        <v>923636</v>
      </c>
      <c r="BD193" t="s">
        <v>74</v>
      </c>
      <c r="BE193" t="s">
        <v>1265</v>
      </c>
      <c r="BF193" t="s">
        <v>1266</v>
      </c>
      <c r="BH193" t="s">
        <v>136</v>
      </c>
      <c r="BI193" t="s">
        <v>439</v>
      </c>
      <c r="BJ193" t="s">
        <v>125</v>
      </c>
      <c r="BM193">
        <v>0</v>
      </c>
      <c r="BN193">
        <v>3</v>
      </c>
      <c r="BO193">
        <v>3</v>
      </c>
      <c r="BP193" t="s">
        <v>80</v>
      </c>
      <c r="BR193">
        <v>0</v>
      </c>
      <c r="BS193">
        <v>6</v>
      </c>
      <c r="BU193" s="1">
        <v>541818</v>
      </c>
    </row>
    <row r="194" spans="1:73" x14ac:dyDescent="0.3">
      <c r="A194" t="s">
        <v>3589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25000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73535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</v>
      </c>
      <c r="BC194" s="1">
        <v>98535</v>
      </c>
      <c r="BD194" t="s">
        <v>74</v>
      </c>
      <c r="BE194" t="s">
        <v>3590</v>
      </c>
      <c r="BF194" t="s">
        <v>3591</v>
      </c>
      <c r="BH194" t="s">
        <v>77</v>
      </c>
      <c r="BI194" t="s">
        <v>593</v>
      </c>
      <c r="BJ194" t="s">
        <v>79</v>
      </c>
      <c r="BM194">
        <v>1</v>
      </c>
      <c r="BN194">
        <v>1</v>
      </c>
      <c r="BO194">
        <v>2</v>
      </c>
      <c r="BP194" t="s">
        <v>80</v>
      </c>
      <c r="BR194">
        <v>0</v>
      </c>
      <c r="BS194">
        <v>6</v>
      </c>
      <c r="BU194" s="1">
        <v>98535</v>
      </c>
    </row>
    <row r="195" spans="1:73" x14ac:dyDescent="0.3">
      <c r="A195" t="s">
        <v>1047</v>
      </c>
      <c r="B195">
        <v>0</v>
      </c>
      <c r="C195">
        <v>0</v>
      </c>
      <c r="D195">
        <v>1</v>
      </c>
      <c r="E195">
        <v>340000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 s="1">
        <v>340000</v>
      </c>
      <c r="BD195" t="s">
        <v>74</v>
      </c>
      <c r="BE195" t="s">
        <v>1048</v>
      </c>
      <c r="BF195" t="s">
        <v>1049</v>
      </c>
      <c r="BH195" t="s">
        <v>77</v>
      </c>
      <c r="BI195" t="s">
        <v>78</v>
      </c>
      <c r="BJ195" t="s">
        <v>79</v>
      </c>
      <c r="BM195">
        <v>0</v>
      </c>
      <c r="BN195">
        <v>1</v>
      </c>
      <c r="BO195">
        <v>1</v>
      </c>
      <c r="BP195" t="s">
        <v>80</v>
      </c>
      <c r="BR195">
        <v>0</v>
      </c>
      <c r="BS195">
        <v>6</v>
      </c>
      <c r="BU195" s="1">
        <v>340000</v>
      </c>
    </row>
    <row r="196" spans="1:73" x14ac:dyDescent="0.3">
      <c r="A196" t="s">
        <v>1513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22000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 s="1">
        <v>22000</v>
      </c>
      <c r="BD196" t="s">
        <v>74</v>
      </c>
      <c r="BE196" t="s">
        <v>1514</v>
      </c>
      <c r="BF196" t="s">
        <v>1515</v>
      </c>
      <c r="BH196" t="s">
        <v>77</v>
      </c>
      <c r="BI196" t="s">
        <v>204</v>
      </c>
      <c r="BJ196" t="s">
        <v>79</v>
      </c>
      <c r="BM196">
        <v>0</v>
      </c>
      <c r="BN196">
        <v>1</v>
      </c>
      <c r="BO196">
        <v>1</v>
      </c>
      <c r="BP196" t="s">
        <v>80</v>
      </c>
      <c r="BR196">
        <v>0</v>
      </c>
      <c r="BS196">
        <v>6</v>
      </c>
      <c r="BU196" s="1">
        <v>22000</v>
      </c>
    </row>
    <row r="197" spans="1:73" x14ac:dyDescent="0.3">
      <c r="A197" t="s">
        <v>3788</v>
      </c>
      <c r="B197">
        <v>2</v>
      </c>
      <c r="C197">
        <v>276016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</v>
      </c>
      <c r="BC197" s="1">
        <v>276016</v>
      </c>
      <c r="BD197" t="s">
        <v>74</v>
      </c>
      <c r="BE197" t="s">
        <v>3789</v>
      </c>
      <c r="BF197" t="s">
        <v>3790</v>
      </c>
      <c r="BH197" t="s">
        <v>77</v>
      </c>
      <c r="BI197" t="s">
        <v>204</v>
      </c>
      <c r="BJ197" t="s">
        <v>79</v>
      </c>
      <c r="BM197">
        <v>0</v>
      </c>
      <c r="BN197">
        <v>1</v>
      </c>
      <c r="BO197">
        <v>1</v>
      </c>
      <c r="BP197" t="s">
        <v>80</v>
      </c>
      <c r="BR197">
        <v>0</v>
      </c>
      <c r="BS197">
        <v>6</v>
      </c>
      <c r="BU197" s="1">
        <v>276016</v>
      </c>
    </row>
    <row r="198" spans="1:73" x14ac:dyDescent="0.3">
      <c r="A198" t="s">
        <v>4723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25000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 s="1">
        <v>25000</v>
      </c>
      <c r="BD198" t="s">
        <v>74</v>
      </c>
      <c r="BE198" t="s">
        <v>4724</v>
      </c>
      <c r="BF198" t="s">
        <v>4725</v>
      </c>
      <c r="BH198" t="s">
        <v>77</v>
      </c>
      <c r="BI198" t="s">
        <v>204</v>
      </c>
      <c r="BJ198" t="s">
        <v>79</v>
      </c>
      <c r="BM198">
        <v>0</v>
      </c>
      <c r="BN198">
        <v>1</v>
      </c>
      <c r="BO198">
        <v>1</v>
      </c>
      <c r="BP198" t="s">
        <v>80</v>
      </c>
      <c r="BR198">
        <v>0</v>
      </c>
      <c r="BS198">
        <v>6</v>
      </c>
      <c r="BU198" s="1">
        <v>25000</v>
      </c>
    </row>
    <row r="199" spans="1:73" x14ac:dyDescent="0.3">
      <c r="A199" t="s">
        <v>832</v>
      </c>
      <c r="B199">
        <v>0</v>
      </c>
      <c r="C199">
        <v>0</v>
      </c>
      <c r="D199">
        <v>1</v>
      </c>
      <c r="E199">
        <v>428571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</v>
      </c>
      <c r="BC199" s="1">
        <v>857142</v>
      </c>
      <c r="BD199" t="s">
        <v>74</v>
      </c>
      <c r="BE199" t="s">
        <v>833</v>
      </c>
      <c r="BF199" t="s">
        <v>834</v>
      </c>
      <c r="BH199" t="s">
        <v>136</v>
      </c>
      <c r="BI199" t="s">
        <v>439</v>
      </c>
      <c r="BJ199" t="s">
        <v>125</v>
      </c>
      <c r="BM199">
        <v>0</v>
      </c>
      <c r="BN199">
        <v>1</v>
      </c>
      <c r="BO199">
        <v>1</v>
      </c>
      <c r="BP199" t="s">
        <v>80</v>
      </c>
      <c r="BR199">
        <v>0</v>
      </c>
      <c r="BS199">
        <v>6</v>
      </c>
      <c r="BU199" s="1">
        <v>428571</v>
      </c>
    </row>
    <row r="200" spans="1:73" x14ac:dyDescent="0.3">
      <c r="A200" t="s">
        <v>3861</v>
      </c>
      <c r="B200">
        <v>1</v>
      </c>
      <c r="C200">
        <v>266275</v>
      </c>
      <c r="D200">
        <v>6</v>
      </c>
      <c r="E200">
        <v>1423400</v>
      </c>
      <c r="F200">
        <v>0</v>
      </c>
      <c r="G200">
        <v>0</v>
      </c>
      <c r="H200">
        <v>6</v>
      </c>
      <c r="I200">
        <v>244728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15</v>
      </c>
      <c r="BC200" s="1">
        <v>3163075</v>
      </c>
      <c r="BD200" t="s">
        <v>74</v>
      </c>
      <c r="BE200" t="s">
        <v>3862</v>
      </c>
      <c r="BF200" t="s">
        <v>3863</v>
      </c>
      <c r="BH200" t="s">
        <v>136</v>
      </c>
      <c r="BI200" t="s">
        <v>191</v>
      </c>
      <c r="BJ200" t="s">
        <v>125</v>
      </c>
      <c r="BM200">
        <v>0</v>
      </c>
      <c r="BN200">
        <v>3</v>
      </c>
      <c r="BO200">
        <v>3</v>
      </c>
      <c r="BP200" t="s">
        <v>80</v>
      </c>
      <c r="BR200">
        <v>0</v>
      </c>
      <c r="BS200">
        <v>6</v>
      </c>
      <c r="BU200" s="1">
        <v>1934403</v>
      </c>
    </row>
    <row r="201" spans="1:73" x14ac:dyDescent="0.3">
      <c r="A201" t="s">
        <v>256</v>
      </c>
      <c r="B201">
        <v>0</v>
      </c>
      <c r="C201">
        <v>0</v>
      </c>
      <c r="D201">
        <v>1</v>
      </c>
      <c r="E201">
        <v>1800000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 s="1">
        <v>1800000</v>
      </c>
      <c r="BD201" t="s">
        <v>74</v>
      </c>
      <c r="BE201" t="s">
        <v>257</v>
      </c>
      <c r="BF201" t="s">
        <v>258</v>
      </c>
      <c r="BH201" t="s">
        <v>77</v>
      </c>
      <c r="BI201" t="s">
        <v>88</v>
      </c>
      <c r="BJ201" t="s">
        <v>79</v>
      </c>
      <c r="BM201">
        <v>0</v>
      </c>
      <c r="BN201">
        <v>1</v>
      </c>
      <c r="BO201">
        <v>1</v>
      </c>
      <c r="BP201" t="s">
        <v>80</v>
      </c>
      <c r="BR201">
        <v>0</v>
      </c>
      <c r="BS201">
        <v>6</v>
      </c>
      <c r="BU201" s="1">
        <v>1800000</v>
      </c>
    </row>
    <row r="202" spans="1:73" x14ac:dyDescent="0.3">
      <c r="A202" t="s">
        <v>1044</v>
      </c>
      <c r="B202">
        <v>0</v>
      </c>
      <c r="C202">
        <v>0</v>
      </c>
      <c r="D202">
        <v>5</v>
      </c>
      <c r="E202">
        <v>811715</v>
      </c>
      <c r="F202">
        <v>0</v>
      </c>
      <c r="G202">
        <v>0</v>
      </c>
      <c r="H202">
        <v>6</v>
      </c>
      <c r="I202">
        <v>120000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11</v>
      </c>
      <c r="BC202" s="1">
        <v>3423430</v>
      </c>
      <c r="BD202" t="s">
        <v>74</v>
      </c>
      <c r="BE202" t="s">
        <v>1045</v>
      </c>
      <c r="BF202" t="s">
        <v>1046</v>
      </c>
      <c r="BH202" t="s">
        <v>175</v>
      </c>
      <c r="BI202" t="s">
        <v>176</v>
      </c>
      <c r="BJ202" t="s">
        <v>125</v>
      </c>
      <c r="BM202">
        <v>0</v>
      </c>
      <c r="BN202">
        <v>2</v>
      </c>
      <c r="BO202">
        <v>2</v>
      </c>
      <c r="BP202" t="s">
        <v>80</v>
      </c>
      <c r="BR202">
        <v>0</v>
      </c>
      <c r="BS202">
        <v>6</v>
      </c>
      <c r="BU202" s="1">
        <v>931715</v>
      </c>
    </row>
    <row r="203" spans="1:73" x14ac:dyDescent="0.3">
      <c r="A203" t="s">
        <v>2201</v>
      </c>
      <c r="B203">
        <v>1</v>
      </c>
      <c r="C203">
        <v>217250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 s="1">
        <v>217250</v>
      </c>
      <c r="BD203" t="s">
        <v>74</v>
      </c>
      <c r="BE203" t="s">
        <v>2202</v>
      </c>
      <c r="BF203" t="s">
        <v>2203</v>
      </c>
      <c r="BH203" t="s">
        <v>77</v>
      </c>
      <c r="BI203" t="s">
        <v>739</v>
      </c>
      <c r="BJ203" t="s">
        <v>79</v>
      </c>
      <c r="BM203">
        <v>0</v>
      </c>
      <c r="BN203">
        <v>1</v>
      </c>
      <c r="BO203">
        <v>1</v>
      </c>
      <c r="BP203" t="s">
        <v>80</v>
      </c>
      <c r="BR203">
        <v>0</v>
      </c>
      <c r="BS203">
        <v>6</v>
      </c>
      <c r="BU203" s="1">
        <v>217250</v>
      </c>
    </row>
    <row r="204" spans="1:73" x14ac:dyDescent="0.3">
      <c r="A204" t="s">
        <v>2392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6</v>
      </c>
      <c r="BC204" s="1">
        <v>25002</v>
      </c>
      <c r="BD204" t="s">
        <v>74</v>
      </c>
      <c r="BE204" t="s">
        <v>2393</v>
      </c>
      <c r="BF204" t="s">
        <v>2394</v>
      </c>
      <c r="BH204" t="s">
        <v>97</v>
      </c>
      <c r="BI204" t="s">
        <v>103</v>
      </c>
      <c r="BJ204" t="s">
        <v>79</v>
      </c>
      <c r="BM204">
        <v>0</v>
      </c>
      <c r="BN204">
        <v>0</v>
      </c>
      <c r="BO204">
        <v>0</v>
      </c>
      <c r="BP204" t="s">
        <v>514</v>
      </c>
      <c r="BR204">
        <v>0</v>
      </c>
      <c r="BS204">
        <v>0</v>
      </c>
      <c r="BU204" s="1">
        <v>0</v>
      </c>
    </row>
    <row r="205" spans="1:73" x14ac:dyDescent="0.3">
      <c r="A205" t="s">
        <v>584</v>
      </c>
      <c r="B205">
        <v>1</v>
      </c>
      <c r="C205">
        <v>139197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6</v>
      </c>
      <c r="Z205">
        <v>328938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18</v>
      </c>
      <c r="BC205" s="1">
        <v>3741517</v>
      </c>
      <c r="BD205" t="s">
        <v>74</v>
      </c>
      <c r="BE205" t="s">
        <v>585</v>
      </c>
      <c r="BF205" t="s">
        <v>586</v>
      </c>
      <c r="BH205" t="s">
        <v>97</v>
      </c>
      <c r="BI205" t="s">
        <v>103</v>
      </c>
      <c r="BJ205" t="s">
        <v>79</v>
      </c>
      <c r="BM205">
        <v>1</v>
      </c>
      <c r="BN205">
        <v>1</v>
      </c>
      <c r="BO205">
        <v>2</v>
      </c>
      <c r="BP205" t="s">
        <v>99</v>
      </c>
      <c r="BR205">
        <v>0</v>
      </c>
      <c r="BS205">
        <v>6</v>
      </c>
      <c r="BU205" s="1">
        <v>468135</v>
      </c>
    </row>
    <row r="206" spans="1:73" x14ac:dyDescent="0.3">
      <c r="A206" t="s">
        <v>5182</v>
      </c>
      <c r="B206">
        <v>0</v>
      </c>
      <c r="C206">
        <v>0</v>
      </c>
      <c r="D206">
        <v>3</v>
      </c>
      <c r="E206">
        <v>400558</v>
      </c>
      <c r="F206">
        <v>0</v>
      </c>
      <c r="G206">
        <v>0</v>
      </c>
      <c r="H206">
        <v>6</v>
      </c>
      <c r="I206">
        <v>141116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14</v>
      </c>
      <c r="BC206" s="1">
        <v>866118</v>
      </c>
      <c r="BD206" t="s">
        <v>74</v>
      </c>
      <c r="BE206" t="s">
        <v>5183</v>
      </c>
      <c r="BF206" t="s">
        <v>5184</v>
      </c>
      <c r="BH206" t="s">
        <v>97</v>
      </c>
      <c r="BI206" t="s">
        <v>208</v>
      </c>
      <c r="BJ206" t="s">
        <v>79</v>
      </c>
      <c r="BM206">
        <v>0</v>
      </c>
      <c r="BN206">
        <v>2</v>
      </c>
      <c r="BO206">
        <v>2</v>
      </c>
      <c r="BP206" t="s">
        <v>514</v>
      </c>
      <c r="BR206">
        <v>0</v>
      </c>
      <c r="BS206">
        <v>6</v>
      </c>
      <c r="BU206" s="1">
        <v>541674</v>
      </c>
    </row>
    <row r="207" spans="1:73" x14ac:dyDescent="0.3">
      <c r="A207" t="s">
        <v>1421</v>
      </c>
      <c r="B207">
        <v>1</v>
      </c>
      <c r="C207">
        <v>526542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 s="1">
        <v>526542</v>
      </c>
      <c r="BD207" t="s">
        <v>74</v>
      </c>
      <c r="BE207" t="s">
        <v>1422</v>
      </c>
      <c r="BF207" t="s">
        <v>1423</v>
      </c>
      <c r="BH207" t="s">
        <v>77</v>
      </c>
      <c r="BI207" t="s">
        <v>92</v>
      </c>
      <c r="BJ207" t="s">
        <v>79</v>
      </c>
      <c r="BM207">
        <v>0</v>
      </c>
      <c r="BN207">
        <v>1</v>
      </c>
      <c r="BO207">
        <v>1</v>
      </c>
      <c r="BP207" t="s">
        <v>80</v>
      </c>
      <c r="BR207">
        <v>0</v>
      </c>
      <c r="BS207">
        <v>6</v>
      </c>
      <c r="BU207" s="1">
        <v>526542</v>
      </c>
    </row>
    <row r="208" spans="1:73" x14ac:dyDescent="0.3">
      <c r="A208" t="s">
        <v>2206</v>
      </c>
      <c r="B208">
        <v>0</v>
      </c>
      <c r="C208">
        <v>0</v>
      </c>
      <c r="D208">
        <v>5</v>
      </c>
      <c r="E208">
        <v>1320908</v>
      </c>
      <c r="F208">
        <v>0</v>
      </c>
      <c r="G208">
        <v>0</v>
      </c>
      <c r="H208">
        <v>7</v>
      </c>
      <c r="I208">
        <v>155083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239091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19</v>
      </c>
      <c r="BC208" s="1">
        <v>2381204</v>
      </c>
      <c r="BD208" t="s">
        <v>74</v>
      </c>
      <c r="BE208" t="s">
        <v>2207</v>
      </c>
      <c r="BF208" t="s">
        <v>2208</v>
      </c>
      <c r="BH208" t="s">
        <v>77</v>
      </c>
      <c r="BI208" t="s">
        <v>281</v>
      </c>
      <c r="BJ208" t="s">
        <v>79</v>
      </c>
      <c r="BM208">
        <v>0</v>
      </c>
      <c r="BN208">
        <v>3</v>
      </c>
      <c r="BO208">
        <v>3</v>
      </c>
      <c r="BP208" t="s">
        <v>514</v>
      </c>
      <c r="BR208">
        <v>0</v>
      </c>
      <c r="BS208">
        <v>6</v>
      </c>
      <c r="BU208" s="1">
        <v>1715082</v>
      </c>
    </row>
    <row r="209" spans="1:73" x14ac:dyDescent="0.3">
      <c r="A209" t="s">
        <v>2404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83332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2</v>
      </c>
      <c r="BC209" s="1">
        <v>83332</v>
      </c>
      <c r="BD209" t="s">
        <v>74</v>
      </c>
      <c r="BE209" t="s">
        <v>2405</v>
      </c>
      <c r="BF209" t="s">
        <v>2406</v>
      </c>
      <c r="BH209" t="s">
        <v>77</v>
      </c>
      <c r="BI209" t="s">
        <v>281</v>
      </c>
      <c r="BJ209" t="s">
        <v>79</v>
      </c>
      <c r="BM209">
        <v>1</v>
      </c>
      <c r="BN209">
        <v>0</v>
      </c>
      <c r="BO209">
        <v>1</v>
      </c>
      <c r="BP209" t="s">
        <v>80</v>
      </c>
      <c r="BR209">
        <v>0</v>
      </c>
      <c r="BS209">
        <v>6</v>
      </c>
      <c r="BU209" s="1">
        <v>83332</v>
      </c>
    </row>
    <row r="210" spans="1:73" x14ac:dyDescent="0.3">
      <c r="A210" t="s">
        <v>2658</v>
      </c>
      <c r="B210">
        <v>0</v>
      </c>
      <c r="C210">
        <v>83914</v>
      </c>
      <c r="D210">
        <v>1</v>
      </c>
      <c r="E210">
        <v>91859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24335</v>
      </c>
      <c r="R210">
        <v>0</v>
      </c>
      <c r="S210">
        <v>165000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</v>
      </c>
      <c r="BC210" s="1">
        <v>481302</v>
      </c>
      <c r="BD210" t="s">
        <v>74</v>
      </c>
      <c r="BE210" t="s">
        <v>2659</v>
      </c>
      <c r="BF210" t="s">
        <v>2660</v>
      </c>
      <c r="BH210" t="s">
        <v>175</v>
      </c>
      <c r="BI210" t="s">
        <v>857</v>
      </c>
      <c r="BJ210" t="s">
        <v>125</v>
      </c>
      <c r="BM210">
        <v>1</v>
      </c>
      <c r="BN210">
        <v>2</v>
      </c>
      <c r="BO210">
        <v>3</v>
      </c>
      <c r="BP210" t="s">
        <v>514</v>
      </c>
      <c r="BR210">
        <v>0</v>
      </c>
      <c r="BS210">
        <v>6</v>
      </c>
      <c r="BU210" s="1">
        <v>365108</v>
      </c>
    </row>
    <row r="211" spans="1:73" x14ac:dyDescent="0.3">
      <c r="A211" t="s">
        <v>2814</v>
      </c>
      <c r="B211">
        <v>0</v>
      </c>
      <c r="C211">
        <v>0</v>
      </c>
      <c r="D211">
        <v>3</v>
      </c>
      <c r="E211">
        <v>830000</v>
      </c>
      <c r="F211">
        <v>0</v>
      </c>
      <c r="G211">
        <v>0</v>
      </c>
      <c r="H211">
        <v>2</v>
      </c>
      <c r="I211">
        <v>40000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</v>
      </c>
      <c r="BC211" s="1">
        <v>2285455</v>
      </c>
      <c r="BD211" t="s">
        <v>74</v>
      </c>
      <c r="BE211" t="s">
        <v>2815</v>
      </c>
      <c r="BF211" t="s">
        <v>2660</v>
      </c>
      <c r="BH211" t="s">
        <v>175</v>
      </c>
      <c r="BI211" t="s">
        <v>857</v>
      </c>
      <c r="BJ211" t="s">
        <v>125</v>
      </c>
      <c r="BM211">
        <v>0</v>
      </c>
      <c r="BN211">
        <v>2</v>
      </c>
      <c r="BO211">
        <v>2</v>
      </c>
      <c r="BP211" t="s">
        <v>514</v>
      </c>
      <c r="BR211">
        <v>0</v>
      </c>
      <c r="BS211">
        <v>6</v>
      </c>
      <c r="BU211" s="1">
        <v>870000</v>
      </c>
    </row>
    <row r="212" spans="1:73" x14ac:dyDescent="0.3">
      <c r="A212" t="s">
        <v>2516</v>
      </c>
      <c r="B212">
        <v>0</v>
      </c>
      <c r="C212">
        <v>0</v>
      </c>
      <c r="D212">
        <v>1</v>
      </c>
      <c r="E212">
        <v>288000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</v>
      </c>
      <c r="BC212" s="1">
        <v>766909</v>
      </c>
      <c r="BD212" t="s">
        <v>74</v>
      </c>
      <c r="BE212" t="s">
        <v>2517</v>
      </c>
      <c r="BF212" t="s">
        <v>2518</v>
      </c>
      <c r="BH212" t="s">
        <v>175</v>
      </c>
      <c r="BI212" t="s">
        <v>857</v>
      </c>
      <c r="BJ212" t="s">
        <v>125</v>
      </c>
      <c r="BM212">
        <v>0</v>
      </c>
      <c r="BN212">
        <v>1</v>
      </c>
      <c r="BO212">
        <v>1</v>
      </c>
      <c r="BP212" t="s">
        <v>514</v>
      </c>
      <c r="BR212">
        <v>0</v>
      </c>
      <c r="BS212">
        <v>6</v>
      </c>
      <c r="BU212" s="1">
        <v>288000</v>
      </c>
    </row>
    <row r="213" spans="1:73" x14ac:dyDescent="0.3">
      <c r="A213" t="s">
        <v>2478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20000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 s="1">
        <v>20000</v>
      </c>
      <c r="BD213" t="s">
        <v>74</v>
      </c>
      <c r="BE213" t="s">
        <v>2479</v>
      </c>
      <c r="BF213" t="s">
        <v>2480</v>
      </c>
      <c r="BH213" t="s">
        <v>77</v>
      </c>
      <c r="BI213" t="s">
        <v>739</v>
      </c>
      <c r="BJ213" t="s">
        <v>79</v>
      </c>
      <c r="BM213">
        <v>0</v>
      </c>
      <c r="BN213">
        <v>1</v>
      </c>
      <c r="BO213">
        <v>1</v>
      </c>
      <c r="BP213" t="s">
        <v>80</v>
      </c>
      <c r="BR213">
        <v>0</v>
      </c>
      <c r="BS213">
        <v>6</v>
      </c>
      <c r="BU213" s="1">
        <v>20000</v>
      </c>
    </row>
    <row r="214" spans="1:73" x14ac:dyDescent="0.3">
      <c r="A214" t="s">
        <v>717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73535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</v>
      </c>
      <c r="BC214" s="1">
        <v>147070</v>
      </c>
      <c r="BD214" t="s">
        <v>74</v>
      </c>
      <c r="BE214" t="s">
        <v>718</v>
      </c>
      <c r="BF214" t="s">
        <v>719</v>
      </c>
      <c r="BH214" t="s">
        <v>77</v>
      </c>
      <c r="BI214" t="s">
        <v>720</v>
      </c>
      <c r="BJ214" t="s">
        <v>79</v>
      </c>
      <c r="BM214">
        <v>1</v>
      </c>
      <c r="BN214">
        <v>0</v>
      </c>
      <c r="BO214">
        <v>1</v>
      </c>
      <c r="BP214" t="s">
        <v>80</v>
      </c>
      <c r="BR214">
        <v>0</v>
      </c>
      <c r="BS214">
        <v>0</v>
      </c>
      <c r="BU214" s="1">
        <v>73535</v>
      </c>
    </row>
    <row r="215" spans="1:73" x14ac:dyDescent="0.3">
      <c r="A215" t="s">
        <v>1375</v>
      </c>
      <c r="B215">
        <v>1</v>
      </c>
      <c r="C215">
        <v>148812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 s="1">
        <v>148812</v>
      </c>
      <c r="BD215" t="s">
        <v>74</v>
      </c>
      <c r="BE215" t="s">
        <v>1376</v>
      </c>
      <c r="BF215" t="s">
        <v>1377</v>
      </c>
      <c r="BH215" t="s">
        <v>77</v>
      </c>
      <c r="BI215" t="s">
        <v>593</v>
      </c>
      <c r="BJ215" t="s">
        <v>79</v>
      </c>
      <c r="BM215">
        <v>0</v>
      </c>
      <c r="BN215">
        <v>1</v>
      </c>
      <c r="BO215">
        <v>1</v>
      </c>
      <c r="BP215" t="s">
        <v>80</v>
      </c>
      <c r="BR215">
        <v>0</v>
      </c>
      <c r="BS215">
        <v>6</v>
      </c>
      <c r="BU215" s="1">
        <v>148812</v>
      </c>
    </row>
    <row r="216" spans="1:73" x14ac:dyDescent="0.3">
      <c r="A216" t="s">
        <v>1481</v>
      </c>
      <c r="B216">
        <v>2</v>
      </c>
      <c r="C216">
        <v>181262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</v>
      </c>
      <c r="BC216" s="1">
        <v>181262</v>
      </c>
      <c r="BD216" t="s">
        <v>74</v>
      </c>
      <c r="BE216" t="s">
        <v>1482</v>
      </c>
      <c r="BF216" t="s">
        <v>1483</v>
      </c>
      <c r="BH216" t="s">
        <v>77</v>
      </c>
      <c r="BI216" t="s">
        <v>92</v>
      </c>
      <c r="BJ216" t="s">
        <v>79</v>
      </c>
      <c r="BM216">
        <v>0</v>
      </c>
      <c r="BN216">
        <v>1</v>
      </c>
      <c r="BO216">
        <v>1</v>
      </c>
      <c r="BP216" t="s">
        <v>80</v>
      </c>
      <c r="BR216">
        <v>0</v>
      </c>
      <c r="BS216">
        <v>0</v>
      </c>
      <c r="BU216" s="1">
        <v>181262</v>
      </c>
    </row>
    <row r="217" spans="1:73" x14ac:dyDescent="0.3">
      <c r="A217" t="s">
        <v>3633</v>
      </c>
      <c r="B217">
        <v>2</v>
      </c>
      <c r="C217">
        <v>399957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</v>
      </c>
      <c r="BC217" s="1">
        <v>399957</v>
      </c>
      <c r="BD217" t="s">
        <v>74</v>
      </c>
      <c r="BE217" t="s">
        <v>3634</v>
      </c>
      <c r="BF217" t="s">
        <v>3635</v>
      </c>
      <c r="BH217" t="s">
        <v>77</v>
      </c>
      <c r="BI217" t="s">
        <v>593</v>
      </c>
      <c r="BJ217" t="s">
        <v>79</v>
      </c>
      <c r="BM217">
        <v>0</v>
      </c>
      <c r="BN217">
        <v>1</v>
      </c>
      <c r="BO217">
        <v>1</v>
      </c>
      <c r="BP217" t="s">
        <v>80</v>
      </c>
      <c r="BR217">
        <v>0</v>
      </c>
      <c r="BS217">
        <v>6</v>
      </c>
      <c r="BU217" s="1">
        <v>399957</v>
      </c>
    </row>
    <row r="218" spans="1:73" x14ac:dyDescent="0.3">
      <c r="A218" t="s">
        <v>3607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41480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 s="1">
        <v>41480</v>
      </c>
      <c r="BD218" t="s">
        <v>74</v>
      </c>
      <c r="BE218" t="s">
        <v>3608</v>
      </c>
      <c r="BF218" t="s">
        <v>3609</v>
      </c>
      <c r="BH218" t="s">
        <v>77</v>
      </c>
      <c r="BI218" t="s">
        <v>720</v>
      </c>
      <c r="BJ218" t="s">
        <v>79</v>
      </c>
      <c r="BM218">
        <v>0</v>
      </c>
      <c r="BN218">
        <v>1</v>
      </c>
      <c r="BO218">
        <v>1</v>
      </c>
      <c r="BP218" t="s">
        <v>80</v>
      </c>
      <c r="BR218">
        <v>0</v>
      </c>
      <c r="BS218">
        <v>6</v>
      </c>
      <c r="BU218" s="1">
        <v>41480</v>
      </c>
    </row>
    <row r="219" spans="1:73" x14ac:dyDescent="0.3">
      <c r="A219" t="s">
        <v>249</v>
      </c>
      <c r="B219">
        <v>0</v>
      </c>
      <c r="C219">
        <v>0</v>
      </c>
      <c r="D219">
        <v>1</v>
      </c>
      <c r="E219">
        <v>120910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 s="1">
        <v>120910</v>
      </c>
      <c r="BD219" t="s">
        <v>74</v>
      </c>
      <c r="BE219" t="s">
        <v>250</v>
      </c>
      <c r="BF219" t="s">
        <v>251</v>
      </c>
      <c r="BH219" t="s">
        <v>77</v>
      </c>
      <c r="BI219" t="s">
        <v>84</v>
      </c>
      <c r="BJ219" t="s">
        <v>79</v>
      </c>
      <c r="BM219">
        <v>0</v>
      </c>
      <c r="BN219">
        <v>1</v>
      </c>
      <c r="BO219">
        <v>1</v>
      </c>
      <c r="BP219" t="s">
        <v>80</v>
      </c>
      <c r="BR219">
        <v>0</v>
      </c>
      <c r="BS219">
        <v>6</v>
      </c>
      <c r="BU219" s="1">
        <v>120910</v>
      </c>
    </row>
    <row r="220" spans="1:73" x14ac:dyDescent="0.3">
      <c r="A220" t="s">
        <v>1135</v>
      </c>
      <c r="B220">
        <v>0</v>
      </c>
      <c r="C220">
        <v>0</v>
      </c>
      <c r="D220">
        <v>1</v>
      </c>
      <c r="E220">
        <v>256000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</v>
      </c>
      <c r="BC220" s="1">
        <v>512000</v>
      </c>
      <c r="BD220" t="s">
        <v>74</v>
      </c>
      <c r="BE220" t="s">
        <v>1136</v>
      </c>
      <c r="BF220" t="s">
        <v>251</v>
      </c>
      <c r="BH220" t="s">
        <v>136</v>
      </c>
      <c r="BI220" t="s">
        <v>539</v>
      </c>
      <c r="BJ220" t="s">
        <v>125</v>
      </c>
      <c r="BM220">
        <v>0</v>
      </c>
      <c r="BN220">
        <v>1</v>
      </c>
      <c r="BO220">
        <v>1</v>
      </c>
      <c r="BP220" t="s">
        <v>80</v>
      </c>
      <c r="BR220">
        <v>0</v>
      </c>
      <c r="BS220">
        <v>6</v>
      </c>
      <c r="BU220" s="1">
        <v>256000</v>
      </c>
    </row>
    <row r="221" spans="1:73" x14ac:dyDescent="0.3">
      <c r="A221" t="s">
        <v>2204</v>
      </c>
      <c r="B221">
        <v>0</v>
      </c>
      <c r="C221">
        <v>0</v>
      </c>
      <c r="D221">
        <v>5</v>
      </c>
      <c r="E221">
        <v>1186800</v>
      </c>
      <c r="F221">
        <v>0</v>
      </c>
      <c r="G221">
        <v>0</v>
      </c>
      <c r="H221">
        <v>3</v>
      </c>
      <c r="I221">
        <v>70000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9</v>
      </c>
      <c r="BC221" s="1">
        <v>1299029</v>
      </c>
      <c r="BD221" t="s">
        <v>74</v>
      </c>
      <c r="BE221" t="s">
        <v>2205</v>
      </c>
      <c r="BF221" t="s">
        <v>251</v>
      </c>
      <c r="BH221" t="s">
        <v>77</v>
      </c>
      <c r="BI221" t="s">
        <v>84</v>
      </c>
      <c r="BJ221" t="s">
        <v>79</v>
      </c>
      <c r="BM221">
        <v>0</v>
      </c>
      <c r="BN221">
        <v>2</v>
      </c>
      <c r="BO221">
        <v>2</v>
      </c>
      <c r="BP221" t="s">
        <v>514</v>
      </c>
      <c r="BR221">
        <v>0</v>
      </c>
      <c r="BS221">
        <v>6</v>
      </c>
      <c r="BU221" s="1">
        <v>1256800</v>
      </c>
    </row>
    <row r="222" spans="1:73" x14ac:dyDescent="0.3">
      <c r="A222" t="s">
        <v>3314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90909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 s="1">
        <v>90909</v>
      </c>
      <c r="BD222" t="s">
        <v>74</v>
      </c>
      <c r="BE222" t="s">
        <v>3315</v>
      </c>
      <c r="BF222" t="s">
        <v>251</v>
      </c>
      <c r="BH222" t="s">
        <v>77</v>
      </c>
      <c r="BI222" t="s">
        <v>84</v>
      </c>
      <c r="BJ222" t="s">
        <v>79</v>
      </c>
      <c r="BM222">
        <v>1</v>
      </c>
      <c r="BN222">
        <v>0</v>
      </c>
      <c r="BO222">
        <v>1</v>
      </c>
      <c r="BP222" t="s">
        <v>80</v>
      </c>
      <c r="BR222">
        <v>0</v>
      </c>
      <c r="BS222">
        <v>6</v>
      </c>
      <c r="BU222" s="1">
        <v>90909</v>
      </c>
    </row>
    <row r="223" spans="1:73" x14ac:dyDescent="0.3">
      <c r="A223" t="s">
        <v>1066</v>
      </c>
      <c r="B223">
        <v>0</v>
      </c>
      <c r="C223">
        <v>0</v>
      </c>
      <c r="D223">
        <v>1</v>
      </c>
      <c r="E223">
        <v>150000</v>
      </c>
      <c r="F223">
        <v>0</v>
      </c>
      <c r="G223">
        <v>0</v>
      </c>
      <c r="H223">
        <v>2</v>
      </c>
      <c r="I223">
        <v>40000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60000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</v>
      </c>
      <c r="BC223" s="1">
        <v>250000</v>
      </c>
      <c r="BD223" t="s">
        <v>74</v>
      </c>
      <c r="BE223" t="s">
        <v>1067</v>
      </c>
      <c r="BF223" t="s">
        <v>1068</v>
      </c>
      <c r="BH223" t="s">
        <v>77</v>
      </c>
      <c r="BI223" t="s">
        <v>92</v>
      </c>
      <c r="BJ223" t="s">
        <v>79</v>
      </c>
      <c r="BM223">
        <v>0</v>
      </c>
      <c r="BN223">
        <v>3</v>
      </c>
      <c r="BO223">
        <v>3</v>
      </c>
      <c r="BP223" t="s">
        <v>80</v>
      </c>
      <c r="BR223">
        <v>0</v>
      </c>
      <c r="BS223">
        <v>6</v>
      </c>
      <c r="BU223" s="1">
        <v>250000</v>
      </c>
    </row>
    <row r="224" spans="1:73" x14ac:dyDescent="0.3">
      <c r="A224" t="s">
        <v>4006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40000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</v>
      </c>
      <c r="BC224" s="1">
        <v>40000</v>
      </c>
      <c r="BD224" t="s">
        <v>74</v>
      </c>
      <c r="BE224" t="s">
        <v>4007</v>
      </c>
      <c r="BF224" t="s">
        <v>4008</v>
      </c>
      <c r="BH224" t="s">
        <v>77</v>
      </c>
      <c r="BI224" t="s">
        <v>88</v>
      </c>
      <c r="BJ224" t="s">
        <v>79</v>
      </c>
      <c r="BM224">
        <v>0</v>
      </c>
      <c r="BN224">
        <v>1</v>
      </c>
      <c r="BO224">
        <v>1</v>
      </c>
      <c r="BP224" t="s">
        <v>80</v>
      </c>
      <c r="BR224">
        <v>0</v>
      </c>
      <c r="BS224">
        <v>6</v>
      </c>
      <c r="BU224" s="1">
        <v>40000</v>
      </c>
    </row>
    <row r="225" spans="1:73" x14ac:dyDescent="0.3">
      <c r="A225" t="s">
        <v>1311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</v>
      </c>
      <c r="I225">
        <v>100000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</v>
      </c>
      <c r="BC225" s="1">
        <v>100000</v>
      </c>
      <c r="BD225" t="s">
        <v>74</v>
      </c>
      <c r="BE225" t="s">
        <v>1312</v>
      </c>
      <c r="BF225" t="s">
        <v>1313</v>
      </c>
      <c r="BH225" t="s">
        <v>77</v>
      </c>
      <c r="BI225" t="s">
        <v>88</v>
      </c>
      <c r="BJ225" t="s">
        <v>79</v>
      </c>
      <c r="BM225">
        <v>0</v>
      </c>
      <c r="BN225">
        <v>1</v>
      </c>
      <c r="BO225">
        <v>1</v>
      </c>
      <c r="BP225" t="s">
        <v>80</v>
      </c>
      <c r="BR225">
        <v>0</v>
      </c>
      <c r="BS225">
        <v>6</v>
      </c>
      <c r="BU225" s="1">
        <v>100000</v>
      </c>
    </row>
    <row r="226" spans="1:73" x14ac:dyDescent="0.3">
      <c r="A226" t="s">
        <v>278</v>
      </c>
      <c r="B226">
        <v>0</v>
      </c>
      <c r="C226">
        <v>0</v>
      </c>
      <c r="D226">
        <v>1</v>
      </c>
      <c r="E226">
        <v>350000</v>
      </c>
      <c r="F226">
        <v>0</v>
      </c>
      <c r="G226">
        <v>0</v>
      </c>
      <c r="H226">
        <v>2</v>
      </c>
      <c r="I226">
        <v>40000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</v>
      </c>
      <c r="BC226" s="1">
        <v>390000</v>
      </c>
      <c r="BD226" t="s">
        <v>74</v>
      </c>
      <c r="BE226" t="s">
        <v>279</v>
      </c>
      <c r="BF226" t="s">
        <v>280</v>
      </c>
      <c r="BH226" t="s">
        <v>77</v>
      </c>
      <c r="BI226" t="s">
        <v>281</v>
      </c>
      <c r="BJ226" t="s">
        <v>79</v>
      </c>
      <c r="BM226">
        <v>0</v>
      </c>
      <c r="BN226">
        <v>2</v>
      </c>
      <c r="BO226">
        <v>2</v>
      </c>
      <c r="BP226" t="s">
        <v>80</v>
      </c>
      <c r="BR226">
        <v>0</v>
      </c>
      <c r="BS226">
        <v>6</v>
      </c>
      <c r="BU226" s="1">
        <v>390000</v>
      </c>
    </row>
    <row r="227" spans="1:73" x14ac:dyDescent="0.3">
      <c r="A227" t="s">
        <v>2656</v>
      </c>
      <c r="B227">
        <v>0</v>
      </c>
      <c r="C227">
        <v>0</v>
      </c>
      <c r="D227">
        <v>2</v>
      </c>
      <c r="E227">
        <v>706000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</v>
      </c>
      <c r="BC227" s="1">
        <v>706000</v>
      </c>
      <c r="BD227" t="s">
        <v>74</v>
      </c>
      <c r="BE227" t="s">
        <v>2657</v>
      </c>
      <c r="BF227" t="s">
        <v>280</v>
      </c>
      <c r="BH227" t="s">
        <v>77</v>
      </c>
      <c r="BI227" t="s">
        <v>88</v>
      </c>
      <c r="BJ227" t="s">
        <v>79</v>
      </c>
      <c r="BM227">
        <v>0</v>
      </c>
      <c r="BN227">
        <v>1</v>
      </c>
      <c r="BO227">
        <v>1</v>
      </c>
      <c r="BP227" t="s">
        <v>514</v>
      </c>
      <c r="BR227">
        <v>0</v>
      </c>
      <c r="BS227">
        <v>6</v>
      </c>
      <c r="BU227" s="1">
        <v>706000</v>
      </c>
    </row>
    <row r="228" spans="1:73" x14ac:dyDescent="0.3">
      <c r="A228" t="s">
        <v>2653</v>
      </c>
      <c r="B228">
        <v>0</v>
      </c>
      <c r="C228">
        <v>0</v>
      </c>
      <c r="D228">
        <v>3</v>
      </c>
      <c r="E228">
        <v>70994</v>
      </c>
      <c r="F228">
        <v>0</v>
      </c>
      <c r="G228">
        <v>0</v>
      </c>
      <c r="H228">
        <v>9</v>
      </c>
      <c r="I228">
        <v>211988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82993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11</v>
      </c>
      <c r="BC228" s="1">
        <v>377974</v>
      </c>
      <c r="BD228" t="s">
        <v>74</v>
      </c>
      <c r="BE228" t="s">
        <v>2654</v>
      </c>
      <c r="BF228" t="s">
        <v>2655</v>
      </c>
      <c r="BH228" t="s">
        <v>77</v>
      </c>
      <c r="BI228" t="s">
        <v>88</v>
      </c>
      <c r="BJ228" t="s">
        <v>79</v>
      </c>
      <c r="BM228">
        <v>1</v>
      </c>
      <c r="BN228">
        <v>2</v>
      </c>
      <c r="BO228">
        <v>3</v>
      </c>
      <c r="BP228" t="s">
        <v>80</v>
      </c>
      <c r="BR228">
        <v>0</v>
      </c>
      <c r="BS228">
        <v>6</v>
      </c>
      <c r="BU228" s="1">
        <v>365975</v>
      </c>
    </row>
    <row r="229" spans="1:73" x14ac:dyDescent="0.3">
      <c r="A229" t="s">
        <v>421</v>
      </c>
      <c r="B229">
        <v>0</v>
      </c>
      <c r="C229">
        <v>0</v>
      </c>
      <c r="D229">
        <v>3</v>
      </c>
      <c r="E229">
        <v>245715</v>
      </c>
      <c r="F229">
        <v>0</v>
      </c>
      <c r="G229">
        <v>0</v>
      </c>
      <c r="H229">
        <v>4</v>
      </c>
      <c r="I229">
        <v>80000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6</v>
      </c>
      <c r="BC229" s="1">
        <v>491430</v>
      </c>
      <c r="BD229" t="s">
        <v>74</v>
      </c>
      <c r="BE229" t="s">
        <v>422</v>
      </c>
      <c r="BF229" t="s">
        <v>423</v>
      </c>
      <c r="BH229" t="s">
        <v>77</v>
      </c>
      <c r="BI229" t="s">
        <v>88</v>
      </c>
      <c r="BJ229" t="s">
        <v>79</v>
      </c>
      <c r="BM229">
        <v>0</v>
      </c>
      <c r="BN229">
        <v>2</v>
      </c>
      <c r="BO229">
        <v>2</v>
      </c>
      <c r="BP229" t="s">
        <v>80</v>
      </c>
      <c r="BR229">
        <v>0</v>
      </c>
      <c r="BS229">
        <v>6</v>
      </c>
      <c r="BU229" s="1">
        <v>325715</v>
      </c>
    </row>
    <row r="230" spans="1:73" x14ac:dyDescent="0.3">
      <c r="A230" t="s">
        <v>1373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73535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19792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</v>
      </c>
      <c r="BC230" s="1">
        <v>113119</v>
      </c>
      <c r="BD230" t="s">
        <v>74</v>
      </c>
      <c r="BE230" t="s">
        <v>1374</v>
      </c>
      <c r="BF230" t="s">
        <v>813</v>
      </c>
      <c r="BH230" t="s">
        <v>77</v>
      </c>
      <c r="BI230" t="s">
        <v>281</v>
      </c>
      <c r="BJ230" t="s">
        <v>79</v>
      </c>
      <c r="BM230">
        <v>2</v>
      </c>
      <c r="BN230">
        <v>0</v>
      </c>
      <c r="BO230">
        <v>2</v>
      </c>
      <c r="BP230" t="s">
        <v>80</v>
      </c>
      <c r="BR230">
        <v>0</v>
      </c>
      <c r="BS230">
        <v>6</v>
      </c>
      <c r="BU230" s="1">
        <v>93327</v>
      </c>
    </row>
    <row r="231" spans="1:73" x14ac:dyDescent="0.3">
      <c r="A231" t="s">
        <v>2120</v>
      </c>
      <c r="B231">
        <v>0</v>
      </c>
      <c r="C231">
        <v>0</v>
      </c>
      <c r="D231">
        <v>1</v>
      </c>
      <c r="E231">
        <v>288000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</v>
      </c>
      <c r="BC231" s="1">
        <v>576000</v>
      </c>
      <c r="BD231" t="s">
        <v>74</v>
      </c>
      <c r="BE231" t="s">
        <v>2121</v>
      </c>
      <c r="BF231" t="s">
        <v>813</v>
      </c>
      <c r="BH231" t="s">
        <v>77</v>
      </c>
      <c r="BI231" t="s">
        <v>593</v>
      </c>
      <c r="BJ231" t="s">
        <v>79</v>
      </c>
      <c r="BM231">
        <v>0</v>
      </c>
      <c r="BN231">
        <v>1</v>
      </c>
      <c r="BO231">
        <v>1</v>
      </c>
      <c r="BP231" t="s">
        <v>80</v>
      </c>
      <c r="BR231">
        <v>0</v>
      </c>
      <c r="BS231">
        <v>6</v>
      </c>
      <c r="BU231" s="1">
        <v>288000</v>
      </c>
    </row>
    <row r="232" spans="1:73" x14ac:dyDescent="0.3">
      <c r="A232" t="s">
        <v>2617</v>
      </c>
      <c r="B232">
        <v>0</v>
      </c>
      <c r="C232">
        <v>0</v>
      </c>
      <c r="D232">
        <v>3</v>
      </c>
      <c r="E232">
        <v>1056000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147070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24243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11</v>
      </c>
      <c r="BC232" s="1">
        <v>2381091</v>
      </c>
      <c r="BD232" t="s">
        <v>74</v>
      </c>
      <c r="BE232" t="s">
        <v>2618</v>
      </c>
      <c r="BF232" t="s">
        <v>813</v>
      </c>
      <c r="BH232" t="s">
        <v>77</v>
      </c>
      <c r="BI232" t="s">
        <v>92</v>
      </c>
      <c r="BJ232" t="s">
        <v>79</v>
      </c>
      <c r="BM232">
        <v>2</v>
      </c>
      <c r="BN232">
        <v>1</v>
      </c>
      <c r="BO232">
        <v>3</v>
      </c>
      <c r="BP232" t="s">
        <v>80</v>
      </c>
      <c r="BR232">
        <v>0</v>
      </c>
      <c r="BS232">
        <v>6</v>
      </c>
      <c r="BU232" s="1">
        <v>1227313</v>
      </c>
    </row>
    <row r="233" spans="1:73" x14ac:dyDescent="0.3">
      <c r="A233" t="s">
        <v>3084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43523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4394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</v>
      </c>
      <c r="BC233" s="1">
        <v>47917</v>
      </c>
      <c r="BD233" t="s">
        <v>74</v>
      </c>
      <c r="BE233" t="s">
        <v>3085</v>
      </c>
      <c r="BF233" t="s">
        <v>813</v>
      </c>
      <c r="BH233" t="s">
        <v>77</v>
      </c>
      <c r="BI233" t="s">
        <v>281</v>
      </c>
      <c r="BJ233" t="s">
        <v>79</v>
      </c>
      <c r="BM233">
        <v>2</v>
      </c>
      <c r="BN233">
        <v>0</v>
      </c>
      <c r="BO233">
        <v>2</v>
      </c>
      <c r="BP233" t="s">
        <v>80</v>
      </c>
      <c r="BR233">
        <v>0</v>
      </c>
      <c r="BS233">
        <v>0</v>
      </c>
      <c r="BU233" s="1">
        <v>47917</v>
      </c>
    </row>
    <row r="234" spans="1:73" x14ac:dyDescent="0.3">
      <c r="A234" t="s">
        <v>3507</v>
      </c>
      <c r="B234">
        <v>0</v>
      </c>
      <c r="C234">
        <v>0</v>
      </c>
      <c r="D234">
        <v>1</v>
      </c>
      <c r="E234">
        <v>20401</v>
      </c>
      <c r="F234">
        <v>0</v>
      </c>
      <c r="G234">
        <v>0</v>
      </c>
      <c r="H234">
        <v>1</v>
      </c>
      <c r="I234">
        <v>20401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73535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</v>
      </c>
      <c r="BC234" s="1">
        <v>358380</v>
      </c>
      <c r="BD234" t="s">
        <v>74</v>
      </c>
      <c r="BE234" t="s">
        <v>3508</v>
      </c>
      <c r="BF234" t="s">
        <v>813</v>
      </c>
      <c r="BH234" t="s">
        <v>77</v>
      </c>
      <c r="BI234" t="s">
        <v>281</v>
      </c>
      <c r="BJ234" t="s">
        <v>79</v>
      </c>
      <c r="BM234">
        <v>1</v>
      </c>
      <c r="BN234">
        <v>2</v>
      </c>
      <c r="BO234">
        <v>3</v>
      </c>
      <c r="BP234" t="s">
        <v>514</v>
      </c>
      <c r="BR234">
        <v>0</v>
      </c>
      <c r="BS234">
        <v>0</v>
      </c>
      <c r="BU234" s="1">
        <v>114337</v>
      </c>
    </row>
    <row r="235" spans="1:73" x14ac:dyDescent="0.3">
      <c r="A235" t="s">
        <v>443</v>
      </c>
      <c r="B235">
        <v>1</v>
      </c>
      <c r="C235">
        <v>180956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 s="1">
        <v>180956</v>
      </c>
      <c r="BD235" t="s">
        <v>74</v>
      </c>
      <c r="BE235" t="s">
        <v>444</v>
      </c>
      <c r="BF235" t="s">
        <v>445</v>
      </c>
      <c r="BM235">
        <v>0</v>
      </c>
      <c r="BN235">
        <v>1</v>
      </c>
      <c r="BO235">
        <v>1</v>
      </c>
      <c r="BP235" t="s">
        <v>80</v>
      </c>
      <c r="BR235">
        <v>0</v>
      </c>
      <c r="BS235">
        <v>6</v>
      </c>
      <c r="BU235" s="1">
        <v>180956</v>
      </c>
    </row>
    <row r="236" spans="1:73" x14ac:dyDescent="0.3">
      <c r="A236" t="s">
        <v>5583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78585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2</v>
      </c>
      <c r="BC236" s="1">
        <v>157170</v>
      </c>
      <c r="BD236" t="s">
        <v>74</v>
      </c>
      <c r="BE236" t="s">
        <v>5584</v>
      </c>
      <c r="BF236" t="s">
        <v>5585</v>
      </c>
      <c r="BH236" t="s">
        <v>77</v>
      </c>
      <c r="BI236" t="s">
        <v>92</v>
      </c>
      <c r="BJ236" t="s">
        <v>79</v>
      </c>
      <c r="BM236">
        <v>1</v>
      </c>
      <c r="BN236">
        <v>0</v>
      </c>
      <c r="BO236">
        <v>1</v>
      </c>
      <c r="BP236" t="s">
        <v>80</v>
      </c>
      <c r="BR236">
        <v>0</v>
      </c>
      <c r="BS236">
        <v>6</v>
      </c>
      <c r="BU236" s="1">
        <v>78585</v>
      </c>
    </row>
    <row r="237" spans="1:73" x14ac:dyDescent="0.3">
      <c r="A237" t="s">
        <v>5233</v>
      </c>
      <c r="B237">
        <v>0</v>
      </c>
      <c r="C237">
        <v>0</v>
      </c>
      <c r="D237">
        <v>2</v>
      </c>
      <c r="E237">
        <v>2270000</v>
      </c>
      <c r="F237">
        <v>0</v>
      </c>
      <c r="G237">
        <v>0</v>
      </c>
      <c r="H237">
        <v>2</v>
      </c>
      <c r="I237">
        <v>40000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165000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6</v>
      </c>
      <c r="BC237" s="1">
        <v>5085000</v>
      </c>
      <c r="BD237" t="s">
        <v>74</v>
      </c>
      <c r="BE237" t="s">
        <v>5234</v>
      </c>
      <c r="BF237" t="s">
        <v>5235</v>
      </c>
      <c r="BH237" t="s">
        <v>136</v>
      </c>
      <c r="BI237" t="s">
        <v>439</v>
      </c>
      <c r="BJ237" t="s">
        <v>125</v>
      </c>
      <c r="BM237">
        <v>1</v>
      </c>
      <c r="BN237">
        <v>2</v>
      </c>
      <c r="BO237">
        <v>3</v>
      </c>
      <c r="BP237" t="s">
        <v>514</v>
      </c>
      <c r="BR237">
        <v>0</v>
      </c>
      <c r="BS237">
        <v>6</v>
      </c>
      <c r="BU237" s="1">
        <v>2475000</v>
      </c>
    </row>
    <row r="238" spans="1:73" x14ac:dyDescent="0.3">
      <c r="A238" t="s">
        <v>3148</v>
      </c>
      <c r="B238">
        <v>0</v>
      </c>
      <c r="C238">
        <v>0</v>
      </c>
      <c r="D238">
        <v>1</v>
      </c>
      <c r="E238">
        <v>152000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64000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</v>
      </c>
      <c r="BC238" s="1">
        <v>432000</v>
      </c>
      <c r="BD238" t="s">
        <v>74</v>
      </c>
      <c r="BE238" t="s">
        <v>3149</v>
      </c>
      <c r="BF238" t="s">
        <v>3150</v>
      </c>
      <c r="BH238" t="s">
        <v>77</v>
      </c>
      <c r="BI238" t="s">
        <v>281</v>
      </c>
      <c r="BJ238" t="s">
        <v>79</v>
      </c>
      <c r="BM238">
        <v>0</v>
      </c>
      <c r="BN238">
        <v>2</v>
      </c>
      <c r="BO238">
        <v>2</v>
      </c>
      <c r="BP238" t="s">
        <v>80</v>
      </c>
      <c r="BR238">
        <v>0</v>
      </c>
      <c r="BS238">
        <v>6</v>
      </c>
      <c r="BU238" s="1">
        <v>216000</v>
      </c>
    </row>
    <row r="239" spans="1:73" x14ac:dyDescent="0.3">
      <c r="A239" t="s">
        <v>4001</v>
      </c>
      <c r="B239">
        <v>0</v>
      </c>
      <c r="C239">
        <v>0</v>
      </c>
      <c r="D239">
        <v>1</v>
      </c>
      <c r="E239">
        <v>500000</v>
      </c>
      <c r="F239">
        <v>0</v>
      </c>
      <c r="G239">
        <v>0</v>
      </c>
      <c r="H239">
        <v>1</v>
      </c>
      <c r="I239">
        <v>20000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2</v>
      </c>
      <c r="BC239" s="1">
        <v>520000</v>
      </c>
      <c r="BD239" t="s">
        <v>74</v>
      </c>
      <c r="BE239" t="s">
        <v>4002</v>
      </c>
      <c r="BF239" t="s">
        <v>3150</v>
      </c>
      <c r="BH239" t="s">
        <v>77</v>
      </c>
      <c r="BI239" t="s">
        <v>281</v>
      </c>
      <c r="BJ239" t="s">
        <v>79</v>
      </c>
      <c r="BM239">
        <v>0</v>
      </c>
      <c r="BN239">
        <v>2</v>
      </c>
      <c r="BO239">
        <v>2</v>
      </c>
      <c r="BP239" t="s">
        <v>80</v>
      </c>
      <c r="BR239">
        <v>0</v>
      </c>
      <c r="BS239">
        <v>6</v>
      </c>
      <c r="BU239" s="1">
        <v>520000</v>
      </c>
    </row>
    <row r="240" spans="1:73" x14ac:dyDescent="0.3">
      <c r="A240" t="s">
        <v>3973</v>
      </c>
      <c r="B240">
        <v>0</v>
      </c>
      <c r="C240">
        <v>0</v>
      </c>
      <c r="D240">
        <v>2</v>
      </c>
      <c r="E240">
        <v>540000</v>
      </c>
      <c r="F240">
        <v>0</v>
      </c>
      <c r="G240">
        <v>0</v>
      </c>
      <c r="H240">
        <v>6</v>
      </c>
      <c r="I240">
        <v>90000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73535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57208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14</v>
      </c>
      <c r="BC240" s="1">
        <v>1174070</v>
      </c>
      <c r="BD240" t="s">
        <v>74</v>
      </c>
      <c r="BE240" t="s">
        <v>3974</v>
      </c>
      <c r="BF240" t="s">
        <v>3142</v>
      </c>
      <c r="BH240" t="s">
        <v>77</v>
      </c>
      <c r="BI240" t="s">
        <v>593</v>
      </c>
      <c r="BJ240" t="s">
        <v>79</v>
      </c>
      <c r="BM240">
        <v>2</v>
      </c>
      <c r="BN240">
        <v>2</v>
      </c>
      <c r="BO240">
        <v>4</v>
      </c>
      <c r="BP240" t="s">
        <v>514</v>
      </c>
      <c r="BR240">
        <v>0</v>
      </c>
      <c r="BS240">
        <v>6</v>
      </c>
      <c r="BU240" s="1">
        <v>760743</v>
      </c>
    </row>
    <row r="241" spans="1:73" x14ac:dyDescent="0.3">
      <c r="A241" t="s">
        <v>4457</v>
      </c>
      <c r="B241">
        <v>0</v>
      </c>
      <c r="C241">
        <v>0</v>
      </c>
      <c r="D241">
        <v>1</v>
      </c>
      <c r="E241">
        <v>540000</v>
      </c>
      <c r="F241">
        <v>0</v>
      </c>
      <c r="G241">
        <v>0</v>
      </c>
      <c r="H241">
        <v>5</v>
      </c>
      <c r="I241">
        <v>102109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7</v>
      </c>
      <c r="BC241" s="1">
        <v>1182109</v>
      </c>
      <c r="BD241" t="s">
        <v>74</v>
      </c>
      <c r="BE241" t="s">
        <v>4458</v>
      </c>
      <c r="BF241" t="s">
        <v>1492</v>
      </c>
      <c r="BH241" t="s">
        <v>77</v>
      </c>
      <c r="BI241" t="s">
        <v>593</v>
      </c>
      <c r="BJ241" t="s">
        <v>79</v>
      </c>
      <c r="BM241">
        <v>0</v>
      </c>
      <c r="BN241">
        <v>2</v>
      </c>
      <c r="BO241">
        <v>2</v>
      </c>
      <c r="BP241" t="s">
        <v>514</v>
      </c>
      <c r="BR241">
        <v>0</v>
      </c>
      <c r="BS241">
        <v>6</v>
      </c>
      <c r="BU241" s="1">
        <v>642109</v>
      </c>
    </row>
    <row r="242" spans="1:73" x14ac:dyDescent="0.3">
      <c r="A242" t="s">
        <v>5096</v>
      </c>
      <c r="B242">
        <v>1</v>
      </c>
      <c r="C242">
        <v>136463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 s="1">
        <v>136463</v>
      </c>
      <c r="BD242" t="s">
        <v>74</v>
      </c>
      <c r="BE242" t="s">
        <v>5097</v>
      </c>
      <c r="BF242" t="s">
        <v>5098</v>
      </c>
      <c r="BH242" t="s">
        <v>77</v>
      </c>
      <c r="BI242" t="s">
        <v>593</v>
      </c>
      <c r="BJ242" t="s">
        <v>79</v>
      </c>
      <c r="BM242">
        <v>0</v>
      </c>
      <c r="BN242">
        <v>1</v>
      </c>
      <c r="BO242">
        <v>1</v>
      </c>
      <c r="BP242" t="s">
        <v>80</v>
      </c>
      <c r="BR242">
        <v>0</v>
      </c>
      <c r="BS242">
        <v>6</v>
      </c>
      <c r="BU242" s="1">
        <v>136463</v>
      </c>
    </row>
    <row r="243" spans="1:73" x14ac:dyDescent="0.3">
      <c r="A243" t="s">
        <v>3116</v>
      </c>
      <c r="B243">
        <v>1</v>
      </c>
      <c r="C243">
        <v>221854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 s="1">
        <v>221854</v>
      </c>
      <c r="BD243" t="s">
        <v>74</v>
      </c>
      <c r="BE243" t="s">
        <v>3117</v>
      </c>
      <c r="BF243" t="s">
        <v>3118</v>
      </c>
      <c r="BH243" t="s">
        <v>77</v>
      </c>
      <c r="BI243" t="s">
        <v>593</v>
      </c>
      <c r="BJ243" t="s">
        <v>79</v>
      </c>
      <c r="BM243">
        <v>0</v>
      </c>
      <c r="BN243">
        <v>1</v>
      </c>
      <c r="BO243">
        <v>1</v>
      </c>
      <c r="BP243" t="s">
        <v>80</v>
      </c>
      <c r="BR243">
        <v>0</v>
      </c>
      <c r="BS243">
        <v>6</v>
      </c>
      <c r="BU243" s="1">
        <v>221854</v>
      </c>
    </row>
    <row r="244" spans="1:73" x14ac:dyDescent="0.3">
      <c r="A244" t="s">
        <v>2413</v>
      </c>
      <c r="B244">
        <v>0</v>
      </c>
      <c r="C244">
        <v>0</v>
      </c>
      <c r="D244">
        <v>1</v>
      </c>
      <c r="E244">
        <v>250000</v>
      </c>
      <c r="F244">
        <v>0</v>
      </c>
      <c r="G244">
        <v>0</v>
      </c>
      <c r="H244">
        <v>1</v>
      </c>
      <c r="I244">
        <v>23319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47916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</v>
      </c>
      <c r="BC244" s="1">
        <v>321235</v>
      </c>
      <c r="BD244" t="s">
        <v>74</v>
      </c>
      <c r="BE244" t="s">
        <v>2414</v>
      </c>
      <c r="BF244" t="s">
        <v>2415</v>
      </c>
      <c r="BH244" t="s">
        <v>77</v>
      </c>
      <c r="BI244" t="s">
        <v>593</v>
      </c>
      <c r="BJ244" t="s">
        <v>79</v>
      </c>
      <c r="BM244">
        <v>1</v>
      </c>
      <c r="BN244">
        <v>2</v>
      </c>
      <c r="BO244">
        <v>3</v>
      </c>
      <c r="BP244" t="s">
        <v>514</v>
      </c>
      <c r="BR244">
        <v>0</v>
      </c>
      <c r="BS244">
        <v>6</v>
      </c>
      <c r="BU244" s="1">
        <v>321235</v>
      </c>
    </row>
    <row r="245" spans="1:73" x14ac:dyDescent="0.3">
      <c r="A245" t="s">
        <v>3730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20000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 s="1">
        <v>20000</v>
      </c>
      <c r="BD245" t="s">
        <v>74</v>
      </c>
      <c r="BE245" t="s">
        <v>3731</v>
      </c>
      <c r="BF245" t="s">
        <v>3732</v>
      </c>
      <c r="BH245" t="s">
        <v>77</v>
      </c>
      <c r="BI245" t="s">
        <v>204</v>
      </c>
      <c r="BJ245" t="s">
        <v>79</v>
      </c>
      <c r="BM245">
        <v>0</v>
      </c>
      <c r="BN245">
        <v>1</v>
      </c>
      <c r="BO245">
        <v>1</v>
      </c>
      <c r="BP245" t="s">
        <v>514</v>
      </c>
      <c r="BR245">
        <v>0</v>
      </c>
      <c r="BS245">
        <v>6</v>
      </c>
      <c r="BU245" s="1">
        <v>20000</v>
      </c>
    </row>
    <row r="246" spans="1:73" x14ac:dyDescent="0.3">
      <c r="A246" t="s">
        <v>1748</v>
      </c>
      <c r="B246">
        <v>0</v>
      </c>
      <c r="C246">
        <v>0</v>
      </c>
      <c r="D246">
        <v>1</v>
      </c>
      <c r="E246">
        <v>150000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 s="1">
        <v>150000</v>
      </c>
      <c r="BD246" t="s">
        <v>74</v>
      </c>
      <c r="BE246" t="s">
        <v>1749</v>
      </c>
      <c r="BF246" t="s">
        <v>620</v>
      </c>
      <c r="BH246" t="s">
        <v>97</v>
      </c>
      <c r="BI246" t="s">
        <v>119</v>
      </c>
      <c r="BJ246" t="s">
        <v>79</v>
      </c>
      <c r="BM246">
        <v>0</v>
      </c>
      <c r="BN246">
        <v>1</v>
      </c>
      <c r="BO246">
        <v>1</v>
      </c>
      <c r="BP246" t="s">
        <v>80</v>
      </c>
      <c r="BR246">
        <v>0</v>
      </c>
      <c r="BS246">
        <v>6</v>
      </c>
      <c r="BU246" s="1">
        <v>150000</v>
      </c>
    </row>
    <row r="247" spans="1:73" x14ac:dyDescent="0.3">
      <c r="A247" t="s">
        <v>2341</v>
      </c>
      <c r="B247">
        <v>0</v>
      </c>
      <c r="C247">
        <v>0</v>
      </c>
      <c r="D247">
        <v>1</v>
      </c>
      <c r="E247">
        <v>500000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 s="1">
        <v>1000000</v>
      </c>
      <c r="BD247" t="s">
        <v>74</v>
      </c>
      <c r="BE247" t="s">
        <v>2342</v>
      </c>
      <c r="BF247" t="s">
        <v>2343</v>
      </c>
      <c r="BH247" t="s">
        <v>77</v>
      </c>
      <c r="BI247" t="s">
        <v>92</v>
      </c>
      <c r="BJ247" t="s">
        <v>79</v>
      </c>
      <c r="BM247">
        <v>0</v>
      </c>
      <c r="BN247">
        <v>1</v>
      </c>
      <c r="BO247">
        <v>1</v>
      </c>
      <c r="BP247" t="s">
        <v>80</v>
      </c>
      <c r="BR247">
        <v>0</v>
      </c>
      <c r="BS247">
        <v>6</v>
      </c>
      <c r="BU247" s="1">
        <v>500000</v>
      </c>
    </row>
    <row r="248" spans="1:73" x14ac:dyDescent="0.3">
      <c r="A248" t="s">
        <v>1830</v>
      </c>
      <c r="B248">
        <v>2</v>
      </c>
      <c r="C248">
        <v>364163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25000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</v>
      </c>
      <c r="BC248" s="1">
        <v>579163</v>
      </c>
      <c r="BD248" t="s">
        <v>74</v>
      </c>
      <c r="BE248" t="s">
        <v>1831</v>
      </c>
      <c r="BF248" t="s">
        <v>1832</v>
      </c>
      <c r="BH248" t="s">
        <v>77</v>
      </c>
      <c r="BI248" t="s">
        <v>92</v>
      </c>
      <c r="BJ248" t="s">
        <v>79</v>
      </c>
      <c r="BM248">
        <v>0</v>
      </c>
      <c r="BN248">
        <v>2</v>
      </c>
      <c r="BO248">
        <v>2</v>
      </c>
      <c r="BP248" t="s">
        <v>80</v>
      </c>
      <c r="BR248">
        <v>0</v>
      </c>
      <c r="BS248">
        <v>6</v>
      </c>
      <c r="BU248" s="1">
        <v>389163</v>
      </c>
    </row>
    <row r="249" spans="1:73" x14ac:dyDescent="0.3">
      <c r="A249" t="s">
        <v>2356</v>
      </c>
      <c r="B249">
        <v>0</v>
      </c>
      <c r="C249">
        <v>0</v>
      </c>
      <c r="D249">
        <v>3</v>
      </c>
      <c r="E249">
        <v>475000</v>
      </c>
      <c r="F249">
        <v>0</v>
      </c>
      <c r="G249">
        <v>0</v>
      </c>
      <c r="H249">
        <v>11</v>
      </c>
      <c r="I249">
        <v>303261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14</v>
      </c>
      <c r="BC249" s="1">
        <v>778261</v>
      </c>
      <c r="BD249" t="s">
        <v>74</v>
      </c>
      <c r="BE249" t="s">
        <v>2357</v>
      </c>
      <c r="BF249" t="s">
        <v>2358</v>
      </c>
      <c r="BH249" t="s">
        <v>77</v>
      </c>
      <c r="BI249" t="s">
        <v>524</v>
      </c>
      <c r="BJ249" t="s">
        <v>79</v>
      </c>
      <c r="BM249">
        <v>0</v>
      </c>
      <c r="BN249">
        <v>2</v>
      </c>
      <c r="BO249">
        <v>2</v>
      </c>
      <c r="BP249" t="s">
        <v>514</v>
      </c>
      <c r="BR249">
        <v>0</v>
      </c>
      <c r="BS249">
        <v>6</v>
      </c>
      <c r="BU249" s="1">
        <v>778261</v>
      </c>
    </row>
    <row r="250" spans="1:73" x14ac:dyDescent="0.3">
      <c r="A250" t="s">
        <v>5655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38089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 s="1">
        <v>38089</v>
      </c>
      <c r="BD250" t="s">
        <v>74</v>
      </c>
      <c r="BE250" t="s">
        <v>5656</v>
      </c>
      <c r="BF250" t="s">
        <v>2358</v>
      </c>
      <c r="BH250" t="s">
        <v>77</v>
      </c>
      <c r="BI250" t="s">
        <v>129</v>
      </c>
      <c r="BJ250" t="s">
        <v>79</v>
      </c>
      <c r="BM250">
        <v>0</v>
      </c>
      <c r="BN250">
        <v>1</v>
      </c>
      <c r="BO250">
        <v>1</v>
      </c>
      <c r="BP250" t="s">
        <v>514</v>
      </c>
      <c r="BR250">
        <v>0</v>
      </c>
      <c r="BS250">
        <v>6</v>
      </c>
      <c r="BU250" s="1">
        <v>38089</v>
      </c>
    </row>
    <row r="251" spans="1:73" x14ac:dyDescent="0.3">
      <c r="A251" t="s">
        <v>2183</v>
      </c>
      <c r="B251">
        <v>0</v>
      </c>
      <c r="C251">
        <v>0</v>
      </c>
      <c r="D251">
        <v>2</v>
      </c>
      <c r="E251">
        <v>596857</v>
      </c>
      <c r="F251">
        <v>0</v>
      </c>
      <c r="G251">
        <v>0</v>
      </c>
      <c r="H251">
        <v>3</v>
      </c>
      <c r="I251">
        <v>50000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5</v>
      </c>
      <c r="BC251" s="1">
        <v>646857</v>
      </c>
      <c r="BD251" t="s">
        <v>74</v>
      </c>
      <c r="BE251" t="s">
        <v>2184</v>
      </c>
      <c r="BF251" t="s">
        <v>2185</v>
      </c>
      <c r="BH251" t="s">
        <v>77</v>
      </c>
      <c r="BI251" t="s">
        <v>129</v>
      </c>
      <c r="BJ251" t="s">
        <v>79</v>
      </c>
      <c r="BM251">
        <v>0</v>
      </c>
      <c r="BN251">
        <v>2</v>
      </c>
      <c r="BO251">
        <v>2</v>
      </c>
      <c r="BP251" t="s">
        <v>514</v>
      </c>
      <c r="BR251">
        <v>0</v>
      </c>
      <c r="BS251">
        <v>6</v>
      </c>
      <c r="BU251" s="1">
        <v>646857</v>
      </c>
    </row>
    <row r="252" spans="1:73" x14ac:dyDescent="0.3">
      <c r="A252" t="s">
        <v>566</v>
      </c>
      <c r="B252">
        <v>0</v>
      </c>
      <c r="C252">
        <v>0</v>
      </c>
      <c r="D252">
        <v>3</v>
      </c>
      <c r="E252">
        <v>190000</v>
      </c>
      <c r="F252">
        <v>0</v>
      </c>
      <c r="G252">
        <v>0</v>
      </c>
      <c r="H252">
        <v>4</v>
      </c>
      <c r="I252">
        <v>80000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6</v>
      </c>
      <c r="BC252" s="1">
        <v>380000</v>
      </c>
      <c r="BD252" t="s">
        <v>74</v>
      </c>
      <c r="BE252" t="s">
        <v>567</v>
      </c>
      <c r="BF252" t="s">
        <v>568</v>
      </c>
      <c r="BH252" t="s">
        <v>77</v>
      </c>
      <c r="BI252" t="s">
        <v>78</v>
      </c>
      <c r="BJ252" t="s">
        <v>79</v>
      </c>
      <c r="BM252">
        <v>0</v>
      </c>
      <c r="BN252">
        <v>2</v>
      </c>
      <c r="BO252">
        <v>2</v>
      </c>
      <c r="BP252" t="s">
        <v>80</v>
      </c>
      <c r="BR252">
        <v>0</v>
      </c>
      <c r="BS252">
        <v>6</v>
      </c>
      <c r="BU252" s="1">
        <v>270000</v>
      </c>
    </row>
    <row r="253" spans="1:73" x14ac:dyDescent="0.3">
      <c r="A253" t="s">
        <v>1378</v>
      </c>
      <c r="B253">
        <v>0</v>
      </c>
      <c r="C253">
        <v>0</v>
      </c>
      <c r="D253">
        <v>2</v>
      </c>
      <c r="E253">
        <v>170000</v>
      </c>
      <c r="F253">
        <v>0</v>
      </c>
      <c r="G253">
        <v>0</v>
      </c>
      <c r="H253">
        <v>2</v>
      </c>
      <c r="I253">
        <v>40000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65000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6</v>
      </c>
      <c r="BC253" s="1">
        <v>470000</v>
      </c>
      <c r="BD253" t="s">
        <v>74</v>
      </c>
      <c r="BE253" t="s">
        <v>1379</v>
      </c>
      <c r="BF253" t="s">
        <v>1380</v>
      </c>
      <c r="BH253" t="s">
        <v>77</v>
      </c>
      <c r="BI253" t="s">
        <v>281</v>
      </c>
      <c r="BJ253" t="s">
        <v>79</v>
      </c>
      <c r="BM253">
        <v>0</v>
      </c>
      <c r="BN253">
        <v>3</v>
      </c>
      <c r="BO253">
        <v>3</v>
      </c>
      <c r="BP253" t="s">
        <v>80</v>
      </c>
      <c r="BR253">
        <v>0</v>
      </c>
      <c r="BS253">
        <v>6</v>
      </c>
      <c r="BU253" s="1">
        <v>275000</v>
      </c>
    </row>
    <row r="254" spans="1:73" x14ac:dyDescent="0.3">
      <c r="A254" t="s">
        <v>2113</v>
      </c>
      <c r="B254">
        <v>0</v>
      </c>
      <c r="C254">
        <v>0</v>
      </c>
      <c r="D254">
        <v>4</v>
      </c>
      <c r="E254">
        <v>690000</v>
      </c>
      <c r="F254">
        <v>0</v>
      </c>
      <c r="G254">
        <v>0</v>
      </c>
      <c r="H254">
        <v>6</v>
      </c>
      <c r="I254">
        <v>120000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8</v>
      </c>
      <c r="BC254" s="1">
        <v>1380000</v>
      </c>
      <c r="BD254" t="s">
        <v>74</v>
      </c>
      <c r="BE254" t="s">
        <v>2114</v>
      </c>
      <c r="BF254" t="s">
        <v>1380</v>
      </c>
      <c r="BH254" t="s">
        <v>77</v>
      </c>
      <c r="BI254" t="s">
        <v>593</v>
      </c>
      <c r="BJ254" t="s">
        <v>79</v>
      </c>
      <c r="BM254">
        <v>0</v>
      </c>
      <c r="BN254">
        <v>2</v>
      </c>
      <c r="BO254">
        <v>2</v>
      </c>
      <c r="BP254" t="s">
        <v>80</v>
      </c>
      <c r="BR254">
        <v>0</v>
      </c>
      <c r="BS254">
        <v>6</v>
      </c>
      <c r="BU254" s="1">
        <v>810000</v>
      </c>
    </row>
    <row r="255" spans="1:73" x14ac:dyDescent="0.3">
      <c r="A255" t="s">
        <v>2280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82993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</v>
      </c>
      <c r="BC255" s="1">
        <v>165986</v>
      </c>
      <c r="BD255" t="s">
        <v>74</v>
      </c>
      <c r="BE255" t="s">
        <v>2281</v>
      </c>
      <c r="BF255" t="s">
        <v>1380</v>
      </c>
      <c r="BH255" t="s">
        <v>77</v>
      </c>
      <c r="BI255" t="s">
        <v>593</v>
      </c>
      <c r="BJ255" t="s">
        <v>79</v>
      </c>
      <c r="BM255">
        <v>1</v>
      </c>
      <c r="BN255">
        <v>0</v>
      </c>
      <c r="BO255">
        <v>1</v>
      </c>
      <c r="BP255" t="s">
        <v>80</v>
      </c>
      <c r="BR255">
        <v>0</v>
      </c>
      <c r="BS255">
        <v>0</v>
      </c>
      <c r="BU255" s="1">
        <v>82993</v>
      </c>
    </row>
    <row r="256" spans="1:73" x14ac:dyDescent="0.3">
      <c r="A256" t="s">
        <v>3111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73535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 s="1">
        <v>73535</v>
      </c>
      <c r="BD256" t="s">
        <v>74</v>
      </c>
      <c r="BE256" t="s">
        <v>3112</v>
      </c>
      <c r="BF256" t="s">
        <v>568</v>
      </c>
      <c r="BH256" t="s">
        <v>77</v>
      </c>
      <c r="BI256" t="s">
        <v>593</v>
      </c>
      <c r="BJ256" t="s">
        <v>79</v>
      </c>
      <c r="BM256">
        <v>1</v>
      </c>
      <c r="BN256">
        <v>0</v>
      </c>
      <c r="BO256">
        <v>1</v>
      </c>
      <c r="BP256" t="s">
        <v>80</v>
      </c>
      <c r="BR256">
        <v>0</v>
      </c>
      <c r="BS256">
        <v>0</v>
      </c>
      <c r="BU256" s="1">
        <v>73535</v>
      </c>
    </row>
    <row r="257" spans="1:73" x14ac:dyDescent="0.3">
      <c r="A257" t="s">
        <v>1452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20000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 s="1">
        <v>20000</v>
      </c>
      <c r="BD257" t="s">
        <v>74</v>
      </c>
      <c r="BE257" t="s">
        <v>1453</v>
      </c>
      <c r="BF257" t="s">
        <v>1454</v>
      </c>
      <c r="BH257" t="s">
        <v>77</v>
      </c>
      <c r="BI257" t="s">
        <v>129</v>
      </c>
      <c r="BJ257" t="s">
        <v>79</v>
      </c>
      <c r="BM257">
        <v>0</v>
      </c>
      <c r="BN257">
        <v>1</v>
      </c>
      <c r="BO257">
        <v>1</v>
      </c>
      <c r="BP257" t="s">
        <v>80</v>
      </c>
      <c r="BR257">
        <v>0</v>
      </c>
      <c r="BS257">
        <v>6</v>
      </c>
      <c r="BU257" s="1">
        <v>20000</v>
      </c>
    </row>
    <row r="258" spans="1:73" x14ac:dyDescent="0.3">
      <c r="A258" t="s">
        <v>2427</v>
      </c>
      <c r="B258">
        <v>0</v>
      </c>
      <c r="C258">
        <v>0</v>
      </c>
      <c r="D258">
        <v>9</v>
      </c>
      <c r="E258">
        <v>1975926</v>
      </c>
      <c r="F258">
        <v>0</v>
      </c>
      <c r="G258">
        <v>0</v>
      </c>
      <c r="H258">
        <v>16</v>
      </c>
      <c r="I258">
        <v>351852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118182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27778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21</v>
      </c>
      <c r="BC258" s="1">
        <v>4125590</v>
      </c>
      <c r="BD258" t="s">
        <v>74</v>
      </c>
      <c r="BE258" t="s">
        <v>2428</v>
      </c>
      <c r="BF258" t="s">
        <v>2429</v>
      </c>
      <c r="BH258" t="s">
        <v>77</v>
      </c>
      <c r="BI258" t="s">
        <v>593</v>
      </c>
      <c r="BJ258" t="s">
        <v>79</v>
      </c>
      <c r="BM258">
        <v>1</v>
      </c>
      <c r="BN258">
        <v>3</v>
      </c>
      <c r="BO258">
        <v>4</v>
      </c>
      <c r="BP258" t="s">
        <v>80</v>
      </c>
      <c r="BR258">
        <v>0</v>
      </c>
      <c r="BS258">
        <v>6</v>
      </c>
      <c r="BU258" s="1">
        <v>2473738</v>
      </c>
    </row>
    <row r="259" spans="1:73" x14ac:dyDescent="0.3">
      <c r="A259" t="s">
        <v>4557</v>
      </c>
      <c r="B259">
        <v>0</v>
      </c>
      <c r="C259">
        <v>0</v>
      </c>
      <c r="D259">
        <v>1</v>
      </c>
      <c r="E259">
        <v>288000</v>
      </c>
      <c r="F259">
        <v>0</v>
      </c>
      <c r="G259">
        <v>0</v>
      </c>
      <c r="H259">
        <v>1</v>
      </c>
      <c r="I259">
        <v>20000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</v>
      </c>
      <c r="BC259" s="1">
        <v>308000</v>
      </c>
      <c r="BD259" t="s">
        <v>74</v>
      </c>
      <c r="BE259" t="s">
        <v>4558</v>
      </c>
      <c r="BF259" t="s">
        <v>4559</v>
      </c>
      <c r="BH259" t="s">
        <v>77</v>
      </c>
      <c r="BI259" t="s">
        <v>593</v>
      </c>
      <c r="BJ259" t="s">
        <v>79</v>
      </c>
      <c r="BM259">
        <v>0</v>
      </c>
      <c r="BN259">
        <v>2</v>
      </c>
      <c r="BO259">
        <v>2</v>
      </c>
      <c r="BP259" t="s">
        <v>514</v>
      </c>
      <c r="BR259">
        <v>0</v>
      </c>
      <c r="BS259">
        <v>6</v>
      </c>
      <c r="BU259" s="1">
        <v>308000</v>
      </c>
    </row>
    <row r="260" spans="1:73" x14ac:dyDescent="0.3">
      <c r="A260" t="s">
        <v>5308</v>
      </c>
      <c r="B260">
        <v>0</v>
      </c>
      <c r="C260">
        <v>0</v>
      </c>
      <c r="D260">
        <v>1</v>
      </c>
      <c r="E260">
        <v>163636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</v>
      </c>
      <c r="BC260" s="1">
        <v>327272</v>
      </c>
      <c r="BD260" t="s">
        <v>74</v>
      </c>
      <c r="BE260" t="s">
        <v>5309</v>
      </c>
      <c r="BF260" t="s">
        <v>5310</v>
      </c>
      <c r="BH260" t="s">
        <v>77</v>
      </c>
      <c r="BI260" t="s">
        <v>593</v>
      </c>
      <c r="BJ260" t="s">
        <v>79</v>
      </c>
      <c r="BM260">
        <v>0</v>
      </c>
      <c r="BN260">
        <v>1</v>
      </c>
      <c r="BO260">
        <v>1</v>
      </c>
      <c r="BP260" t="s">
        <v>80</v>
      </c>
      <c r="BR260">
        <v>0</v>
      </c>
      <c r="BS260">
        <v>6</v>
      </c>
      <c r="BU260" s="1">
        <v>163636</v>
      </c>
    </row>
    <row r="261" spans="1:73" x14ac:dyDescent="0.3">
      <c r="A261" t="s">
        <v>1063</v>
      </c>
      <c r="B261">
        <v>0</v>
      </c>
      <c r="C261">
        <v>527273</v>
      </c>
      <c r="D261">
        <v>1</v>
      </c>
      <c r="E261">
        <v>170909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 s="1">
        <v>698182</v>
      </c>
      <c r="BD261" t="s">
        <v>74</v>
      </c>
      <c r="BE261" t="s">
        <v>1064</v>
      </c>
      <c r="BF261" t="s">
        <v>1065</v>
      </c>
      <c r="BH261" t="s">
        <v>77</v>
      </c>
      <c r="BI261" t="s">
        <v>593</v>
      </c>
      <c r="BJ261" t="s">
        <v>79</v>
      </c>
      <c r="BM261">
        <v>0</v>
      </c>
      <c r="BN261">
        <v>1</v>
      </c>
      <c r="BO261">
        <v>1</v>
      </c>
      <c r="BP261" t="s">
        <v>80</v>
      </c>
      <c r="BR261">
        <v>0</v>
      </c>
      <c r="BS261">
        <v>6</v>
      </c>
      <c r="BU261" s="1">
        <v>698182</v>
      </c>
    </row>
    <row r="262" spans="1:73" x14ac:dyDescent="0.3">
      <c r="A262" t="s">
        <v>2767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20000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 s="1">
        <v>20000</v>
      </c>
      <c r="BD262" t="s">
        <v>74</v>
      </c>
      <c r="BE262" t="s">
        <v>2768</v>
      </c>
      <c r="BF262" t="s">
        <v>2769</v>
      </c>
      <c r="BH262" t="s">
        <v>77</v>
      </c>
      <c r="BI262" t="s">
        <v>720</v>
      </c>
      <c r="BJ262" t="s">
        <v>79</v>
      </c>
      <c r="BM262">
        <v>0</v>
      </c>
      <c r="BN262">
        <v>1</v>
      </c>
      <c r="BO262">
        <v>1</v>
      </c>
      <c r="BP262" t="s">
        <v>514</v>
      </c>
      <c r="BR262">
        <v>0</v>
      </c>
      <c r="BS262">
        <v>6</v>
      </c>
      <c r="BU262" s="1">
        <v>20000</v>
      </c>
    </row>
    <row r="263" spans="1:73" x14ac:dyDescent="0.3">
      <c r="A263" t="s">
        <v>2472</v>
      </c>
      <c r="B263">
        <v>0</v>
      </c>
      <c r="C263">
        <v>37137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12</v>
      </c>
      <c r="Z263">
        <v>256818</v>
      </c>
      <c r="AA263">
        <v>0</v>
      </c>
      <c r="AB263">
        <v>1</v>
      </c>
      <c r="AC263">
        <v>225000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20</v>
      </c>
      <c r="BC263" s="1">
        <v>1269648</v>
      </c>
      <c r="BD263" t="s">
        <v>74</v>
      </c>
      <c r="BE263" t="s">
        <v>2473</v>
      </c>
      <c r="BF263" t="s">
        <v>2474</v>
      </c>
      <c r="BH263" t="s">
        <v>77</v>
      </c>
      <c r="BI263" t="s">
        <v>720</v>
      </c>
      <c r="BJ263" t="s">
        <v>79</v>
      </c>
      <c r="BM263">
        <v>2</v>
      </c>
      <c r="BN263">
        <v>0</v>
      </c>
      <c r="BO263">
        <v>2</v>
      </c>
      <c r="BP263" t="s">
        <v>514</v>
      </c>
      <c r="BR263">
        <v>0</v>
      </c>
      <c r="BS263">
        <v>6</v>
      </c>
      <c r="BU263" s="1">
        <v>518955</v>
      </c>
    </row>
    <row r="264" spans="1:73" x14ac:dyDescent="0.3">
      <c r="A264" t="s">
        <v>705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40000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</v>
      </c>
      <c r="BC264" s="1">
        <v>40000</v>
      </c>
      <c r="BD264" t="s">
        <v>74</v>
      </c>
      <c r="BE264" t="s">
        <v>706</v>
      </c>
      <c r="BF264" t="s">
        <v>707</v>
      </c>
      <c r="BH264" t="s">
        <v>77</v>
      </c>
      <c r="BI264" t="s">
        <v>78</v>
      </c>
      <c r="BJ264" t="s">
        <v>79</v>
      </c>
      <c r="BM264">
        <v>0</v>
      </c>
      <c r="BN264">
        <v>1</v>
      </c>
      <c r="BO264">
        <v>1</v>
      </c>
      <c r="BP264" t="s">
        <v>80</v>
      </c>
      <c r="BR264">
        <v>0</v>
      </c>
      <c r="BS264">
        <v>6</v>
      </c>
      <c r="BU264" s="1">
        <v>40000</v>
      </c>
    </row>
    <row r="265" spans="1:73" x14ac:dyDescent="0.3">
      <c r="A265" t="s">
        <v>464</v>
      </c>
      <c r="B265">
        <v>0</v>
      </c>
      <c r="C265">
        <v>68183</v>
      </c>
      <c r="D265">
        <v>1</v>
      </c>
      <c r="E265">
        <v>181818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 s="1">
        <v>250001</v>
      </c>
      <c r="BD265" t="s">
        <v>74</v>
      </c>
      <c r="BE265" t="s">
        <v>465</v>
      </c>
      <c r="BF265" t="s">
        <v>466</v>
      </c>
      <c r="BH265" t="s">
        <v>77</v>
      </c>
      <c r="BI265" t="s">
        <v>78</v>
      </c>
      <c r="BJ265" t="s">
        <v>79</v>
      </c>
      <c r="BM265">
        <v>0</v>
      </c>
      <c r="BN265">
        <v>1</v>
      </c>
      <c r="BO265">
        <v>1</v>
      </c>
      <c r="BP265" t="s">
        <v>80</v>
      </c>
      <c r="BR265">
        <v>0</v>
      </c>
      <c r="BS265">
        <v>6</v>
      </c>
      <c r="BU265" s="1">
        <v>250001</v>
      </c>
    </row>
    <row r="266" spans="1:73" x14ac:dyDescent="0.3">
      <c r="A266" t="s">
        <v>5382</v>
      </c>
      <c r="B266">
        <v>0</v>
      </c>
      <c r="C266">
        <v>0</v>
      </c>
      <c r="D266">
        <v>1</v>
      </c>
      <c r="E266">
        <v>327273</v>
      </c>
      <c r="F266">
        <v>0</v>
      </c>
      <c r="G266">
        <v>0</v>
      </c>
      <c r="H266">
        <v>1</v>
      </c>
      <c r="I266">
        <v>20000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</v>
      </c>
      <c r="BC266" s="1">
        <v>365455</v>
      </c>
      <c r="BD266" t="s">
        <v>74</v>
      </c>
      <c r="BE266" t="s">
        <v>5383</v>
      </c>
      <c r="BF266" t="s">
        <v>5384</v>
      </c>
      <c r="BH266" t="s">
        <v>77</v>
      </c>
      <c r="BI266" t="s">
        <v>281</v>
      </c>
      <c r="BJ266" t="s">
        <v>79</v>
      </c>
      <c r="BM266">
        <v>0</v>
      </c>
      <c r="BN266">
        <v>2</v>
      </c>
      <c r="BO266">
        <v>2</v>
      </c>
      <c r="BP266" t="s">
        <v>514</v>
      </c>
      <c r="BR266">
        <v>0</v>
      </c>
      <c r="BS266">
        <v>6</v>
      </c>
      <c r="BU266" s="1">
        <v>347273</v>
      </c>
    </row>
    <row r="267" spans="1:73" x14ac:dyDescent="0.3">
      <c r="A267" t="s">
        <v>1038</v>
      </c>
      <c r="B267">
        <v>0</v>
      </c>
      <c r="C267">
        <v>0</v>
      </c>
      <c r="D267">
        <v>1</v>
      </c>
      <c r="E267">
        <v>184000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 s="1">
        <v>184000</v>
      </c>
      <c r="BD267" t="s">
        <v>74</v>
      </c>
      <c r="BE267" t="s">
        <v>1039</v>
      </c>
      <c r="BF267" t="s">
        <v>1040</v>
      </c>
      <c r="BH267" t="s">
        <v>77</v>
      </c>
      <c r="BI267" t="s">
        <v>129</v>
      </c>
      <c r="BJ267" t="s">
        <v>79</v>
      </c>
      <c r="BM267">
        <v>0</v>
      </c>
      <c r="BN267">
        <v>1</v>
      </c>
      <c r="BO267">
        <v>1</v>
      </c>
      <c r="BP267" t="s">
        <v>80</v>
      </c>
      <c r="BR267">
        <v>0</v>
      </c>
      <c r="BS267">
        <v>6</v>
      </c>
      <c r="BU267" s="1">
        <v>184000</v>
      </c>
    </row>
    <row r="268" spans="1:73" x14ac:dyDescent="0.3">
      <c r="A268" t="s">
        <v>3037</v>
      </c>
      <c r="B268">
        <v>1</v>
      </c>
      <c r="C268">
        <v>77000</v>
      </c>
      <c r="D268">
        <v>0</v>
      </c>
      <c r="E268">
        <v>0</v>
      </c>
      <c r="F268">
        <v>0</v>
      </c>
      <c r="G268">
        <v>0</v>
      </c>
      <c r="H268">
        <v>4</v>
      </c>
      <c r="I268">
        <v>100000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</v>
      </c>
      <c r="BC268" s="1">
        <v>177000</v>
      </c>
      <c r="BD268" t="s">
        <v>74</v>
      </c>
      <c r="BE268" t="s">
        <v>3038</v>
      </c>
      <c r="BF268" t="s">
        <v>3039</v>
      </c>
      <c r="BH268" t="s">
        <v>136</v>
      </c>
      <c r="BI268" t="s">
        <v>333</v>
      </c>
      <c r="BJ268" t="s">
        <v>125</v>
      </c>
      <c r="BM268">
        <v>0</v>
      </c>
      <c r="BN268">
        <v>2</v>
      </c>
      <c r="BO268">
        <v>2</v>
      </c>
      <c r="BP268" t="s">
        <v>80</v>
      </c>
      <c r="BR268">
        <v>0</v>
      </c>
      <c r="BS268">
        <v>6</v>
      </c>
      <c r="BU268" s="1">
        <v>177000</v>
      </c>
    </row>
    <row r="269" spans="1:73" x14ac:dyDescent="0.3">
      <c r="A269" t="s">
        <v>2665</v>
      </c>
      <c r="B269">
        <v>0</v>
      </c>
      <c r="C269">
        <v>0</v>
      </c>
      <c r="D269">
        <v>1</v>
      </c>
      <c r="E269">
        <v>153000</v>
      </c>
      <c r="F269">
        <v>0</v>
      </c>
      <c r="G269">
        <v>0</v>
      </c>
      <c r="H269">
        <v>1</v>
      </c>
      <c r="I269">
        <v>20000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11364</v>
      </c>
      <c r="AA269">
        <v>0</v>
      </c>
      <c r="AB269">
        <v>1</v>
      </c>
      <c r="AC269">
        <v>225000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46</v>
      </c>
      <c r="BC269" s="1">
        <v>1016573</v>
      </c>
      <c r="BD269" t="s">
        <v>74</v>
      </c>
      <c r="BE269" t="s">
        <v>2666</v>
      </c>
      <c r="BF269" t="s">
        <v>2667</v>
      </c>
      <c r="BH269" t="s">
        <v>77</v>
      </c>
      <c r="BI269" t="s">
        <v>593</v>
      </c>
      <c r="BJ269" t="s">
        <v>79</v>
      </c>
      <c r="BM269">
        <v>2</v>
      </c>
      <c r="BN269">
        <v>2</v>
      </c>
      <c r="BO269">
        <v>4</v>
      </c>
      <c r="BP269" t="s">
        <v>514</v>
      </c>
      <c r="BR269">
        <v>0</v>
      </c>
      <c r="BS269">
        <v>6</v>
      </c>
      <c r="BU269" s="1">
        <v>409364</v>
      </c>
    </row>
    <row r="270" spans="1:73" x14ac:dyDescent="0.3">
      <c r="A270" t="s">
        <v>1288</v>
      </c>
      <c r="B270">
        <v>0</v>
      </c>
      <c r="C270">
        <v>269996</v>
      </c>
      <c r="D270">
        <v>11</v>
      </c>
      <c r="E270">
        <v>2174910</v>
      </c>
      <c r="F270">
        <v>0</v>
      </c>
      <c r="G270">
        <v>0</v>
      </c>
      <c r="H270">
        <v>9</v>
      </c>
      <c r="I270">
        <v>186036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22</v>
      </c>
      <c r="BC270" s="1">
        <v>2977307</v>
      </c>
      <c r="BD270" t="s">
        <v>74</v>
      </c>
      <c r="BE270" t="s">
        <v>1289</v>
      </c>
      <c r="BF270" t="s">
        <v>1290</v>
      </c>
      <c r="BH270" t="s">
        <v>77</v>
      </c>
      <c r="BI270" t="s">
        <v>720</v>
      </c>
      <c r="BJ270" t="s">
        <v>79</v>
      </c>
      <c r="BM270">
        <v>0</v>
      </c>
      <c r="BN270">
        <v>2</v>
      </c>
      <c r="BO270">
        <v>2</v>
      </c>
      <c r="BP270" t="s">
        <v>514</v>
      </c>
      <c r="BR270">
        <v>0</v>
      </c>
      <c r="BS270">
        <v>6</v>
      </c>
      <c r="BU270" s="1">
        <v>2630942</v>
      </c>
    </row>
    <row r="271" spans="1:73" x14ac:dyDescent="0.3">
      <c r="A271" t="s">
        <v>5248</v>
      </c>
      <c r="B271">
        <v>0</v>
      </c>
      <c r="C271">
        <v>0</v>
      </c>
      <c r="D271">
        <v>1</v>
      </c>
      <c r="E271">
        <v>260000</v>
      </c>
      <c r="F271">
        <v>0</v>
      </c>
      <c r="G271">
        <v>0</v>
      </c>
      <c r="H271">
        <v>1</v>
      </c>
      <c r="I271">
        <v>41277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</v>
      </c>
      <c r="BC271" s="1">
        <v>301277</v>
      </c>
      <c r="BD271" t="s">
        <v>74</v>
      </c>
      <c r="BE271" t="s">
        <v>5249</v>
      </c>
      <c r="BF271" t="s">
        <v>5250</v>
      </c>
      <c r="BH271" t="s">
        <v>77</v>
      </c>
      <c r="BI271" t="s">
        <v>84</v>
      </c>
      <c r="BJ271" t="s">
        <v>79</v>
      </c>
      <c r="BM271">
        <v>0</v>
      </c>
      <c r="BN271">
        <v>2</v>
      </c>
      <c r="BO271">
        <v>2</v>
      </c>
      <c r="BP271" t="s">
        <v>80</v>
      </c>
      <c r="BR271">
        <v>0</v>
      </c>
      <c r="BS271">
        <v>6</v>
      </c>
      <c r="BU271" s="1">
        <v>301277</v>
      </c>
    </row>
    <row r="272" spans="1:73" x14ac:dyDescent="0.3">
      <c r="A272" t="s">
        <v>2186</v>
      </c>
      <c r="B272">
        <v>0</v>
      </c>
      <c r="C272">
        <v>0</v>
      </c>
      <c r="D272">
        <v>3</v>
      </c>
      <c r="E272">
        <v>974000</v>
      </c>
      <c r="F272">
        <v>0</v>
      </c>
      <c r="G272">
        <v>0</v>
      </c>
      <c r="H272">
        <v>14</v>
      </c>
      <c r="I272">
        <v>266563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330000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19</v>
      </c>
      <c r="BC272" s="1">
        <v>1900563</v>
      </c>
      <c r="BD272" t="s">
        <v>74</v>
      </c>
      <c r="BE272" t="s">
        <v>2187</v>
      </c>
      <c r="BF272" t="s">
        <v>2188</v>
      </c>
      <c r="BH272" t="s">
        <v>77</v>
      </c>
      <c r="BI272" t="s">
        <v>739</v>
      </c>
      <c r="BJ272" t="s">
        <v>79</v>
      </c>
      <c r="BM272">
        <v>0</v>
      </c>
      <c r="BN272">
        <v>3</v>
      </c>
      <c r="BO272">
        <v>3</v>
      </c>
      <c r="BP272" t="s">
        <v>514</v>
      </c>
      <c r="BR272">
        <v>0</v>
      </c>
      <c r="BS272">
        <v>6</v>
      </c>
      <c r="BU272" s="1">
        <v>1570563</v>
      </c>
    </row>
    <row r="273" spans="1:73" x14ac:dyDescent="0.3">
      <c r="A273" t="s">
        <v>2644</v>
      </c>
      <c r="B273">
        <v>0</v>
      </c>
      <c r="C273">
        <v>107273</v>
      </c>
      <c r="D273">
        <v>2</v>
      </c>
      <c r="E273">
        <v>513636</v>
      </c>
      <c r="F273">
        <v>0</v>
      </c>
      <c r="G273">
        <v>0</v>
      </c>
      <c r="H273">
        <v>1</v>
      </c>
      <c r="I273">
        <v>20639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3</v>
      </c>
      <c r="BC273" s="1">
        <v>641548</v>
      </c>
      <c r="BD273" t="s">
        <v>74</v>
      </c>
      <c r="BE273" t="s">
        <v>2645</v>
      </c>
      <c r="BF273" t="s">
        <v>2188</v>
      </c>
      <c r="BH273" t="s">
        <v>77</v>
      </c>
      <c r="BI273" t="s">
        <v>739</v>
      </c>
      <c r="BJ273" t="s">
        <v>79</v>
      </c>
      <c r="BM273">
        <v>0</v>
      </c>
      <c r="BN273">
        <v>2</v>
      </c>
      <c r="BO273">
        <v>2</v>
      </c>
      <c r="BP273" t="s">
        <v>80</v>
      </c>
      <c r="BR273">
        <v>0</v>
      </c>
      <c r="BS273">
        <v>6</v>
      </c>
      <c r="BU273" s="1">
        <v>641548</v>
      </c>
    </row>
    <row r="274" spans="1:73" x14ac:dyDescent="0.3">
      <c r="A274" t="s">
        <v>2122</v>
      </c>
      <c r="B274">
        <v>0</v>
      </c>
      <c r="C274">
        <v>0</v>
      </c>
      <c r="D274">
        <v>1</v>
      </c>
      <c r="E274">
        <v>340000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 s="1">
        <v>340000</v>
      </c>
      <c r="BD274" t="s">
        <v>74</v>
      </c>
      <c r="BE274" t="s">
        <v>2123</v>
      </c>
      <c r="BF274" t="s">
        <v>2124</v>
      </c>
      <c r="BH274" t="s">
        <v>77</v>
      </c>
      <c r="BI274" t="s">
        <v>593</v>
      </c>
      <c r="BJ274" t="s">
        <v>79</v>
      </c>
      <c r="BM274">
        <v>0</v>
      </c>
      <c r="BN274">
        <v>1</v>
      </c>
      <c r="BO274">
        <v>1</v>
      </c>
      <c r="BP274" t="s">
        <v>80</v>
      </c>
      <c r="BR274">
        <v>0</v>
      </c>
      <c r="BS274">
        <v>6</v>
      </c>
      <c r="BU274" s="1">
        <v>340000</v>
      </c>
    </row>
    <row r="275" spans="1:73" x14ac:dyDescent="0.3">
      <c r="A275" t="s">
        <v>3858</v>
      </c>
      <c r="B275">
        <v>0</v>
      </c>
      <c r="C275">
        <v>0</v>
      </c>
      <c r="D275">
        <v>1</v>
      </c>
      <c r="E275">
        <v>350000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82993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</v>
      </c>
      <c r="BC275" s="1">
        <v>515986</v>
      </c>
      <c r="BD275" t="s">
        <v>74</v>
      </c>
      <c r="BE275" t="s">
        <v>3859</v>
      </c>
      <c r="BF275" t="s">
        <v>3860</v>
      </c>
      <c r="BH275" t="s">
        <v>77</v>
      </c>
      <c r="BI275" t="s">
        <v>593</v>
      </c>
      <c r="BJ275" t="s">
        <v>79</v>
      </c>
      <c r="BM275">
        <v>1</v>
      </c>
      <c r="BN275">
        <v>1</v>
      </c>
      <c r="BO275">
        <v>2</v>
      </c>
      <c r="BP275" t="s">
        <v>80</v>
      </c>
      <c r="BR275">
        <v>0</v>
      </c>
      <c r="BS275">
        <v>6</v>
      </c>
      <c r="BU275" s="1">
        <v>432993</v>
      </c>
    </row>
    <row r="276" spans="1:73" x14ac:dyDescent="0.3">
      <c r="A276" t="s">
        <v>2002</v>
      </c>
      <c r="B276">
        <v>6</v>
      </c>
      <c r="C276">
        <v>931765</v>
      </c>
      <c r="D276">
        <v>2</v>
      </c>
      <c r="E276">
        <v>520000</v>
      </c>
      <c r="F276">
        <v>0</v>
      </c>
      <c r="G276">
        <v>0</v>
      </c>
      <c r="H276">
        <v>3</v>
      </c>
      <c r="I276">
        <v>60000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11</v>
      </c>
      <c r="BC276" s="1">
        <v>1991765</v>
      </c>
      <c r="BD276" t="s">
        <v>74</v>
      </c>
      <c r="BE276" t="s">
        <v>2003</v>
      </c>
      <c r="BF276" t="s">
        <v>2004</v>
      </c>
      <c r="BH276" t="s">
        <v>1464</v>
      </c>
      <c r="BI276" t="s">
        <v>1465</v>
      </c>
      <c r="BJ276" t="s">
        <v>125</v>
      </c>
      <c r="BM276">
        <v>0</v>
      </c>
      <c r="BN276">
        <v>3</v>
      </c>
      <c r="BO276">
        <v>3</v>
      </c>
      <c r="BP276" t="s">
        <v>80</v>
      </c>
      <c r="BR276">
        <v>0</v>
      </c>
      <c r="BS276">
        <v>6</v>
      </c>
      <c r="BU276" s="1">
        <v>1511765</v>
      </c>
    </row>
    <row r="277" spans="1:73" x14ac:dyDescent="0.3">
      <c r="A277" t="s">
        <v>5376</v>
      </c>
      <c r="B277">
        <v>0</v>
      </c>
      <c r="C277">
        <v>0</v>
      </c>
      <c r="D277">
        <v>1</v>
      </c>
      <c r="E277">
        <v>270000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82000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 s="1">
        <v>352000</v>
      </c>
      <c r="BD277" t="s">
        <v>74</v>
      </c>
      <c r="BE277" t="s">
        <v>5377</v>
      </c>
      <c r="BF277" t="s">
        <v>5378</v>
      </c>
      <c r="BH277" t="s">
        <v>77</v>
      </c>
      <c r="BI277" t="s">
        <v>593</v>
      </c>
      <c r="BJ277" t="s">
        <v>79</v>
      </c>
      <c r="BM277">
        <v>0</v>
      </c>
      <c r="BN277">
        <v>2</v>
      </c>
      <c r="BO277">
        <v>2</v>
      </c>
      <c r="BP277" t="s">
        <v>80</v>
      </c>
      <c r="BR277">
        <v>0</v>
      </c>
      <c r="BS277">
        <v>6</v>
      </c>
      <c r="BU277" s="1">
        <v>352000</v>
      </c>
    </row>
    <row r="278" spans="1:73" x14ac:dyDescent="0.3">
      <c r="A278" t="s">
        <v>1028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20000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 s="1">
        <v>20000</v>
      </c>
      <c r="BD278" t="s">
        <v>74</v>
      </c>
      <c r="BE278" t="s">
        <v>1029</v>
      </c>
      <c r="BF278" t="s">
        <v>1030</v>
      </c>
      <c r="BH278" t="s">
        <v>77</v>
      </c>
      <c r="BI278" t="s">
        <v>720</v>
      </c>
      <c r="BJ278" t="s">
        <v>79</v>
      </c>
      <c r="BM278">
        <v>0</v>
      </c>
      <c r="BN278">
        <v>1</v>
      </c>
      <c r="BO278">
        <v>1</v>
      </c>
      <c r="BP278" t="s">
        <v>80</v>
      </c>
      <c r="BR278">
        <v>0</v>
      </c>
      <c r="BS278">
        <v>6</v>
      </c>
      <c r="BU278" s="1">
        <v>20000</v>
      </c>
    </row>
    <row r="279" spans="1:73" x14ac:dyDescent="0.3">
      <c r="A279" t="s">
        <v>2274</v>
      </c>
      <c r="B279">
        <v>0</v>
      </c>
      <c r="C279">
        <v>0</v>
      </c>
      <c r="D279">
        <v>4</v>
      </c>
      <c r="E279">
        <v>822727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7</v>
      </c>
      <c r="BC279" s="1">
        <v>1395454</v>
      </c>
      <c r="BD279" t="s">
        <v>74</v>
      </c>
      <c r="BE279" t="s">
        <v>2275</v>
      </c>
      <c r="BF279" t="s">
        <v>2276</v>
      </c>
      <c r="BH279" t="s">
        <v>136</v>
      </c>
      <c r="BI279" t="s">
        <v>539</v>
      </c>
      <c r="BJ279" t="s">
        <v>125</v>
      </c>
      <c r="BM279">
        <v>0</v>
      </c>
      <c r="BN279">
        <v>1</v>
      </c>
      <c r="BO279">
        <v>1</v>
      </c>
      <c r="BP279" t="s">
        <v>514</v>
      </c>
      <c r="BR279">
        <v>0</v>
      </c>
      <c r="BS279">
        <v>6</v>
      </c>
      <c r="BU279" s="1">
        <v>822727</v>
      </c>
    </row>
    <row r="280" spans="1:73" x14ac:dyDescent="0.3">
      <c r="A280" t="s">
        <v>1455</v>
      </c>
      <c r="B280">
        <v>0</v>
      </c>
      <c r="C280">
        <v>0</v>
      </c>
      <c r="D280">
        <v>3</v>
      </c>
      <c r="E280">
        <v>60000</v>
      </c>
      <c r="F280">
        <v>0</v>
      </c>
      <c r="G280">
        <v>0</v>
      </c>
      <c r="H280">
        <v>6</v>
      </c>
      <c r="I280">
        <v>120000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6</v>
      </c>
      <c r="BC280" s="1">
        <v>120000</v>
      </c>
      <c r="BD280" t="s">
        <v>74</v>
      </c>
      <c r="BE280" t="s">
        <v>1456</v>
      </c>
      <c r="BF280" t="s">
        <v>1457</v>
      </c>
      <c r="BH280" t="s">
        <v>77</v>
      </c>
      <c r="BI280" t="s">
        <v>593</v>
      </c>
      <c r="BJ280" t="s">
        <v>79</v>
      </c>
      <c r="BM280">
        <v>0</v>
      </c>
      <c r="BN280">
        <v>2</v>
      </c>
      <c r="BO280">
        <v>2</v>
      </c>
      <c r="BP280" t="s">
        <v>80</v>
      </c>
      <c r="BR280">
        <v>0</v>
      </c>
      <c r="BS280">
        <v>6</v>
      </c>
      <c r="BU280" s="1">
        <v>180000</v>
      </c>
    </row>
    <row r="281" spans="1:73" x14ac:dyDescent="0.3">
      <c r="A281" t="s">
        <v>1545</v>
      </c>
      <c r="B281">
        <v>0</v>
      </c>
      <c r="C281">
        <v>527273</v>
      </c>
      <c r="D281">
        <v>1</v>
      </c>
      <c r="E281">
        <v>170909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 s="1">
        <v>698182</v>
      </c>
      <c r="BD281" t="s">
        <v>74</v>
      </c>
      <c r="BE281" t="s">
        <v>1546</v>
      </c>
      <c r="BF281" t="s">
        <v>1547</v>
      </c>
      <c r="BH281" t="s">
        <v>77</v>
      </c>
      <c r="BI281" t="s">
        <v>593</v>
      </c>
      <c r="BJ281" t="s">
        <v>79</v>
      </c>
      <c r="BM281">
        <v>0</v>
      </c>
      <c r="BN281">
        <v>1</v>
      </c>
      <c r="BO281">
        <v>1</v>
      </c>
      <c r="BP281" t="s">
        <v>80</v>
      </c>
      <c r="BR281">
        <v>0</v>
      </c>
      <c r="BS281">
        <v>6</v>
      </c>
      <c r="BU281" s="1">
        <v>698182</v>
      </c>
    </row>
    <row r="282" spans="1:73" x14ac:dyDescent="0.3">
      <c r="A282" t="s">
        <v>2095</v>
      </c>
      <c r="B282">
        <v>0</v>
      </c>
      <c r="C282">
        <v>0</v>
      </c>
      <c r="D282">
        <v>9</v>
      </c>
      <c r="E282">
        <v>2338751</v>
      </c>
      <c r="F282">
        <v>0</v>
      </c>
      <c r="G282">
        <v>0</v>
      </c>
      <c r="H282">
        <v>14</v>
      </c>
      <c r="I282">
        <v>357502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17</v>
      </c>
      <c r="BC282" s="1">
        <v>3597502</v>
      </c>
      <c r="BD282" t="s">
        <v>74</v>
      </c>
      <c r="BE282" t="s">
        <v>2096</v>
      </c>
      <c r="BF282" t="s">
        <v>2097</v>
      </c>
      <c r="BH282" t="s">
        <v>77</v>
      </c>
      <c r="BI282" t="s">
        <v>84</v>
      </c>
      <c r="BJ282" t="s">
        <v>79</v>
      </c>
      <c r="BM282">
        <v>0</v>
      </c>
      <c r="BN282">
        <v>2</v>
      </c>
      <c r="BO282">
        <v>2</v>
      </c>
      <c r="BP282" t="s">
        <v>80</v>
      </c>
      <c r="BR282">
        <v>0</v>
      </c>
      <c r="BS282">
        <v>6</v>
      </c>
      <c r="BU282" s="1">
        <v>2696253</v>
      </c>
    </row>
    <row r="283" spans="1:73" x14ac:dyDescent="0.3">
      <c r="A283" t="s">
        <v>1087</v>
      </c>
      <c r="B283">
        <v>4</v>
      </c>
      <c r="C283">
        <v>2131783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</v>
      </c>
      <c r="BC283" s="1">
        <v>2131783</v>
      </c>
      <c r="BD283" t="s">
        <v>74</v>
      </c>
      <c r="BE283" t="s">
        <v>1088</v>
      </c>
      <c r="BF283" t="s">
        <v>1089</v>
      </c>
      <c r="BM283">
        <v>0</v>
      </c>
      <c r="BN283">
        <v>1</v>
      </c>
      <c r="BO283">
        <v>1</v>
      </c>
      <c r="BP283" t="s">
        <v>80</v>
      </c>
      <c r="BR283">
        <v>0</v>
      </c>
      <c r="BS283">
        <v>6</v>
      </c>
      <c r="BU283" s="1">
        <v>2131783</v>
      </c>
    </row>
    <row r="284" spans="1:73" x14ac:dyDescent="0.3">
      <c r="A284" t="s">
        <v>3016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73535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9697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</v>
      </c>
      <c r="BC284" s="1">
        <v>245049</v>
      </c>
      <c r="BD284" t="s">
        <v>74</v>
      </c>
      <c r="BE284" t="s">
        <v>3017</v>
      </c>
      <c r="BF284" t="s">
        <v>3018</v>
      </c>
      <c r="BH284" t="s">
        <v>77</v>
      </c>
      <c r="BI284" t="s">
        <v>329</v>
      </c>
      <c r="BJ284" t="s">
        <v>79</v>
      </c>
      <c r="BM284">
        <v>2</v>
      </c>
      <c r="BN284">
        <v>0</v>
      </c>
      <c r="BO284">
        <v>2</v>
      </c>
      <c r="BP284" t="s">
        <v>80</v>
      </c>
      <c r="BR284">
        <v>0</v>
      </c>
      <c r="BS284">
        <v>6</v>
      </c>
      <c r="BU284" s="1">
        <v>83232</v>
      </c>
    </row>
    <row r="285" spans="1:73" x14ac:dyDescent="0.3">
      <c r="A285" t="s">
        <v>2893</v>
      </c>
      <c r="B285">
        <v>0</v>
      </c>
      <c r="C285">
        <v>0</v>
      </c>
      <c r="D285">
        <v>1</v>
      </c>
      <c r="E285">
        <v>150000</v>
      </c>
      <c r="F285">
        <v>0</v>
      </c>
      <c r="G285">
        <v>0</v>
      </c>
      <c r="H285">
        <v>2</v>
      </c>
      <c r="I285">
        <v>40000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</v>
      </c>
      <c r="BC285" s="1">
        <v>190000</v>
      </c>
      <c r="BD285" t="s">
        <v>74</v>
      </c>
      <c r="BE285" t="s">
        <v>2894</v>
      </c>
      <c r="BF285" t="s">
        <v>2895</v>
      </c>
      <c r="BH285" t="s">
        <v>77</v>
      </c>
      <c r="BI285" t="s">
        <v>78</v>
      </c>
      <c r="BJ285" t="s">
        <v>79</v>
      </c>
      <c r="BM285">
        <v>0</v>
      </c>
      <c r="BN285">
        <v>2</v>
      </c>
      <c r="BO285">
        <v>2</v>
      </c>
      <c r="BP285" t="s">
        <v>80</v>
      </c>
      <c r="BR285">
        <v>0</v>
      </c>
      <c r="BS285">
        <v>6</v>
      </c>
      <c r="BU285" s="1">
        <v>190000</v>
      </c>
    </row>
    <row r="286" spans="1:73" x14ac:dyDescent="0.3">
      <c r="A286" t="s">
        <v>2930</v>
      </c>
      <c r="B286">
        <v>0</v>
      </c>
      <c r="C286">
        <v>0</v>
      </c>
      <c r="D286">
        <v>3</v>
      </c>
      <c r="E286">
        <v>333651</v>
      </c>
      <c r="F286">
        <v>0</v>
      </c>
      <c r="G286">
        <v>0</v>
      </c>
      <c r="H286">
        <v>4</v>
      </c>
      <c r="I286">
        <v>42668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14516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</v>
      </c>
      <c r="BC286" s="1">
        <v>696334</v>
      </c>
      <c r="BD286" t="s">
        <v>74</v>
      </c>
      <c r="BE286" t="s">
        <v>2931</v>
      </c>
      <c r="BF286" t="s">
        <v>2932</v>
      </c>
      <c r="BH286" t="s">
        <v>77</v>
      </c>
      <c r="BI286" t="s">
        <v>329</v>
      </c>
      <c r="BJ286" t="s">
        <v>79</v>
      </c>
      <c r="BM286">
        <v>0</v>
      </c>
      <c r="BN286">
        <v>3</v>
      </c>
      <c r="BO286">
        <v>3</v>
      </c>
      <c r="BP286" t="s">
        <v>80</v>
      </c>
      <c r="BR286">
        <v>0</v>
      </c>
      <c r="BS286">
        <v>6</v>
      </c>
      <c r="BU286" s="1">
        <v>390835</v>
      </c>
    </row>
    <row r="287" spans="1:73" x14ac:dyDescent="0.3">
      <c r="A287" t="s">
        <v>5220</v>
      </c>
      <c r="B287">
        <v>4</v>
      </c>
      <c r="C287">
        <v>1340549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</v>
      </c>
      <c r="BC287" s="1">
        <v>1340549</v>
      </c>
      <c r="BD287" t="s">
        <v>74</v>
      </c>
      <c r="BE287" t="s">
        <v>5221</v>
      </c>
      <c r="BF287" t="s">
        <v>5222</v>
      </c>
      <c r="BH287" t="s">
        <v>77</v>
      </c>
      <c r="BI287" t="s">
        <v>228</v>
      </c>
      <c r="BJ287" t="s">
        <v>79</v>
      </c>
      <c r="BM287">
        <v>0</v>
      </c>
      <c r="BN287">
        <v>1</v>
      </c>
      <c r="BO287">
        <v>1</v>
      </c>
      <c r="BP287" t="s">
        <v>80</v>
      </c>
      <c r="BR287">
        <v>0</v>
      </c>
      <c r="BS287">
        <v>6</v>
      </c>
      <c r="BU287" s="1">
        <v>1340549</v>
      </c>
    </row>
    <row r="288" spans="1:73" x14ac:dyDescent="0.3">
      <c r="A288" t="s">
        <v>2689</v>
      </c>
      <c r="B288">
        <v>0</v>
      </c>
      <c r="C288">
        <v>0</v>
      </c>
      <c r="D288">
        <v>2</v>
      </c>
      <c r="E288">
        <v>430000</v>
      </c>
      <c r="F288">
        <v>0</v>
      </c>
      <c r="G288">
        <v>0</v>
      </c>
      <c r="H288">
        <v>1</v>
      </c>
      <c r="I288">
        <v>20727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</v>
      </c>
      <c r="BC288" s="1">
        <v>702340</v>
      </c>
      <c r="BD288" t="s">
        <v>74</v>
      </c>
      <c r="BE288" t="s">
        <v>2690</v>
      </c>
      <c r="BF288" t="s">
        <v>2691</v>
      </c>
      <c r="BH288" t="s">
        <v>77</v>
      </c>
      <c r="BI288" t="s">
        <v>228</v>
      </c>
      <c r="BJ288" t="s">
        <v>79</v>
      </c>
      <c r="BM288">
        <v>0</v>
      </c>
      <c r="BN288">
        <v>2</v>
      </c>
      <c r="BO288">
        <v>2</v>
      </c>
      <c r="BP288" t="s">
        <v>514</v>
      </c>
      <c r="BR288">
        <v>0</v>
      </c>
      <c r="BS288">
        <v>6</v>
      </c>
      <c r="BU288" s="1">
        <v>450727</v>
      </c>
    </row>
    <row r="289" spans="1:73" x14ac:dyDescent="0.3">
      <c r="A289" t="s">
        <v>305</v>
      </c>
      <c r="B289">
        <v>0</v>
      </c>
      <c r="C289">
        <v>0</v>
      </c>
      <c r="D289">
        <v>1</v>
      </c>
      <c r="E289">
        <v>240000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36111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3</v>
      </c>
      <c r="BC289" s="1">
        <v>516111</v>
      </c>
      <c r="BD289" t="s">
        <v>74</v>
      </c>
      <c r="BE289" t="s">
        <v>306</v>
      </c>
      <c r="BF289" t="s">
        <v>307</v>
      </c>
      <c r="BH289" t="s">
        <v>77</v>
      </c>
      <c r="BI289" t="s">
        <v>228</v>
      </c>
      <c r="BJ289" t="s">
        <v>79</v>
      </c>
      <c r="BM289">
        <v>1</v>
      </c>
      <c r="BN289">
        <v>1</v>
      </c>
      <c r="BO289">
        <v>2</v>
      </c>
      <c r="BP289" t="s">
        <v>80</v>
      </c>
      <c r="BR289">
        <v>0</v>
      </c>
      <c r="BS289">
        <v>6</v>
      </c>
      <c r="BU289" s="1">
        <v>276111</v>
      </c>
    </row>
    <row r="290" spans="1:73" x14ac:dyDescent="0.3">
      <c r="A290" t="s">
        <v>2676</v>
      </c>
      <c r="B290">
        <v>0</v>
      </c>
      <c r="C290">
        <v>0</v>
      </c>
      <c r="D290">
        <v>5</v>
      </c>
      <c r="E290">
        <v>447272</v>
      </c>
      <c r="F290">
        <v>0</v>
      </c>
      <c r="G290">
        <v>0</v>
      </c>
      <c r="H290">
        <v>2</v>
      </c>
      <c r="I290">
        <v>40000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11</v>
      </c>
      <c r="BC290" s="1">
        <v>1094544</v>
      </c>
      <c r="BD290" t="s">
        <v>74</v>
      </c>
      <c r="BE290" t="s">
        <v>2677</v>
      </c>
      <c r="BF290" t="s">
        <v>2678</v>
      </c>
      <c r="BH290" t="s">
        <v>175</v>
      </c>
      <c r="BI290" t="s">
        <v>2679</v>
      </c>
      <c r="BJ290" t="s">
        <v>125</v>
      </c>
      <c r="BM290">
        <v>0</v>
      </c>
      <c r="BN290">
        <v>2</v>
      </c>
      <c r="BO290">
        <v>2</v>
      </c>
      <c r="BP290" t="s">
        <v>514</v>
      </c>
      <c r="BR290">
        <v>0</v>
      </c>
      <c r="BS290">
        <v>6</v>
      </c>
      <c r="BU290" s="1">
        <v>487272</v>
      </c>
    </row>
    <row r="291" spans="1:73" x14ac:dyDescent="0.3">
      <c r="A291" t="s">
        <v>3349</v>
      </c>
      <c r="B291">
        <v>0</v>
      </c>
      <c r="C291">
        <v>0</v>
      </c>
      <c r="D291">
        <v>2</v>
      </c>
      <c r="E291">
        <v>40000</v>
      </c>
      <c r="F291">
        <v>0</v>
      </c>
      <c r="G291">
        <v>0</v>
      </c>
      <c r="H291">
        <v>4</v>
      </c>
      <c r="I291">
        <v>80000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</v>
      </c>
      <c r="BC291" s="1">
        <v>80000</v>
      </c>
      <c r="BD291" t="s">
        <v>74</v>
      </c>
      <c r="BE291" t="s">
        <v>3350</v>
      </c>
      <c r="BF291" t="s">
        <v>3351</v>
      </c>
      <c r="BH291" t="s">
        <v>77</v>
      </c>
      <c r="BI291" t="s">
        <v>78</v>
      </c>
      <c r="BJ291" t="s">
        <v>79</v>
      </c>
      <c r="BM291">
        <v>0</v>
      </c>
      <c r="BN291">
        <v>2</v>
      </c>
      <c r="BO291">
        <v>2</v>
      </c>
      <c r="BP291" t="s">
        <v>80</v>
      </c>
      <c r="BR291">
        <v>0</v>
      </c>
      <c r="BS291">
        <v>6</v>
      </c>
      <c r="BU291" s="1">
        <v>120000</v>
      </c>
    </row>
    <row r="292" spans="1:73" x14ac:dyDescent="0.3">
      <c r="A292" t="s">
        <v>2502</v>
      </c>
      <c r="B292">
        <v>0</v>
      </c>
      <c r="C292">
        <v>0</v>
      </c>
      <c r="D292">
        <v>9</v>
      </c>
      <c r="E292">
        <v>1812705</v>
      </c>
      <c r="F292">
        <v>0</v>
      </c>
      <c r="G292">
        <v>0</v>
      </c>
      <c r="H292">
        <v>14</v>
      </c>
      <c r="I292">
        <v>285410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18</v>
      </c>
      <c r="BC292" s="1">
        <v>3625410</v>
      </c>
      <c r="BD292" t="s">
        <v>74</v>
      </c>
      <c r="BE292" t="s">
        <v>2503</v>
      </c>
      <c r="BF292" t="s">
        <v>2504</v>
      </c>
      <c r="BH292" t="s">
        <v>77</v>
      </c>
      <c r="BI292" t="s">
        <v>78</v>
      </c>
      <c r="BJ292" t="s">
        <v>79</v>
      </c>
      <c r="BM292">
        <v>0</v>
      </c>
      <c r="BN292">
        <v>2</v>
      </c>
      <c r="BO292">
        <v>2</v>
      </c>
      <c r="BP292" t="s">
        <v>80</v>
      </c>
      <c r="BR292">
        <v>0</v>
      </c>
      <c r="BS292">
        <v>6</v>
      </c>
      <c r="BU292" s="1">
        <v>2098115</v>
      </c>
    </row>
    <row r="293" spans="1:73" x14ac:dyDescent="0.3">
      <c r="A293" t="s">
        <v>563</v>
      </c>
      <c r="B293">
        <v>0</v>
      </c>
      <c r="C293">
        <v>0</v>
      </c>
      <c r="D293">
        <v>2</v>
      </c>
      <c r="E293">
        <v>170000</v>
      </c>
      <c r="F293">
        <v>0</v>
      </c>
      <c r="G293">
        <v>0</v>
      </c>
      <c r="H293">
        <v>5</v>
      </c>
      <c r="I293">
        <v>183183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6</v>
      </c>
      <c r="BC293" s="1">
        <v>333183</v>
      </c>
      <c r="BD293" t="s">
        <v>74</v>
      </c>
      <c r="BE293" t="s">
        <v>564</v>
      </c>
      <c r="BF293" t="s">
        <v>565</v>
      </c>
      <c r="BH293" t="s">
        <v>77</v>
      </c>
      <c r="BI293" t="s">
        <v>78</v>
      </c>
      <c r="BJ293" t="s">
        <v>79</v>
      </c>
      <c r="BM293">
        <v>0</v>
      </c>
      <c r="BN293">
        <v>2</v>
      </c>
      <c r="BO293">
        <v>2</v>
      </c>
      <c r="BP293" t="s">
        <v>514</v>
      </c>
      <c r="BR293">
        <v>0</v>
      </c>
      <c r="BS293">
        <v>6</v>
      </c>
      <c r="BU293" s="1">
        <v>353183</v>
      </c>
    </row>
    <row r="294" spans="1:73" x14ac:dyDescent="0.3">
      <c r="A294" t="s">
        <v>2277</v>
      </c>
      <c r="B294">
        <v>0</v>
      </c>
      <c r="C294">
        <v>194542</v>
      </c>
      <c r="D294">
        <v>1</v>
      </c>
      <c r="E294">
        <v>116365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</v>
      </c>
      <c r="BC294" s="1">
        <v>427272</v>
      </c>
      <c r="BD294" t="s">
        <v>74</v>
      </c>
      <c r="BE294" t="s">
        <v>2278</v>
      </c>
      <c r="BF294" t="s">
        <v>2279</v>
      </c>
      <c r="BH294" t="s">
        <v>77</v>
      </c>
      <c r="BI294" t="s">
        <v>78</v>
      </c>
      <c r="BJ294" t="s">
        <v>79</v>
      </c>
      <c r="BM294">
        <v>0</v>
      </c>
      <c r="BN294">
        <v>1</v>
      </c>
      <c r="BO294">
        <v>1</v>
      </c>
      <c r="BP294" t="s">
        <v>514</v>
      </c>
      <c r="BR294">
        <v>0</v>
      </c>
      <c r="BS294">
        <v>6</v>
      </c>
      <c r="BU294" s="1">
        <v>310907</v>
      </c>
    </row>
    <row r="295" spans="1:73" x14ac:dyDescent="0.3">
      <c r="A295" t="s">
        <v>2836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73535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</v>
      </c>
      <c r="BC295" s="1">
        <v>147070</v>
      </c>
      <c r="BD295" t="s">
        <v>74</v>
      </c>
      <c r="BE295" t="s">
        <v>2837</v>
      </c>
      <c r="BF295" t="s">
        <v>2838</v>
      </c>
      <c r="BH295" t="s">
        <v>77</v>
      </c>
      <c r="BI295" t="s">
        <v>228</v>
      </c>
      <c r="BJ295" t="s">
        <v>79</v>
      </c>
      <c r="BM295">
        <v>1</v>
      </c>
      <c r="BN295">
        <v>0</v>
      </c>
      <c r="BO295">
        <v>1</v>
      </c>
      <c r="BP295" t="s">
        <v>80</v>
      </c>
      <c r="BR295">
        <v>0</v>
      </c>
      <c r="BS295">
        <v>6</v>
      </c>
      <c r="BU295" s="1">
        <v>73535</v>
      </c>
    </row>
    <row r="296" spans="1:73" x14ac:dyDescent="0.3">
      <c r="A296" t="s">
        <v>2347</v>
      </c>
      <c r="B296">
        <v>1</v>
      </c>
      <c r="C296">
        <v>146821</v>
      </c>
      <c r="D296">
        <v>1</v>
      </c>
      <c r="E296">
        <v>170000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3</v>
      </c>
      <c r="BC296" s="1">
        <v>486821</v>
      </c>
      <c r="BD296" t="s">
        <v>74</v>
      </c>
      <c r="BE296" t="s">
        <v>2348</v>
      </c>
      <c r="BF296" t="s">
        <v>2349</v>
      </c>
      <c r="BH296" t="s">
        <v>77</v>
      </c>
      <c r="BI296" t="s">
        <v>228</v>
      </c>
      <c r="BJ296" t="s">
        <v>79</v>
      </c>
      <c r="BM296">
        <v>0</v>
      </c>
      <c r="BN296">
        <v>2</v>
      </c>
      <c r="BO296">
        <v>2</v>
      </c>
      <c r="BP296" t="s">
        <v>80</v>
      </c>
      <c r="BR296">
        <v>0</v>
      </c>
      <c r="BS296">
        <v>6</v>
      </c>
      <c r="BU296" s="1">
        <v>316821</v>
      </c>
    </row>
    <row r="297" spans="1:73" x14ac:dyDescent="0.3">
      <c r="A297" t="s">
        <v>2177</v>
      </c>
      <c r="B297">
        <v>0</v>
      </c>
      <c r="C297">
        <v>0</v>
      </c>
      <c r="D297">
        <v>11</v>
      </c>
      <c r="E297">
        <v>2407014</v>
      </c>
      <c r="F297">
        <v>0</v>
      </c>
      <c r="G297">
        <v>0</v>
      </c>
      <c r="H297">
        <v>18</v>
      </c>
      <c r="I297">
        <v>614028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22</v>
      </c>
      <c r="BC297" s="1">
        <v>4814028</v>
      </c>
      <c r="BD297" t="s">
        <v>74</v>
      </c>
      <c r="BE297" t="s">
        <v>2178</v>
      </c>
      <c r="BF297" t="s">
        <v>2179</v>
      </c>
      <c r="BH297" t="s">
        <v>77</v>
      </c>
      <c r="BI297" t="s">
        <v>88</v>
      </c>
      <c r="BJ297" t="s">
        <v>79</v>
      </c>
      <c r="BM297">
        <v>0</v>
      </c>
      <c r="BN297">
        <v>2</v>
      </c>
      <c r="BO297">
        <v>2</v>
      </c>
      <c r="BP297" t="s">
        <v>80</v>
      </c>
      <c r="BR297">
        <v>0</v>
      </c>
      <c r="BS297">
        <v>6</v>
      </c>
      <c r="BU297" s="1">
        <v>3021042</v>
      </c>
    </row>
    <row r="298" spans="1:73" x14ac:dyDescent="0.3">
      <c r="A298" t="s">
        <v>924</v>
      </c>
      <c r="B298">
        <v>2</v>
      </c>
      <c r="C298">
        <v>488489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</v>
      </c>
      <c r="BC298" s="1">
        <v>567074</v>
      </c>
      <c r="BD298" t="s">
        <v>74</v>
      </c>
      <c r="BE298" t="s">
        <v>925</v>
      </c>
      <c r="BF298" t="s">
        <v>926</v>
      </c>
      <c r="BH298" t="s">
        <v>77</v>
      </c>
      <c r="BI298" t="s">
        <v>88</v>
      </c>
      <c r="BJ298" t="s">
        <v>79</v>
      </c>
      <c r="BM298">
        <v>0</v>
      </c>
      <c r="BN298">
        <v>1</v>
      </c>
      <c r="BO298">
        <v>1</v>
      </c>
      <c r="BP298" t="s">
        <v>80</v>
      </c>
      <c r="BR298">
        <v>0</v>
      </c>
      <c r="BS298">
        <v>6</v>
      </c>
      <c r="BU298" s="1">
        <v>488489</v>
      </c>
    </row>
    <row r="299" spans="1:73" x14ac:dyDescent="0.3">
      <c r="A299" t="s">
        <v>2594</v>
      </c>
      <c r="B299">
        <v>0</v>
      </c>
      <c r="C299">
        <v>0</v>
      </c>
      <c r="D299">
        <v>8</v>
      </c>
      <c r="E299">
        <v>2855297</v>
      </c>
      <c r="F299">
        <v>0</v>
      </c>
      <c r="G299">
        <v>0</v>
      </c>
      <c r="H299">
        <v>12</v>
      </c>
      <c r="I299">
        <v>400594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18</v>
      </c>
      <c r="BC299" s="1">
        <v>5750594</v>
      </c>
      <c r="BD299" t="s">
        <v>74</v>
      </c>
      <c r="BE299" t="s">
        <v>2595</v>
      </c>
      <c r="BF299" t="s">
        <v>2596</v>
      </c>
      <c r="BH299" t="s">
        <v>77</v>
      </c>
      <c r="BI299" t="s">
        <v>88</v>
      </c>
      <c r="BJ299" t="s">
        <v>79</v>
      </c>
      <c r="BM299">
        <v>0</v>
      </c>
      <c r="BN299">
        <v>2</v>
      </c>
      <c r="BO299">
        <v>2</v>
      </c>
      <c r="BP299" t="s">
        <v>80</v>
      </c>
      <c r="BR299">
        <v>0</v>
      </c>
      <c r="BS299">
        <v>6</v>
      </c>
      <c r="BU299" s="1">
        <v>3255891</v>
      </c>
    </row>
    <row r="300" spans="1:73" x14ac:dyDescent="0.3">
      <c r="A300" t="s">
        <v>5277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43523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4394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2</v>
      </c>
      <c r="BC300" s="1">
        <v>47917</v>
      </c>
      <c r="BD300" t="s">
        <v>74</v>
      </c>
      <c r="BE300" t="s">
        <v>5278</v>
      </c>
      <c r="BF300" t="s">
        <v>2596</v>
      </c>
      <c r="BH300" t="s">
        <v>77</v>
      </c>
      <c r="BI300" t="s">
        <v>88</v>
      </c>
      <c r="BJ300" t="s">
        <v>79</v>
      </c>
      <c r="BM300">
        <v>2</v>
      </c>
      <c r="BN300">
        <v>0</v>
      </c>
      <c r="BO300">
        <v>2</v>
      </c>
      <c r="BP300" t="s">
        <v>80</v>
      </c>
      <c r="BR300">
        <v>0</v>
      </c>
      <c r="BS300">
        <v>0</v>
      </c>
      <c r="BU300" s="1">
        <v>47917</v>
      </c>
    </row>
    <row r="301" spans="1:73" x14ac:dyDescent="0.3">
      <c r="A301" t="s">
        <v>3571</v>
      </c>
      <c r="B301">
        <v>0</v>
      </c>
      <c r="C301">
        <v>0</v>
      </c>
      <c r="D301">
        <v>4</v>
      </c>
      <c r="E301">
        <v>555294</v>
      </c>
      <c r="F301">
        <v>0</v>
      </c>
      <c r="G301">
        <v>0</v>
      </c>
      <c r="H301">
        <v>6</v>
      </c>
      <c r="I301">
        <v>135588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8</v>
      </c>
      <c r="BC301" s="1">
        <v>1110588</v>
      </c>
      <c r="BD301" t="s">
        <v>74</v>
      </c>
      <c r="BE301" t="s">
        <v>3572</v>
      </c>
      <c r="BF301" t="s">
        <v>3573</v>
      </c>
      <c r="BH301" t="s">
        <v>77</v>
      </c>
      <c r="BI301" t="s">
        <v>88</v>
      </c>
      <c r="BJ301" t="s">
        <v>79</v>
      </c>
      <c r="BM301">
        <v>0</v>
      </c>
      <c r="BN301">
        <v>2</v>
      </c>
      <c r="BO301">
        <v>2</v>
      </c>
      <c r="BP301" t="s">
        <v>80</v>
      </c>
      <c r="BR301">
        <v>0</v>
      </c>
      <c r="BS301">
        <v>6</v>
      </c>
      <c r="BU301" s="1">
        <v>690882</v>
      </c>
    </row>
    <row r="302" spans="1:73" x14ac:dyDescent="0.3">
      <c r="A302" t="s">
        <v>252</v>
      </c>
      <c r="B302">
        <v>0</v>
      </c>
      <c r="C302">
        <v>0</v>
      </c>
      <c r="D302">
        <v>1</v>
      </c>
      <c r="E302">
        <v>184000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</v>
      </c>
      <c r="BC302" s="1">
        <v>368000</v>
      </c>
      <c r="BD302" t="s">
        <v>74</v>
      </c>
      <c r="BE302" t="s">
        <v>253</v>
      </c>
      <c r="BF302" t="s">
        <v>254</v>
      </c>
      <c r="BH302" t="s">
        <v>175</v>
      </c>
      <c r="BI302" t="s">
        <v>255</v>
      </c>
      <c r="BJ302" t="s">
        <v>125</v>
      </c>
      <c r="BM302">
        <v>0</v>
      </c>
      <c r="BN302">
        <v>1</v>
      </c>
      <c r="BO302">
        <v>1</v>
      </c>
      <c r="BP302" t="s">
        <v>80</v>
      </c>
      <c r="BR302">
        <v>0</v>
      </c>
      <c r="BS302">
        <v>6</v>
      </c>
      <c r="BU302" s="1">
        <v>184000</v>
      </c>
    </row>
    <row r="303" spans="1:73" x14ac:dyDescent="0.3">
      <c r="A303" t="s">
        <v>1438</v>
      </c>
      <c r="B303">
        <v>0</v>
      </c>
      <c r="C303">
        <v>0</v>
      </c>
      <c r="D303">
        <v>2</v>
      </c>
      <c r="E303">
        <v>500000</v>
      </c>
      <c r="F303">
        <v>0</v>
      </c>
      <c r="G303">
        <v>0</v>
      </c>
      <c r="H303">
        <v>2</v>
      </c>
      <c r="I303">
        <v>40000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4</v>
      </c>
      <c r="BC303" s="1">
        <v>540000</v>
      </c>
      <c r="BD303" t="s">
        <v>74</v>
      </c>
      <c r="BE303" t="s">
        <v>1439</v>
      </c>
      <c r="BF303" t="s">
        <v>254</v>
      </c>
      <c r="BH303" t="s">
        <v>77</v>
      </c>
      <c r="BI303" t="s">
        <v>78</v>
      </c>
      <c r="BJ303" t="s">
        <v>79</v>
      </c>
      <c r="BM303">
        <v>0</v>
      </c>
      <c r="BN303">
        <v>2</v>
      </c>
      <c r="BO303">
        <v>2</v>
      </c>
      <c r="BP303" t="s">
        <v>514</v>
      </c>
      <c r="BR303">
        <v>0</v>
      </c>
      <c r="BS303">
        <v>6</v>
      </c>
      <c r="BU303" s="1">
        <v>540000</v>
      </c>
    </row>
    <row r="304" spans="1:73" x14ac:dyDescent="0.3">
      <c r="A304" t="s">
        <v>2646</v>
      </c>
      <c r="B304">
        <v>0</v>
      </c>
      <c r="C304">
        <v>0</v>
      </c>
      <c r="D304">
        <v>6</v>
      </c>
      <c r="E304">
        <v>1356000</v>
      </c>
      <c r="F304">
        <v>0</v>
      </c>
      <c r="G304">
        <v>0</v>
      </c>
      <c r="H304">
        <v>3</v>
      </c>
      <c r="I304">
        <v>60000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10</v>
      </c>
      <c r="BC304" s="1">
        <v>1882000</v>
      </c>
      <c r="BD304" t="s">
        <v>74</v>
      </c>
      <c r="BE304" t="s">
        <v>2647</v>
      </c>
      <c r="BF304" t="s">
        <v>254</v>
      </c>
      <c r="BH304" t="s">
        <v>77</v>
      </c>
      <c r="BI304" t="s">
        <v>78</v>
      </c>
      <c r="BJ304" t="s">
        <v>79</v>
      </c>
      <c r="BM304">
        <v>0</v>
      </c>
      <c r="BN304">
        <v>2</v>
      </c>
      <c r="BO304">
        <v>2</v>
      </c>
      <c r="BP304" t="s">
        <v>514</v>
      </c>
      <c r="BR304">
        <v>0</v>
      </c>
      <c r="BS304">
        <v>6</v>
      </c>
      <c r="BU304" s="1">
        <v>1416000</v>
      </c>
    </row>
    <row r="305" spans="1:73" x14ac:dyDescent="0.3">
      <c r="A305" t="s">
        <v>3146</v>
      </c>
      <c r="B305">
        <v>0</v>
      </c>
      <c r="C305">
        <v>0</v>
      </c>
      <c r="D305">
        <v>3</v>
      </c>
      <c r="E305">
        <v>290000</v>
      </c>
      <c r="F305">
        <v>0</v>
      </c>
      <c r="G305">
        <v>0</v>
      </c>
      <c r="H305">
        <v>4</v>
      </c>
      <c r="I305">
        <v>80000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6</v>
      </c>
      <c r="BC305" s="1">
        <v>580000</v>
      </c>
      <c r="BD305" t="s">
        <v>74</v>
      </c>
      <c r="BE305" t="s">
        <v>3147</v>
      </c>
      <c r="BF305" t="s">
        <v>254</v>
      </c>
      <c r="BH305" t="s">
        <v>77</v>
      </c>
      <c r="BI305" t="s">
        <v>78</v>
      </c>
      <c r="BJ305" t="s">
        <v>79</v>
      </c>
      <c r="BM305">
        <v>0</v>
      </c>
      <c r="BN305">
        <v>2</v>
      </c>
      <c r="BO305">
        <v>2</v>
      </c>
      <c r="BP305" t="s">
        <v>80</v>
      </c>
      <c r="BR305">
        <v>0</v>
      </c>
      <c r="BS305">
        <v>6</v>
      </c>
      <c r="BU305" s="1">
        <v>370000</v>
      </c>
    </row>
    <row r="306" spans="1:73" x14ac:dyDescent="0.3">
      <c r="A306" t="s">
        <v>1614</v>
      </c>
      <c r="B306">
        <v>2</v>
      </c>
      <c r="C306">
        <v>611773</v>
      </c>
      <c r="D306">
        <v>1</v>
      </c>
      <c r="E306">
        <v>20000</v>
      </c>
      <c r="F306">
        <v>0</v>
      </c>
      <c r="G306">
        <v>0</v>
      </c>
      <c r="H306">
        <v>2</v>
      </c>
      <c r="I306">
        <v>40000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72000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6</v>
      </c>
      <c r="BC306" s="1">
        <v>795773</v>
      </c>
      <c r="BD306" t="s">
        <v>74</v>
      </c>
      <c r="BE306" t="s">
        <v>1615</v>
      </c>
      <c r="BF306" t="s">
        <v>1616</v>
      </c>
      <c r="BH306" t="s">
        <v>175</v>
      </c>
      <c r="BI306" t="s">
        <v>255</v>
      </c>
      <c r="BJ306" t="s">
        <v>125</v>
      </c>
      <c r="BM306">
        <v>0</v>
      </c>
      <c r="BN306">
        <v>4</v>
      </c>
      <c r="BO306">
        <v>4</v>
      </c>
      <c r="BP306" t="s">
        <v>80</v>
      </c>
      <c r="BR306">
        <v>0</v>
      </c>
      <c r="BS306">
        <v>6</v>
      </c>
      <c r="BU306" s="1">
        <v>743773</v>
      </c>
    </row>
    <row r="307" spans="1:73" x14ac:dyDescent="0.3">
      <c r="A307" t="s">
        <v>1559</v>
      </c>
      <c r="B307">
        <v>0</v>
      </c>
      <c r="C307">
        <v>1054546</v>
      </c>
      <c r="D307">
        <v>3</v>
      </c>
      <c r="E307">
        <v>214909</v>
      </c>
      <c r="F307">
        <v>0</v>
      </c>
      <c r="G307">
        <v>0</v>
      </c>
      <c r="H307">
        <v>6</v>
      </c>
      <c r="I307">
        <v>140000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10</v>
      </c>
      <c r="BC307" s="1">
        <v>1584364</v>
      </c>
      <c r="BD307" t="s">
        <v>74</v>
      </c>
      <c r="BE307" t="s">
        <v>1560</v>
      </c>
      <c r="BF307" t="s">
        <v>1561</v>
      </c>
      <c r="BH307" t="s">
        <v>77</v>
      </c>
      <c r="BI307" t="s">
        <v>228</v>
      </c>
      <c r="BJ307" t="s">
        <v>79</v>
      </c>
      <c r="BM307">
        <v>0</v>
      </c>
      <c r="BN307">
        <v>2</v>
      </c>
      <c r="BO307">
        <v>2</v>
      </c>
      <c r="BP307" t="s">
        <v>80</v>
      </c>
      <c r="BR307">
        <v>0</v>
      </c>
      <c r="BS307">
        <v>6</v>
      </c>
      <c r="BU307" s="1">
        <v>1409455</v>
      </c>
    </row>
    <row r="308" spans="1:73" x14ac:dyDescent="0.3">
      <c r="A308" t="s">
        <v>1656</v>
      </c>
      <c r="B308">
        <v>0</v>
      </c>
      <c r="C308">
        <v>0</v>
      </c>
      <c r="D308">
        <v>4</v>
      </c>
      <c r="E308">
        <v>1523420</v>
      </c>
      <c r="F308">
        <v>0</v>
      </c>
      <c r="G308">
        <v>0</v>
      </c>
      <c r="H308">
        <v>6</v>
      </c>
      <c r="I308">
        <v>166840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9</v>
      </c>
      <c r="BC308" s="1">
        <v>3120375</v>
      </c>
      <c r="BD308" t="s">
        <v>74</v>
      </c>
      <c r="BE308" t="s">
        <v>1657</v>
      </c>
      <c r="BF308" t="s">
        <v>1658</v>
      </c>
      <c r="BH308" t="s">
        <v>77</v>
      </c>
      <c r="BI308" t="s">
        <v>228</v>
      </c>
      <c r="BJ308" t="s">
        <v>79</v>
      </c>
      <c r="BM308">
        <v>0</v>
      </c>
      <c r="BN308">
        <v>2</v>
      </c>
      <c r="BO308">
        <v>2</v>
      </c>
      <c r="BP308" t="s">
        <v>80</v>
      </c>
      <c r="BR308">
        <v>0</v>
      </c>
      <c r="BS308">
        <v>6</v>
      </c>
      <c r="BU308" s="1">
        <v>1690260</v>
      </c>
    </row>
    <row r="309" spans="1:73" x14ac:dyDescent="0.3">
      <c r="A309" t="s">
        <v>1787</v>
      </c>
      <c r="B309">
        <v>0</v>
      </c>
      <c r="C309">
        <v>0</v>
      </c>
      <c r="D309">
        <v>4</v>
      </c>
      <c r="E309">
        <v>920000</v>
      </c>
      <c r="F309">
        <v>0</v>
      </c>
      <c r="G309">
        <v>0</v>
      </c>
      <c r="H309">
        <v>6</v>
      </c>
      <c r="I309">
        <v>120000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</v>
      </c>
      <c r="BC309" s="1">
        <v>1880000</v>
      </c>
      <c r="BD309" t="s">
        <v>74</v>
      </c>
      <c r="BE309" t="s">
        <v>1788</v>
      </c>
      <c r="BF309" t="s">
        <v>1658</v>
      </c>
      <c r="BH309" t="s">
        <v>77</v>
      </c>
      <c r="BI309" t="s">
        <v>228</v>
      </c>
      <c r="BJ309" t="s">
        <v>79</v>
      </c>
      <c r="BM309">
        <v>0</v>
      </c>
      <c r="BN309">
        <v>2</v>
      </c>
      <c r="BO309">
        <v>2</v>
      </c>
      <c r="BP309" t="s">
        <v>80</v>
      </c>
      <c r="BR309">
        <v>0</v>
      </c>
      <c r="BS309">
        <v>6</v>
      </c>
      <c r="BU309" s="1">
        <v>1040000</v>
      </c>
    </row>
    <row r="310" spans="1:73" x14ac:dyDescent="0.3">
      <c r="A310" t="s">
        <v>1331</v>
      </c>
      <c r="B310">
        <v>0</v>
      </c>
      <c r="C310">
        <v>0</v>
      </c>
      <c r="D310">
        <v>2</v>
      </c>
      <c r="E310">
        <v>390000</v>
      </c>
      <c r="F310">
        <v>0</v>
      </c>
      <c r="G310">
        <v>0</v>
      </c>
      <c r="H310">
        <v>1</v>
      </c>
      <c r="I310">
        <v>21262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9</v>
      </c>
      <c r="BC310" s="1">
        <v>797327</v>
      </c>
      <c r="BD310" t="s">
        <v>74</v>
      </c>
      <c r="BE310" t="s">
        <v>1332</v>
      </c>
      <c r="BF310" t="s">
        <v>1333</v>
      </c>
      <c r="BH310" t="s">
        <v>77</v>
      </c>
      <c r="BI310" t="s">
        <v>228</v>
      </c>
      <c r="BJ310" t="s">
        <v>79</v>
      </c>
      <c r="BM310">
        <v>0</v>
      </c>
      <c r="BN310">
        <v>2</v>
      </c>
      <c r="BO310">
        <v>2</v>
      </c>
      <c r="BP310" t="s">
        <v>514</v>
      </c>
      <c r="BR310">
        <v>0</v>
      </c>
      <c r="BS310">
        <v>6</v>
      </c>
      <c r="BU310" s="1">
        <v>411262</v>
      </c>
    </row>
    <row r="311" spans="1:73" x14ac:dyDescent="0.3">
      <c r="A311" t="s">
        <v>2913</v>
      </c>
      <c r="B311">
        <v>0</v>
      </c>
      <c r="C311">
        <v>0</v>
      </c>
      <c r="D311">
        <v>1</v>
      </c>
      <c r="E311">
        <v>350000</v>
      </c>
      <c r="F311">
        <v>0</v>
      </c>
      <c r="G311">
        <v>0</v>
      </c>
      <c r="H311">
        <v>3</v>
      </c>
      <c r="I311">
        <v>46666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4</v>
      </c>
      <c r="BC311" s="1">
        <v>396666</v>
      </c>
      <c r="BD311" t="s">
        <v>74</v>
      </c>
      <c r="BE311" t="s">
        <v>2914</v>
      </c>
      <c r="BF311" t="s">
        <v>1333</v>
      </c>
      <c r="BH311" t="s">
        <v>77</v>
      </c>
      <c r="BI311" t="s">
        <v>228</v>
      </c>
      <c r="BJ311" t="s">
        <v>79</v>
      </c>
      <c r="BM311">
        <v>0</v>
      </c>
      <c r="BN311">
        <v>2</v>
      </c>
      <c r="BO311">
        <v>2</v>
      </c>
      <c r="BP311" t="s">
        <v>514</v>
      </c>
      <c r="BR311">
        <v>0</v>
      </c>
      <c r="BS311">
        <v>6</v>
      </c>
      <c r="BU311" s="1">
        <v>396666</v>
      </c>
    </row>
    <row r="312" spans="1:73" x14ac:dyDescent="0.3">
      <c r="A312" t="s">
        <v>73</v>
      </c>
      <c r="B312">
        <v>0</v>
      </c>
      <c r="C312">
        <v>0</v>
      </c>
      <c r="D312">
        <v>1</v>
      </c>
      <c r="E312">
        <v>246857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 s="1">
        <v>246857</v>
      </c>
      <c r="BD312" t="s">
        <v>74</v>
      </c>
      <c r="BE312" t="s">
        <v>75</v>
      </c>
      <c r="BF312" t="s">
        <v>76</v>
      </c>
      <c r="BH312" t="s">
        <v>77</v>
      </c>
      <c r="BI312" t="s">
        <v>78</v>
      </c>
      <c r="BJ312" t="s">
        <v>79</v>
      </c>
      <c r="BM312">
        <v>0</v>
      </c>
      <c r="BN312">
        <v>1</v>
      </c>
      <c r="BO312">
        <v>1</v>
      </c>
      <c r="BP312" t="s">
        <v>80</v>
      </c>
      <c r="BR312">
        <v>0</v>
      </c>
      <c r="BS312">
        <v>6</v>
      </c>
      <c r="BU312" s="1">
        <v>246857</v>
      </c>
    </row>
    <row r="313" spans="1:73" x14ac:dyDescent="0.3">
      <c r="A313" t="s">
        <v>4560</v>
      </c>
      <c r="B313">
        <v>0</v>
      </c>
      <c r="C313">
        <v>0</v>
      </c>
      <c r="D313">
        <v>2</v>
      </c>
      <c r="E313">
        <v>650000</v>
      </c>
      <c r="F313">
        <v>0</v>
      </c>
      <c r="G313">
        <v>0</v>
      </c>
      <c r="H313">
        <v>1</v>
      </c>
      <c r="I313">
        <v>20000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50000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</v>
      </c>
      <c r="BC313" s="1">
        <v>720000</v>
      </c>
      <c r="BD313" t="s">
        <v>74</v>
      </c>
      <c r="BE313" t="s">
        <v>4561</v>
      </c>
      <c r="BF313" t="s">
        <v>76</v>
      </c>
      <c r="BH313" t="s">
        <v>77</v>
      </c>
      <c r="BI313" t="s">
        <v>78</v>
      </c>
      <c r="BJ313" t="s">
        <v>79</v>
      </c>
      <c r="BM313">
        <v>0</v>
      </c>
      <c r="BN313">
        <v>3</v>
      </c>
      <c r="BO313">
        <v>3</v>
      </c>
      <c r="BP313" t="s">
        <v>514</v>
      </c>
      <c r="BR313">
        <v>0</v>
      </c>
      <c r="BS313">
        <v>6</v>
      </c>
      <c r="BU313" s="1">
        <v>720000</v>
      </c>
    </row>
    <row r="314" spans="1:73" x14ac:dyDescent="0.3">
      <c r="A314" t="s">
        <v>5342</v>
      </c>
      <c r="B314">
        <v>0</v>
      </c>
      <c r="C314">
        <v>0</v>
      </c>
      <c r="D314">
        <v>1</v>
      </c>
      <c r="E314">
        <v>771428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 s="1">
        <v>771428</v>
      </c>
      <c r="BD314" t="s">
        <v>74</v>
      </c>
      <c r="BE314" t="s">
        <v>5343</v>
      </c>
      <c r="BF314" t="s">
        <v>76</v>
      </c>
      <c r="BH314" t="s">
        <v>77</v>
      </c>
      <c r="BI314" t="s">
        <v>78</v>
      </c>
      <c r="BJ314" t="s">
        <v>79</v>
      </c>
      <c r="BM314">
        <v>0</v>
      </c>
      <c r="BN314">
        <v>1</v>
      </c>
      <c r="BO314">
        <v>1</v>
      </c>
      <c r="BP314" t="s">
        <v>80</v>
      </c>
      <c r="BR314">
        <v>0</v>
      </c>
      <c r="BS314">
        <v>6</v>
      </c>
      <c r="BU314" s="1">
        <v>771428</v>
      </c>
    </row>
    <row r="315" spans="1:73" x14ac:dyDescent="0.3">
      <c r="A315" t="s">
        <v>2008</v>
      </c>
      <c r="B315">
        <v>0</v>
      </c>
      <c r="C315">
        <v>0</v>
      </c>
      <c r="D315">
        <v>1</v>
      </c>
      <c r="E315">
        <v>150000</v>
      </c>
      <c r="F315">
        <v>0</v>
      </c>
      <c r="G315">
        <v>0</v>
      </c>
      <c r="H315">
        <v>3</v>
      </c>
      <c r="I315">
        <v>60000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</v>
      </c>
      <c r="BC315" s="1">
        <v>210000</v>
      </c>
      <c r="BD315" t="s">
        <v>74</v>
      </c>
      <c r="BE315" t="s">
        <v>2009</v>
      </c>
      <c r="BF315" t="s">
        <v>2010</v>
      </c>
      <c r="BH315" t="s">
        <v>77</v>
      </c>
      <c r="BI315" t="s">
        <v>78</v>
      </c>
      <c r="BJ315" t="s">
        <v>79</v>
      </c>
      <c r="BM315">
        <v>0</v>
      </c>
      <c r="BN315">
        <v>2</v>
      </c>
      <c r="BO315">
        <v>2</v>
      </c>
      <c r="BP315" t="s">
        <v>80</v>
      </c>
      <c r="BR315">
        <v>0</v>
      </c>
      <c r="BS315">
        <v>6</v>
      </c>
      <c r="BU315" s="1">
        <v>210000</v>
      </c>
    </row>
    <row r="316" spans="1:73" x14ac:dyDescent="0.3">
      <c r="A316" t="s">
        <v>1211</v>
      </c>
      <c r="B316">
        <v>1</v>
      </c>
      <c r="C316">
        <v>338304</v>
      </c>
      <c r="D316">
        <v>9</v>
      </c>
      <c r="E316">
        <v>2505521</v>
      </c>
      <c r="F316">
        <v>0</v>
      </c>
      <c r="G316">
        <v>0</v>
      </c>
      <c r="H316">
        <v>14</v>
      </c>
      <c r="I316">
        <v>522472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150000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147070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23</v>
      </c>
      <c r="BC316" s="1">
        <v>4748797</v>
      </c>
      <c r="BD316" t="s">
        <v>74</v>
      </c>
      <c r="BE316" t="s">
        <v>1212</v>
      </c>
      <c r="BF316" t="s">
        <v>1213</v>
      </c>
      <c r="BH316" t="s">
        <v>77</v>
      </c>
      <c r="BI316" t="s">
        <v>92</v>
      </c>
      <c r="BJ316" t="s">
        <v>79</v>
      </c>
      <c r="BM316">
        <v>2</v>
      </c>
      <c r="BN316">
        <v>3</v>
      </c>
      <c r="BO316">
        <v>5</v>
      </c>
      <c r="BP316" t="s">
        <v>80</v>
      </c>
      <c r="BR316">
        <v>0</v>
      </c>
      <c r="BS316">
        <v>6</v>
      </c>
      <c r="BU316" s="1">
        <v>3663367</v>
      </c>
    </row>
    <row r="317" spans="1:73" x14ac:dyDescent="0.3">
      <c r="A317" t="s">
        <v>2619</v>
      </c>
      <c r="B317">
        <v>0</v>
      </c>
      <c r="C317">
        <v>0</v>
      </c>
      <c r="D317">
        <v>1</v>
      </c>
      <c r="E317">
        <v>163636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 s="1">
        <v>163636</v>
      </c>
      <c r="BD317" t="s">
        <v>74</v>
      </c>
      <c r="BE317" t="s">
        <v>2620</v>
      </c>
      <c r="BF317" t="s">
        <v>1213</v>
      </c>
      <c r="BH317" t="s">
        <v>77</v>
      </c>
      <c r="BI317" t="s">
        <v>92</v>
      </c>
      <c r="BJ317" t="s">
        <v>79</v>
      </c>
      <c r="BM317">
        <v>0</v>
      </c>
      <c r="BN317">
        <v>1</v>
      </c>
      <c r="BO317">
        <v>1</v>
      </c>
      <c r="BP317" t="s">
        <v>80</v>
      </c>
      <c r="BR317">
        <v>0</v>
      </c>
      <c r="BS317">
        <v>6</v>
      </c>
      <c r="BU317" s="1">
        <v>163636</v>
      </c>
    </row>
    <row r="318" spans="1:73" x14ac:dyDescent="0.3">
      <c r="A318" t="s">
        <v>4466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</v>
      </c>
      <c r="Z318">
        <v>165631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8788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6</v>
      </c>
      <c r="BC318" s="1">
        <v>194211</v>
      </c>
      <c r="BD318" t="s">
        <v>74</v>
      </c>
      <c r="BE318" t="s">
        <v>4467</v>
      </c>
      <c r="BF318" t="s">
        <v>1213</v>
      </c>
      <c r="BH318" t="s">
        <v>77</v>
      </c>
      <c r="BI318" t="s">
        <v>92</v>
      </c>
      <c r="BJ318" t="s">
        <v>79</v>
      </c>
      <c r="BM318">
        <v>2</v>
      </c>
      <c r="BN318">
        <v>0</v>
      </c>
      <c r="BO318">
        <v>2</v>
      </c>
      <c r="BP318" t="s">
        <v>80</v>
      </c>
      <c r="BR318">
        <v>0</v>
      </c>
      <c r="BS318">
        <v>6</v>
      </c>
      <c r="BU318" s="1">
        <v>174419</v>
      </c>
    </row>
    <row r="319" spans="1:73" x14ac:dyDescent="0.3">
      <c r="A319" t="s">
        <v>2970</v>
      </c>
      <c r="B319">
        <v>3</v>
      </c>
      <c r="C319">
        <v>1595529</v>
      </c>
      <c r="D319">
        <v>3</v>
      </c>
      <c r="E319">
        <v>177455</v>
      </c>
      <c r="F319">
        <v>0</v>
      </c>
      <c r="G319">
        <v>0</v>
      </c>
      <c r="H319">
        <v>4</v>
      </c>
      <c r="I319">
        <v>80000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</v>
      </c>
      <c r="BC319" s="1">
        <v>1950439</v>
      </c>
      <c r="BD319" t="s">
        <v>74</v>
      </c>
      <c r="BE319" t="s">
        <v>2971</v>
      </c>
      <c r="BF319" t="s">
        <v>2972</v>
      </c>
      <c r="BH319" t="s">
        <v>77</v>
      </c>
      <c r="BI319" t="s">
        <v>92</v>
      </c>
      <c r="BJ319" t="s">
        <v>79</v>
      </c>
      <c r="BM319">
        <v>0</v>
      </c>
      <c r="BN319">
        <v>3</v>
      </c>
      <c r="BO319">
        <v>3</v>
      </c>
      <c r="BP319" t="s">
        <v>80</v>
      </c>
      <c r="BR319">
        <v>0</v>
      </c>
      <c r="BS319">
        <v>6</v>
      </c>
      <c r="BU319" s="1">
        <v>1852984</v>
      </c>
    </row>
    <row r="320" spans="1:73" x14ac:dyDescent="0.3">
      <c r="A320" t="s">
        <v>89</v>
      </c>
      <c r="B320">
        <v>0</v>
      </c>
      <c r="C320">
        <v>0</v>
      </c>
      <c r="D320">
        <v>1</v>
      </c>
      <c r="E320">
        <v>546000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2</v>
      </c>
      <c r="BC320" s="1">
        <v>1092000</v>
      </c>
      <c r="BD320" t="s">
        <v>74</v>
      </c>
      <c r="BE320" t="s">
        <v>90</v>
      </c>
      <c r="BF320" t="s">
        <v>91</v>
      </c>
      <c r="BH320" t="s">
        <v>77</v>
      </c>
      <c r="BI320" t="s">
        <v>92</v>
      </c>
      <c r="BJ320" t="s">
        <v>79</v>
      </c>
      <c r="BM320">
        <v>0</v>
      </c>
      <c r="BN320">
        <v>1</v>
      </c>
      <c r="BO320">
        <v>1</v>
      </c>
      <c r="BP320" t="s">
        <v>80</v>
      </c>
      <c r="BR320">
        <v>0</v>
      </c>
      <c r="BS320">
        <v>6</v>
      </c>
      <c r="BU320" s="1">
        <v>546000</v>
      </c>
    </row>
    <row r="321" spans="1:73" x14ac:dyDescent="0.3">
      <c r="A321" t="s">
        <v>481</v>
      </c>
      <c r="B321">
        <v>0</v>
      </c>
      <c r="C321">
        <v>0</v>
      </c>
      <c r="D321">
        <v>1</v>
      </c>
      <c r="E321">
        <v>429091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 s="1">
        <v>429091</v>
      </c>
      <c r="BD321" t="s">
        <v>74</v>
      </c>
      <c r="BE321" t="s">
        <v>482</v>
      </c>
      <c r="BF321" t="s">
        <v>91</v>
      </c>
      <c r="BH321" t="s">
        <v>77</v>
      </c>
      <c r="BI321" t="s">
        <v>92</v>
      </c>
      <c r="BJ321" t="s">
        <v>79</v>
      </c>
      <c r="BM321">
        <v>0</v>
      </c>
      <c r="BN321">
        <v>1</v>
      </c>
      <c r="BO321">
        <v>1</v>
      </c>
      <c r="BP321" t="s">
        <v>80</v>
      </c>
      <c r="BR321">
        <v>0</v>
      </c>
      <c r="BS321">
        <v>6</v>
      </c>
      <c r="BU321" s="1">
        <v>429091</v>
      </c>
    </row>
    <row r="322" spans="1:73" x14ac:dyDescent="0.3">
      <c r="A322" t="s">
        <v>1072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45682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11526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2</v>
      </c>
      <c r="BC322" s="1">
        <v>57208</v>
      </c>
      <c r="BD322" t="s">
        <v>74</v>
      </c>
      <c r="BE322" t="s">
        <v>1073</v>
      </c>
      <c r="BF322" t="s">
        <v>91</v>
      </c>
      <c r="BH322" t="s">
        <v>77</v>
      </c>
      <c r="BI322" t="s">
        <v>92</v>
      </c>
      <c r="BJ322" t="s">
        <v>79</v>
      </c>
      <c r="BM322">
        <v>2</v>
      </c>
      <c r="BN322">
        <v>0</v>
      </c>
      <c r="BO322">
        <v>2</v>
      </c>
      <c r="BP322" t="s">
        <v>80</v>
      </c>
      <c r="BR322">
        <v>0</v>
      </c>
      <c r="BS322">
        <v>0</v>
      </c>
      <c r="BU322" s="1">
        <v>57208</v>
      </c>
    </row>
    <row r="323" spans="1:73" x14ac:dyDescent="0.3">
      <c r="A323" t="s">
        <v>1084</v>
      </c>
      <c r="B323">
        <v>0</v>
      </c>
      <c r="C323">
        <v>0</v>
      </c>
      <c r="D323">
        <v>1</v>
      </c>
      <c r="E323">
        <v>171428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</v>
      </c>
      <c r="BC323" s="1">
        <v>342856</v>
      </c>
      <c r="BD323" t="s">
        <v>74</v>
      </c>
      <c r="BE323" t="s">
        <v>1085</v>
      </c>
      <c r="BF323" t="s">
        <v>1086</v>
      </c>
      <c r="BH323" t="s">
        <v>77</v>
      </c>
      <c r="BI323" t="s">
        <v>92</v>
      </c>
      <c r="BJ323" t="s">
        <v>79</v>
      </c>
      <c r="BM323">
        <v>0</v>
      </c>
      <c r="BN323">
        <v>1</v>
      </c>
      <c r="BO323">
        <v>1</v>
      </c>
      <c r="BP323" t="s">
        <v>80</v>
      </c>
      <c r="BR323">
        <v>0</v>
      </c>
      <c r="BS323">
        <v>6</v>
      </c>
      <c r="BU323" s="1">
        <v>171428</v>
      </c>
    </row>
    <row r="324" spans="1:73" x14ac:dyDescent="0.3">
      <c r="A324" t="s">
        <v>2736</v>
      </c>
      <c r="B324">
        <v>1</v>
      </c>
      <c r="C324">
        <v>1048564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45676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19792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3</v>
      </c>
      <c r="BC324" s="1">
        <v>1114032</v>
      </c>
      <c r="BD324" t="s">
        <v>74</v>
      </c>
      <c r="BE324" t="s">
        <v>2737</v>
      </c>
      <c r="BF324" t="s">
        <v>2738</v>
      </c>
      <c r="BH324" t="s">
        <v>77</v>
      </c>
      <c r="BI324" t="s">
        <v>84</v>
      </c>
      <c r="BJ324" t="s">
        <v>79</v>
      </c>
      <c r="BM324">
        <v>1</v>
      </c>
      <c r="BN324">
        <v>2</v>
      </c>
      <c r="BO324">
        <v>3</v>
      </c>
      <c r="BP324" t="s">
        <v>80</v>
      </c>
      <c r="BR324">
        <v>0</v>
      </c>
      <c r="BS324">
        <v>6</v>
      </c>
      <c r="BU324" s="1">
        <v>1114032</v>
      </c>
    </row>
    <row r="325" spans="1:73" x14ac:dyDescent="0.3">
      <c r="A325" t="s">
        <v>1096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73535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</v>
      </c>
      <c r="BC325" s="1">
        <v>147070</v>
      </c>
      <c r="BD325" t="s">
        <v>74</v>
      </c>
      <c r="BE325" t="s">
        <v>1097</v>
      </c>
      <c r="BF325" t="s">
        <v>1098</v>
      </c>
      <c r="BH325" t="s">
        <v>77</v>
      </c>
      <c r="BI325" t="s">
        <v>204</v>
      </c>
      <c r="BJ325" t="s">
        <v>79</v>
      </c>
      <c r="BM325">
        <v>1</v>
      </c>
      <c r="BN325">
        <v>0</v>
      </c>
      <c r="BO325">
        <v>1</v>
      </c>
      <c r="BP325" t="s">
        <v>80</v>
      </c>
      <c r="BR325">
        <v>0</v>
      </c>
      <c r="BS325">
        <v>0</v>
      </c>
      <c r="BU325" s="1">
        <v>73535</v>
      </c>
    </row>
    <row r="326" spans="1:73" x14ac:dyDescent="0.3">
      <c r="A326" t="s">
        <v>5442</v>
      </c>
      <c r="B326">
        <v>0</v>
      </c>
      <c r="C326">
        <v>0</v>
      </c>
      <c r="D326">
        <v>2</v>
      </c>
      <c r="E326">
        <v>196643</v>
      </c>
      <c r="F326">
        <v>0</v>
      </c>
      <c r="G326">
        <v>0</v>
      </c>
      <c r="H326">
        <v>2</v>
      </c>
      <c r="I326">
        <v>40000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7</v>
      </c>
      <c r="BC326" s="1">
        <v>816642</v>
      </c>
      <c r="BD326" t="s">
        <v>74</v>
      </c>
      <c r="BE326" t="s">
        <v>5443</v>
      </c>
      <c r="BF326" t="s">
        <v>5444</v>
      </c>
      <c r="BH326" t="s">
        <v>77</v>
      </c>
      <c r="BI326" t="s">
        <v>204</v>
      </c>
      <c r="BJ326" t="s">
        <v>79</v>
      </c>
      <c r="BM326">
        <v>0</v>
      </c>
      <c r="BN326">
        <v>2</v>
      </c>
      <c r="BO326">
        <v>2</v>
      </c>
      <c r="BP326" t="s">
        <v>80</v>
      </c>
      <c r="BR326">
        <v>0</v>
      </c>
      <c r="BS326">
        <v>6</v>
      </c>
      <c r="BU326" s="1">
        <v>236643</v>
      </c>
    </row>
    <row r="327" spans="1:73" x14ac:dyDescent="0.3">
      <c r="A327" t="s">
        <v>3064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73535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C327" s="1">
        <v>73535</v>
      </c>
      <c r="BD327" t="s">
        <v>74</v>
      </c>
      <c r="BE327" t="s">
        <v>3065</v>
      </c>
      <c r="BF327" t="s">
        <v>3066</v>
      </c>
      <c r="BH327" t="s">
        <v>77</v>
      </c>
      <c r="BI327" t="s">
        <v>204</v>
      </c>
      <c r="BJ327" t="s">
        <v>79</v>
      </c>
      <c r="BM327">
        <v>1</v>
      </c>
      <c r="BN327">
        <v>0</v>
      </c>
      <c r="BO327">
        <v>1</v>
      </c>
      <c r="BP327" t="s">
        <v>80</v>
      </c>
      <c r="BR327">
        <v>0</v>
      </c>
      <c r="BS327">
        <v>0</v>
      </c>
      <c r="BU327" s="1">
        <v>73535</v>
      </c>
    </row>
    <row r="328" spans="1:73" x14ac:dyDescent="0.3">
      <c r="A328" t="s">
        <v>1175</v>
      </c>
      <c r="B328">
        <v>0</v>
      </c>
      <c r="C328">
        <v>0</v>
      </c>
      <c r="D328">
        <v>2</v>
      </c>
      <c r="E328">
        <v>527376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</v>
      </c>
      <c r="BC328" s="1">
        <v>1054752</v>
      </c>
      <c r="BD328" t="s">
        <v>74</v>
      </c>
      <c r="BE328" t="s">
        <v>1176</v>
      </c>
      <c r="BF328" t="s">
        <v>1177</v>
      </c>
      <c r="BH328" t="s">
        <v>136</v>
      </c>
      <c r="BI328" t="s">
        <v>439</v>
      </c>
      <c r="BJ328" t="s">
        <v>125</v>
      </c>
      <c r="BM328">
        <v>0</v>
      </c>
      <c r="BN328">
        <v>1</v>
      </c>
      <c r="BO328">
        <v>1</v>
      </c>
      <c r="BP328" t="s">
        <v>80</v>
      </c>
      <c r="BR328">
        <v>0</v>
      </c>
      <c r="BS328">
        <v>6</v>
      </c>
      <c r="BU328" s="1">
        <v>527376</v>
      </c>
    </row>
    <row r="329" spans="1:73" x14ac:dyDescent="0.3">
      <c r="A329" t="s">
        <v>209</v>
      </c>
      <c r="B329">
        <v>0</v>
      </c>
      <c r="C329">
        <v>0</v>
      </c>
      <c r="D329">
        <v>2</v>
      </c>
      <c r="E329">
        <v>700000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4</v>
      </c>
      <c r="BC329" s="1">
        <v>1400000</v>
      </c>
      <c r="BD329" t="s">
        <v>74</v>
      </c>
      <c r="BE329" t="s">
        <v>210</v>
      </c>
      <c r="BF329" t="s">
        <v>211</v>
      </c>
      <c r="BH329" t="s">
        <v>77</v>
      </c>
      <c r="BI329" t="s">
        <v>84</v>
      </c>
      <c r="BJ329" t="s">
        <v>79</v>
      </c>
      <c r="BM329">
        <v>0</v>
      </c>
      <c r="BN329">
        <v>1</v>
      </c>
      <c r="BO329">
        <v>1</v>
      </c>
      <c r="BP329" t="s">
        <v>80</v>
      </c>
      <c r="BR329">
        <v>0</v>
      </c>
      <c r="BS329">
        <v>6</v>
      </c>
      <c r="BU329" s="1">
        <v>700000</v>
      </c>
    </row>
    <row r="330" spans="1:73" x14ac:dyDescent="0.3">
      <c r="A330" t="s">
        <v>528</v>
      </c>
      <c r="B330">
        <v>0</v>
      </c>
      <c r="C330">
        <v>0</v>
      </c>
      <c r="D330">
        <v>1</v>
      </c>
      <c r="E330">
        <v>428571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 s="1">
        <v>857142</v>
      </c>
      <c r="BD330" t="s">
        <v>74</v>
      </c>
      <c r="BE330" t="s">
        <v>529</v>
      </c>
      <c r="BF330" t="s">
        <v>211</v>
      </c>
      <c r="BH330" t="s">
        <v>77</v>
      </c>
      <c r="BI330" t="s">
        <v>84</v>
      </c>
      <c r="BJ330" t="s">
        <v>79</v>
      </c>
      <c r="BM330">
        <v>0</v>
      </c>
      <c r="BN330">
        <v>1</v>
      </c>
      <c r="BO330">
        <v>1</v>
      </c>
      <c r="BP330" t="s">
        <v>80</v>
      </c>
      <c r="BR330">
        <v>0</v>
      </c>
      <c r="BS330">
        <v>6</v>
      </c>
      <c r="BU330" s="1">
        <v>428571</v>
      </c>
    </row>
    <row r="331" spans="1:73" x14ac:dyDescent="0.3">
      <c r="A331" t="s">
        <v>569</v>
      </c>
      <c r="B331">
        <v>0</v>
      </c>
      <c r="C331">
        <v>0</v>
      </c>
      <c r="D331">
        <v>2</v>
      </c>
      <c r="E331">
        <v>7542858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5</v>
      </c>
      <c r="BC331" s="1">
        <v>15257144</v>
      </c>
      <c r="BD331" t="s">
        <v>74</v>
      </c>
      <c r="BE331" t="s">
        <v>570</v>
      </c>
      <c r="BF331" t="s">
        <v>211</v>
      </c>
      <c r="BH331" t="s">
        <v>136</v>
      </c>
      <c r="BI331" t="s">
        <v>539</v>
      </c>
      <c r="BJ331" t="s">
        <v>125</v>
      </c>
      <c r="BM331">
        <v>0</v>
      </c>
      <c r="BN331">
        <v>1</v>
      </c>
      <c r="BO331">
        <v>1</v>
      </c>
      <c r="BP331" t="s">
        <v>80</v>
      </c>
      <c r="BR331">
        <v>0</v>
      </c>
      <c r="BS331">
        <v>5</v>
      </c>
      <c r="BU331" s="1">
        <v>7542858</v>
      </c>
    </row>
    <row r="332" spans="1:73" x14ac:dyDescent="0.3">
      <c r="A332" t="s">
        <v>633</v>
      </c>
      <c r="B332">
        <v>0</v>
      </c>
      <c r="C332">
        <v>0</v>
      </c>
      <c r="D332">
        <v>5</v>
      </c>
      <c r="E332">
        <v>1728830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9</v>
      </c>
      <c r="BC332" s="1">
        <v>2917660</v>
      </c>
      <c r="BD332" t="s">
        <v>74</v>
      </c>
      <c r="BE332" t="s">
        <v>634</v>
      </c>
      <c r="BF332" t="s">
        <v>211</v>
      </c>
      <c r="BH332" t="s">
        <v>136</v>
      </c>
      <c r="BI332" t="s">
        <v>539</v>
      </c>
      <c r="BJ332" t="s">
        <v>125</v>
      </c>
      <c r="BM332">
        <v>0</v>
      </c>
      <c r="BN332">
        <v>1</v>
      </c>
      <c r="BO332">
        <v>1</v>
      </c>
      <c r="BP332" t="s">
        <v>80</v>
      </c>
      <c r="BR332">
        <v>0</v>
      </c>
      <c r="BS332">
        <v>6</v>
      </c>
      <c r="BU332" s="1">
        <v>1728830</v>
      </c>
    </row>
    <row r="333" spans="1:73" x14ac:dyDescent="0.3">
      <c r="A333" t="s">
        <v>684</v>
      </c>
      <c r="B333">
        <v>0</v>
      </c>
      <c r="C333">
        <v>0</v>
      </c>
      <c r="D333">
        <v>3</v>
      </c>
      <c r="E333">
        <v>2290000</v>
      </c>
      <c r="F333">
        <v>0</v>
      </c>
      <c r="G333">
        <v>0</v>
      </c>
      <c r="H333">
        <v>8</v>
      </c>
      <c r="I333">
        <v>90668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31666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12</v>
      </c>
      <c r="BC333" s="1">
        <v>4654000</v>
      </c>
      <c r="BD333" t="s">
        <v>74</v>
      </c>
      <c r="BE333" t="s">
        <v>685</v>
      </c>
      <c r="BF333" t="s">
        <v>686</v>
      </c>
      <c r="BH333" t="s">
        <v>77</v>
      </c>
      <c r="BI333" t="s">
        <v>84</v>
      </c>
      <c r="BJ333" t="s">
        <v>79</v>
      </c>
      <c r="BM333">
        <v>1</v>
      </c>
      <c r="BN333">
        <v>2</v>
      </c>
      <c r="BO333">
        <v>3</v>
      </c>
      <c r="BP333" t="s">
        <v>80</v>
      </c>
      <c r="BR333">
        <v>0</v>
      </c>
      <c r="BS333">
        <v>6</v>
      </c>
      <c r="BU333" s="1">
        <v>2412334</v>
      </c>
    </row>
    <row r="334" spans="1:73" x14ac:dyDescent="0.3">
      <c r="A334" t="s">
        <v>2314</v>
      </c>
      <c r="B334">
        <v>0</v>
      </c>
      <c r="C334">
        <v>0</v>
      </c>
      <c r="D334">
        <v>5</v>
      </c>
      <c r="E334">
        <v>967672</v>
      </c>
      <c r="F334">
        <v>0</v>
      </c>
      <c r="G334">
        <v>0</v>
      </c>
      <c r="H334">
        <v>8</v>
      </c>
      <c r="I334">
        <v>221058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10</v>
      </c>
      <c r="BC334" s="1">
        <v>1935344</v>
      </c>
      <c r="BD334" t="s">
        <v>74</v>
      </c>
      <c r="BE334" t="s">
        <v>2315</v>
      </c>
      <c r="BF334" t="s">
        <v>2316</v>
      </c>
      <c r="BH334" t="s">
        <v>77</v>
      </c>
      <c r="BI334" t="s">
        <v>84</v>
      </c>
      <c r="BJ334" t="s">
        <v>79</v>
      </c>
      <c r="BM334">
        <v>0</v>
      </c>
      <c r="BN334">
        <v>2</v>
      </c>
      <c r="BO334">
        <v>2</v>
      </c>
      <c r="BP334" t="s">
        <v>80</v>
      </c>
      <c r="BR334">
        <v>0</v>
      </c>
      <c r="BS334">
        <v>6</v>
      </c>
      <c r="BU334" s="1">
        <v>1188730</v>
      </c>
    </row>
    <row r="335" spans="1:73" x14ac:dyDescent="0.3">
      <c r="A335" t="s">
        <v>2744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78585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</v>
      </c>
      <c r="BC335" s="1">
        <v>157170</v>
      </c>
      <c r="BD335" t="s">
        <v>74</v>
      </c>
      <c r="BE335" t="s">
        <v>2745</v>
      </c>
      <c r="BF335" t="s">
        <v>2746</v>
      </c>
      <c r="BH335" t="s">
        <v>77</v>
      </c>
      <c r="BI335" t="s">
        <v>84</v>
      </c>
      <c r="BJ335" t="s">
        <v>79</v>
      </c>
      <c r="BM335">
        <v>1</v>
      </c>
      <c r="BN335">
        <v>0</v>
      </c>
      <c r="BO335">
        <v>1</v>
      </c>
      <c r="BP335" t="s">
        <v>80</v>
      </c>
      <c r="BR335">
        <v>0</v>
      </c>
      <c r="BS335">
        <v>6</v>
      </c>
      <c r="BU335" s="1">
        <v>78585</v>
      </c>
    </row>
    <row r="336" spans="1:73" x14ac:dyDescent="0.3">
      <c r="A336" t="s">
        <v>2938</v>
      </c>
      <c r="B336">
        <v>0</v>
      </c>
      <c r="C336">
        <v>0</v>
      </c>
      <c r="D336">
        <v>1</v>
      </c>
      <c r="E336">
        <v>168000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 s="1">
        <v>168000</v>
      </c>
      <c r="BD336" t="s">
        <v>74</v>
      </c>
      <c r="BE336" t="s">
        <v>2939</v>
      </c>
      <c r="BF336" t="s">
        <v>2940</v>
      </c>
      <c r="BH336" t="s">
        <v>77</v>
      </c>
      <c r="BI336" t="s">
        <v>129</v>
      </c>
      <c r="BJ336" t="s">
        <v>79</v>
      </c>
      <c r="BM336">
        <v>0</v>
      </c>
      <c r="BN336">
        <v>1</v>
      </c>
      <c r="BO336">
        <v>1</v>
      </c>
      <c r="BP336" t="s">
        <v>80</v>
      </c>
      <c r="BR336">
        <v>0</v>
      </c>
      <c r="BS336">
        <v>6</v>
      </c>
      <c r="BU336" s="1">
        <v>168000</v>
      </c>
    </row>
    <row r="337" spans="1:73" x14ac:dyDescent="0.3">
      <c r="A337" t="s">
        <v>2858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73535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</v>
      </c>
      <c r="BC337" s="1">
        <v>147070</v>
      </c>
      <c r="BD337" t="s">
        <v>74</v>
      </c>
      <c r="BE337" t="s">
        <v>2859</v>
      </c>
      <c r="BF337" t="s">
        <v>2860</v>
      </c>
      <c r="BH337" t="s">
        <v>77</v>
      </c>
      <c r="BI337" t="s">
        <v>78</v>
      </c>
      <c r="BJ337" t="s">
        <v>79</v>
      </c>
      <c r="BM337">
        <v>1</v>
      </c>
      <c r="BN337">
        <v>0</v>
      </c>
      <c r="BO337">
        <v>1</v>
      </c>
      <c r="BP337" t="s">
        <v>80</v>
      </c>
      <c r="BR337">
        <v>0</v>
      </c>
      <c r="BS337">
        <v>6</v>
      </c>
      <c r="BU337" s="1">
        <v>73535</v>
      </c>
    </row>
    <row r="338" spans="1:73" x14ac:dyDescent="0.3">
      <c r="A338" t="s">
        <v>5009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78585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 s="1">
        <v>78585</v>
      </c>
      <c r="BD338" t="s">
        <v>74</v>
      </c>
      <c r="BE338" t="s">
        <v>5010</v>
      </c>
      <c r="BF338" t="s">
        <v>5011</v>
      </c>
      <c r="BH338" t="s">
        <v>77</v>
      </c>
      <c r="BI338" t="s">
        <v>92</v>
      </c>
      <c r="BJ338" t="s">
        <v>79</v>
      </c>
      <c r="BM338">
        <v>1</v>
      </c>
      <c r="BN338">
        <v>0</v>
      </c>
      <c r="BO338">
        <v>1</v>
      </c>
      <c r="BP338" t="s">
        <v>80</v>
      </c>
      <c r="BR338">
        <v>0</v>
      </c>
      <c r="BS338">
        <v>0</v>
      </c>
      <c r="BU338" s="1">
        <v>78585</v>
      </c>
    </row>
    <row r="339" spans="1:73" x14ac:dyDescent="0.3">
      <c r="A339" t="s">
        <v>3998</v>
      </c>
      <c r="B339">
        <v>0</v>
      </c>
      <c r="C339">
        <v>0</v>
      </c>
      <c r="D339">
        <v>1</v>
      </c>
      <c r="E339">
        <v>192000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 s="1">
        <v>192000</v>
      </c>
      <c r="BD339" t="s">
        <v>74</v>
      </c>
      <c r="BE339" t="s">
        <v>3999</v>
      </c>
      <c r="BF339" t="s">
        <v>4000</v>
      </c>
      <c r="BH339" t="s">
        <v>77</v>
      </c>
      <c r="BI339" t="s">
        <v>739</v>
      </c>
      <c r="BJ339" t="s">
        <v>79</v>
      </c>
      <c r="BM339">
        <v>0</v>
      </c>
      <c r="BN339">
        <v>1</v>
      </c>
      <c r="BO339">
        <v>1</v>
      </c>
      <c r="BP339" t="s">
        <v>80</v>
      </c>
      <c r="BR339">
        <v>0</v>
      </c>
      <c r="BS339">
        <v>6</v>
      </c>
      <c r="BU339" s="1">
        <v>192000</v>
      </c>
    </row>
    <row r="340" spans="1:73" x14ac:dyDescent="0.3">
      <c r="A340" t="s">
        <v>218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20000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 s="1">
        <v>20000</v>
      </c>
      <c r="BD340" t="s">
        <v>74</v>
      </c>
      <c r="BE340" t="s">
        <v>219</v>
      </c>
      <c r="BF340" t="s">
        <v>220</v>
      </c>
      <c r="BH340" t="s">
        <v>114</v>
      </c>
      <c r="BI340" t="s">
        <v>221</v>
      </c>
      <c r="BJ340" t="s">
        <v>79</v>
      </c>
      <c r="BM340">
        <v>0</v>
      </c>
      <c r="BN340">
        <v>1</v>
      </c>
      <c r="BO340">
        <v>1</v>
      </c>
      <c r="BP340" t="s">
        <v>99</v>
      </c>
      <c r="BR340">
        <v>0</v>
      </c>
      <c r="BS340">
        <v>6</v>
      </c>
      <c r="BU340" s="1">
        <v>20000</v>
      </c>
    </row>
    <row r="341" spans="1:73" x14ac:dyDescent="0.3">
      <c r="A341" t="s">
        <v>4867</v>
      </c>
      <c r="B341">
        <v>0</v>
      </c>
      <c r="C341">
        <v>0</v>
      </c>
      <c r="D341">
        <v>2</v>
      </c>
      <c r="E341">
        <v>290000</v>
      </c>
      <c r="F341">
        <v>0</v>
      </c>
      <c r="G341">
        <v>0</v>
      </c>
      <c r="H341">
        <v>2</v>
      </c>
      <c r="I341">
        <v>40000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4</v>
      </c>
      <c r="BC341" s="1">
        <v>580000</v>
      </c>
      <c r="BD341" t="s">
        <v>74</v>
      </c>
      <c r="BE341" t="s">
        <v>4868</v>
      </c>
      <c r="BF341" t="s">
        <v>4869</v>
      </c>
      <c r="BH341" t="s">
        <v>77</v>
      </c>
      <c r="BI341" t="s">
        <v>78</v>
      </c>
      <c r="BJ341" t="s">
        <v>79</v>
      </c>
      <c r="BM341">
        <v>0</v>
      </c>
      <c r="BN341">
        <v>2</v>
      </c>
      <c r="BO341">
        <v>2</v>
      </c>
      <c r="BP341" t="s">
        <v>80</v>
      </c>
      <c r="BR341">
        <v>0</v>
      </c>
      <c r="BS341">
        <v>6</v>
      </c>
      <c r="BU341" s="1">
        <v>330000</v>
      </c>
    </row>
    <row r="342" spans="1:73" x14ac:dyDescent="0.3">
      <c r="A342" t="s">
        <v>2078</v>
      </c>
      <c r="B342">
        <v>2</v>
      </c>
      <c r="C342">
        <v>100031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 s="1">
        <v>100031</v>
      </c>
      <c r="BD342" t="s">
        <v>74</v>
      </c>
      <c r="BE342" t="s">
        <v>2079</v>
      </c>
      <c r="BF342" t="s">
        <v>2080</v>
      </c>
      <c r="BH342" t="s">
        <v>77</v>
      </c>
      <c r="BI342" t="s">
        <v>593</v>
      </c>
      <c r="BJ342" t="s">
        <v>79</v>
      </c>
      <c r="BM342">
        <v>0</v>
      </c>
      <c r="BN342">
        <v>1</v>
      </c>
      <c r="BO342">
        <v>1</v>
      </c>
      <c r="BP342" t="s">
        <v>80</v>
      </c>
      <c r="BR342">
        <v>0</v>
      </c>
      <c r="BS342">
        <v>6</v>
      </c>
      <c r="BU342" s="1">
        <v>100031</v>
      </c>
    </row>
    <row r="343" spans="1:73" x14ac:dyDescent="0.3">
      <c r="A343" t="s">
        <v>4747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73535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</v>
      </c>
      <c r="BC343" s="1">
        <v>147070</v>
      </c>
      <c r="BD343" t="s">
        <v>74</v>
      </c>
      <c r="BE343" t="s">
        <v>4748</v>
      </c>
      <c r="BF343" t="s">
        <v>4749</v>
      </c>
      <c r="BH343" t="s">
        <v>77</v>
      </c>
      <c r="BI343" t="s">
        <v>92</v>
      </c>
      <c r="BJ343" t="s">
        <v>79</v>
      </c>
      <c r="BM343">
        <v>1</v>
      </c>
      <c r="BN343">
        <v>0</v>
      </c>
      <c r="BO343">
        <v>1</v>
      </c>
      <c r="BP343" t="s">
        <v>80</v>
      </c>
      <c r="BR343">
        <v>0</v>
      </c>
      <c r="BS343">
        <v>0</v>
      </c>
      <c r="BU343" s="1">
        <v>73535</v>
      </c>
    </row>
    <row r="344" spans="1:73" x14ac:dyDescent="0.3">
      <c r="A344" t="s">
        <v>4019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73535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2</v>
      </c>
      <c r="BC344" s="1">
        <v>147070</v>
      </c>
      <c r="BD344" t="s">
        <v>74</v>
      </c>
      <c r="BE344" t="s">
        <v>4020</v>
      </c>
      <c r="BF344" t="s">
        <v>4021</v>
      </c>
      <c r="BH344" t="s">
        <v>77</v>
      </c>
      <c r="BI344" t="s">
        <v>92</v>
      </c>
      <c r="BJ344" t="s">
        <v>79</v>
      </c>
      <c r="BM344">
        <v>1</v>
      </c>
      <c r="BN344">
        <v>0</v>
      </c>
      <c r="BO344">
        <v>1</v>
      </c>
      <c r="BP344" t="s">
        <v>80</v>
      </c>
      <c r="BR344">
        <v>0</v>
      </c>
      <c r="BS344">
        <v>6</v>
      </c>
      <c r="BU344" s="1">
        <v>73535</v>
      </c>
    </row>
    <row r="345" spans="1:73" x14ac:dyDescent="0.3">
      <c r="A345" t="s">
        <v>5050</v>
      </c>
      <c r="B345">
        <v>1</v>
      </c>
      <c r="C345">
        <v>210273</v>
      </c>
      <c r="D345">
        <v>1</v>
      </c>
      <c r="E345">
        <v>163636</v>
      </c>
      <c r="F345">
        <v>0</v>
      </c>
      <c r="G345">
        <v>0</v>
      </c>
      <c r="H345">
        <v>1</v>
      </c>
      <c r="I345">
        <v>20667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</v>
      </c>
      <c r="BC345" s="1">
        <v>394576</v>
      </c>
      <c r="BD345" t="s">
        <v>74</v>
      </c>
      <c r="BE345" t="s">
        <v>5051</v>
      </c>
      <c r="BF345" t="s">
        <v>5052</v>
      </c>
      <c r="BH345" t="s">
        <v>77</v>
      </c>
      <c r="BI345" t="s">
        <v>92</v>
      </c>
      <c r="BJ345" t="s">
        <v>79</v>
      </c>
      <c r="BM345">
        <v>0</v>
      </c>
      <c r="BN345">
        <v>3</v>
      </c>
      <c r="BO345">
        <v>3</v>
      </c>
      <c r="BP345" t="s">
        <v>80</v>
      </c>
      <c r="BR345">
        <v>0</v>
      </c>
      <c r="BS345">
        <v>6</v>
      </c>
      <c r="BU345" s="1">
        <v>394576</v>
      </c>
    </row>
    <row r="346" spans="1:73" x14ac:dyDescent="0.3">
      <c r="A346" t="s">
        <v>4744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73535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</v>
      </c>
      <c r="BC346" s="1">
        <v>147070</v>
      </c>
      <c r="BD346" t="s">
        <v>74</v>
      </c>
      <c r="BE346" t="s">
        <v>4745</v>
      </c>
      <c r="BF346" t="s">
        <v>4746</v>
      </c>
      <c r="BH346" t="s">
        <v>77</v>
      </c>
      <c r="BI346" t="s">
        <v>92</v>
      </c>
      <c r="BJ346" t="s">
        <v>79</v>
      </c>
      <c r="BM346">
        <v>1</v>
      </c>
      <c r="BN346">
        <v>0</v>
      </c>
      <c r="BO346">
        <v>1</v>
      </c>
      <c r="BP346" t="s">
        <v>80</v>
      </c>
      <c r="BR346">
        <v>0</v>
      </c>
      <c r="BS346">
        <v>6</v>
      </c>
      <c r="BU346" s="1">
        <v>73535</v>
      </c>
    </row>
    <row r="347" spans="1:73" x14ac:dyDescent="0.3">
      <c r="A347" t="s">
        <v>2375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82993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</v>
      </c>
      <c r="BC347" s="1">
        <v>165986</v>
      </c>
      <c r="BD347" t="s">
        <v>74</v>
      </c>
      <c r="BE347" t="s">
        <v>2376</v>
      </c>
      <c r="BF347" t="s">
        <v>2377</v>
      </c>
      <c r="BH347" t="s">
        <v>77</v>
      </c>
      <c r="BI347" t="s">
        <v>92</v>
      </c>
      <c r="BJ347" t="s">
        <v>79</v>
      </c>
      <c r="BM347">
        <v>1</v>
      </c>
      <c r="BN347">
        <v>0</v>
      </c>
      <c r="BO347">
        <v>1</v>
      </c>
      <c r="BP347" t="s">
        <v>80</v>
      </c>
      <c r="BR347">
        <v>0</v>
      </c>
      <c r="BS347">
        <v>6</v>
      </c>
      <c r="BU347" s="1">
        <v>82993</v>
      </c>
    </row>
    <row r="348" spans="1:73" x14ac:dyDescent="0.3">
      <c r="A348" t="s">
        <v>2819</v>
      </c>
      <c r="B348">
        <v>0</v>
      </c>
      <c r="C348">
        <v>0</v>
      </c>
      <c r="D348">
        <v>3</v>
      </c>
      <c r="E348">
        <v>329454</v>
      </c>
      <c r="F348">
        <v>0</v>
      </c>
      <c r="G348">
        <v>0</v>
      </c>
      <c r="H348">
        <v>11</v>
      </c>
      <c r="I348">
        <v>819598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14</v>
      </c>
      <c r="BC348" s="1">
        <v>1257598</v>
      </c>
      <c r="BD348" t="s">
        <v>74</v>
      </c>
      <c r="BE348" t="s">
        <v>2820</v>
      </c>
      <c r="BF348" t="s">
        <v>2821</v>
      </c>
      <c r="BH348" t="s">
        <v>77</v>
      </c>
      <c r="BI348" t="s">
        <v>204</v>
      </c>
      <c r="BJ348" t="s">
        <v>79</v>
      </c>
      <c r="BM348">
        <v>0</v>
      </c>
      <c r="BN348">
        <v>2</v>
      </c>
      <c r="BO348">
        <v>2</v>
      </c>
      <c r="BP348" t="s">
        <v>514</v>
      </c>
      <c r="BR348">
        <v>0</v>
      </c>
      <c r="BS348">
        <v>6</v>
      </c>
      <c r="BU348" s="1">
        <v>1149052</v>
      </c>
    </row>
    <row r="349" spans="1:73" x14ac:dyDescent="0.3">
      <c r="A349" t="s">
        <v>3478</v>
      </c>
      <c r="B349">
        <v>0</v>
      </c>
      <c r="C349">
        <v>0</v>
      </c>
      <c r="D349">
        <v>2</v>
      </c>
      <c r="E349">
        <v>170000</v>
      </c>
      <c r="F349">
        <v>0</v>
      </c>
      <c r="G349">
        <v>0</v>
      </c>
      <c r="H349">
        <v>2</v>
      </c>
      <c r="I349">
        <v>40000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73535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6</v>
      </c>
      <c r="BC349" s="1">
        <v>487070</v>
      </c>
      <c r="BD349" t="s">
        <v>74</v>
      </c>
      <c r="BE349" t="s">
        <v>3479</v>
      </c>
      <c r="BF349" t="s">
        <v>3480</v>
      </c>
      <c r="BH349" t="s">
        <v>77</v>
      </c>
      <c r="BI349" t="s">
        <v>593</v>
      </c>
      <c r="BJ349" t="s">
        <v>79</v>
      </c>
      <c r="BM349">
        <v>1</v>
      </c>
      <c r="BN349">
        <v>2</v>
      </c>
      <c r="BO349">
        <v>3</v>
      </c>
      <c r="BP349" t="s">
        <v>514</v>
      </c>
      <c r="BR349">
        <v>0</v>
      </c>
      <c r="BS349">
        <v>6</v>
      </c>
      <c r="BU349" s="1">
        <v>283535</v>
      </c>
    </row>
    <row r="350" spans="1:73" x14ac:dyDescent="0.3">
      <c r="A350" t="s">
        <v>334</v>
      </c>
      <c r="B350">
        <v>0</v>
      </c>
      <c r="C350">
        <v>0</v>
      </c>
      <c r="D350">
        <v>1</v>
      </c>
      <c r="E350">
        <v>168000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 s="1">
        <v>168000</v>
      </c>
      <c r="BD350" t="s">
        <v>74</v>
      </c>
      <c r="BE350" t="s">
        <v>335</v>
      </c>
      <c r="BF350" t="s">
        <v>336</v>
      </c>
      <c r="BH350" t="s">
        <v>77</v>
      </c>
      <c r="BI350" t="s">
        <v>204</v>
      </c>
      <c r="BJ350" t="s">
        <v>79</v>
      </c>
      <c r="BM350">
        <v>0</v>
      </c>
      <c r="BN350">
        <v>1</v>
      </c>
      <c r="BO350">
        <v>1</v>
      </c>
      <c r="BP350" t="s">
        <v>80</v>
      </c>
      <c r="BR350">
        <v>0</v>
      </c>
      <c r="BS350">
        <v>6</v>
      </c>
      <c r="BU350" s="1">
        <v>168000</v>
      </c>
    </row>
    <row r="351" spans="1:73" x14ac:dyDescent="0.3">
      <c r="A351" t="s">
        <v>3919</v>
      </c>
      <c r="B351">
        <v>0</v>
      </c>
      <c r="C351">
        <v>0</v>
      </c>
      <c r="D351">
        <v>1</v>
      </c>
      <c r="E351">
        <v>202182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</v>
      </c>
      <c r="BC351" s="1">
        <v>404364</v>
      </c>
      <c r="BD351" t="s">
        <v>74</v>
      </c>
      <c r="BE351" t="s">
        <v>3920</v>
      </c>
      <c r="BF351" t="s">
        <v>3921</v>
      </c>
      <c r="BH351" t="s">
        <v>77</v>
      </c>
      <c r="BI351" t="s">
        <v>204</v>
      </c>
      <c r="BJ351" t="s">
        <v>79</v>
      </c>
      <c r="BM351">
        <v>0</v>
      </c>
      <c r="BN351">
        <v>1</v>
      </c>
      <c r="BO351">
        <v>1</v>
      </c>
      <c r="BP351" t="s">
        <v>80</v>
      </c>
      <c r="BR351">
        <v>0</v>
      </c>
      <c r="BS351">
        <v>6</v>
      </c>
      <c r="BU351" s="1">
        <v>202182</v>
      </c>
    </row>
    <row r="352" spans="1:73" x14ac:dyDescent="0.3">
      <c r="A352" t="s">
        <v>974</v>
      </c>
      <c r="B352">
        <v>0</v>
      </c>
      <c r="C352">
        <v>0</v>
      </c>
      <c r="D352">
        <v>1</v>
      </c>
      <c r="E352">
        <v>500000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 s="1">
        <v>500000</v>
      </c>
      <c r="BD352" t="s">
        <v>74</v>
      </c>
      <c r="BE352" t="s">
        <v>975</v>
      </c>
      <c r="BF352" t="s">
        <v>976</v>
      </c>
      <c r="BH352" t="s">
        <v>77</v>
      </c>
      <c r="BI352" t="s">
        <v>593</v>
      </c>
      <c r="BJ352" t="s">
        <v>79</v>
      </c>
      <c r="BM352">
        <v>0</v>
      </c>
      <c r="BN352">
        <v>1</v>
      </c>
      <c r="BO352">
        <v>1</v>
      </c>
      <c r="BP352" t="s">
        <v>80</v>
      </c>
      <c r="BR352">
        <v>0</v>
      </c>
      <c r="BS352">
        <v>6</v>
      </c>
      <c r="BU352" s="1">
        <v>500000</v>
      </c>
    </row>
    <row r="353" spans="1:73" x14ac:dyDescent="0.3">
      <c r="A353" t="s">
        <v>2716</v>
      </c>
      <c r="B353">
        <v>8</v>
      </c>
      <c r="C353">
        <v>2249938</v>
      </c>
      <c r="D353">
        <v>3</v>
      </c>
      <c r="E353">
        <v>406182</v>
      </c>
      <c r="F353">
        <v>0</v>
      </c>
      <c r="G353">
        <v>0</v>
      </c>
      <c r="H353">
        <v>4</v>
      </c>
      <c r="I353">
        <v>132364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14</v>
      </c>
      <c r="BC353" s="1">
        <v>3062302</v>
      </c>
      <c r="BD353" t="s">
        <v>74</v>
      </c>
      <c r="BE353" t="s">
        <v>2717</v>
      </c>
      <c r="BF353" t="s">
        <v>2718</v>
      </c>
      <c r="BH353" t="s">
        <v>77</v>
      </c>
      <c r="BI353" t="s">
        <v>92</v>
      </c>
      <c r="BJ353" t="s">
        <v>79</v>
      </c>
      <c r="BM353">
        <v>0</v>
      </c>
      <c r="BN353">
        <v>3</v>
      </c>
      <c r="BO353">
        <v>3</v>
      </c>
      <c r="BP353" t="s">
        <v>80</v>
      </c>
      <c r="BR353">
        <v>0</v>
      </c>
      <c r="BS353">
        <v>6</v>
      </c>
      <c r="BU353" s="1">
        <v>2788484</v>
      </c>
    </row>
    <row r="354" spans="1:73" x14ac:dyDescent="0.3">
      <c r="A354" t="s">
        <v>2670</v>
      </c>
      <c r="B354">
        <v>0</v>
      </c>
      <c r="C354">
        <v>0</v>
      </c>
      <c r="D354">
        <v>2</v>
      </c>
      <c r="E354">
        <v>1236364</v>
      </c>
      <c r="F354">
        <v>0</v>
      </c>
      <c r="G354">
        <v>0</v>
      </c>
      <c r="H354">
        <v>17</v>
      </c>
      <c r="I354">
        <v>350000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21</v>
      </c>
      <c r="BC354" s="1">
        <v>2822728</v>
      </c>
      <c r="BD354" t="s">
        <v>74</v>
      </c>
      <c r="BE354" t="s">
        <v>2671</v>
      </c>
      <c r="BF354" t="s">
        <v>2672</v>
      </c>
      <c r="BH354" t="s">
        <v>77</v>
      </c>
      <c r="BI354" t="s">
        <v>204</v>
      </c>
      <c r="BJ354" t="s">
        <v>79</v>
      </c>
      <c r="BM354">
        <v>0</v>
      </c>
      <c r="BN354">
        <v>2</v>
      </c>
      <c r="BO354">
        <v>2</v>
      </c>
      <c r="BP354" t="s">
        <v>514</v>
      </c>
      <c r="BR354">
        <v>0</v>
      </c>
      <c r="BS354">
        <v>6</v>
      </c>
      <c r="BU354" s="1">
        <v>1586364</v>
      </c>
    </row>
    <row r="355" spans="1:73" x14ac:dyDescent="0.3">
      <c r="A355" t="s">
        <v>5439</v>
      </c>
      <c r="B355">
        <v>0</v>
      </c>
      <c r="C355">
        <v>0</v>
      </c>
      <c r="D355">
        <v>2</v>
      </c>
      <c r="E355">
        <v>376000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4</v>
      </c>
      <c r="BC355" s="1">
        <v>752000</v>
      </c>
      <c r="BD355" t="s">
        <v>74</v>
      </c>
      <c r="BE355" t="s">
        <v>5440</v>
      </c>
      <c r="BF355" t="s">
        <v>5441</v>
      </c>
      <c r="BH355" t="s">
        <v>77</v>
      </c>
      <c r="BI355" t="s">
        <v>204</v>
      </c>
      <c r="BJ355" t="s">
        <v>79</v>
      </c>
      <c r="BM355">
        <v>0</v>
      </c>
      <c r="BN355">
        <v>1</v>
      </c>
      <c r="BO355">
        <v>1</v>
      </c>
      <c r="BP355" t="s">
        <v>80</v>
      </c>
      <c r="BR355">
        <v>0</v>
      </c>
      <c r="BS355">
        <v>6</v>
      </c>
      <c r="BU355" s="1">
        <v>376000</v>
      </c>
    </row>
    <row r="356" spans="1:73" x14ac:dyDescent="0.3">
      <c r="A356" t="s">
        <v>5045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78585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</v>
      </c>
      <c r="BC356" s="1">
        <v>157170</v>
      </c>
      <c r="BD356" t="s">
        <v>74</v>
      </c>
      <c r="BE356" t="s">
        <v>5046</v>
      </c>
      <c r="BF356" t="s">
        <v>5047</v>
      </c>
      <c r="BH356" t="s">
        <v>77</v>
      </c>
      <c r="BI356" t="s">
        <v>204</v>
      </c>
      <c r="BJ356" t="s">
        <v>79</v>
      </c>
      <c r="BM356">
        <v>1</v>
      </c>
      <c r="BN356">
        <v>0</v>
      </c>
      <c r="BO356">
        <v>1</v>
      </c>
      <c r="BP356" t="s">
        <v>80</v>
      </c>
      <c r="BR356">
        <v>0</v>
      </c>
      <c r="BS356">
        <v>6</v>
      </c>
      <c r="BU356" s="1">
        <v>78585</v>
      </c>
    </row>
    <row r="357" spans="1:73" x14ac:dyDescent="0.3">
      <c r="A357" t="s">
        <v>5461</v>
      </c>
      <c r="B357">
        <v>0</v>
      </c>
      <c r="C357">
        <v>0</v>
      </c>
      <c r="D357">
        <v>1</v>
      </c>
      <c r="E357">
        <v>274285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 s="1">
        <v>274285</v>
      </c>
      <c r="BD357" t="s">
        <v>74</v>
      </c>
      <c r="BE357" t="s">
        <v>5462</v>
      </c>
      <c r="BF357" t="s">
        <v>5463</v>
      </c>
      <c r="BH357" t="s">
        <v>77</v>
      </c>
      <c r="BI357" t="s">
        <v>281</v>
      </c>
      <c r="BJ357" t="s">
        <v>79</v>
      </c>
      <c r="BM357">
        <v>0</v>
      </c>
      <c r="BN357">
        <v>1</v>
      </c>
      <c r="BO357">
        <v>1</v>
      </c>
      <c r="BP357" t="s">
        <v>80</v>
      </c>
      <c r="BR357">
        <v>0</v>
      </c>
      <c r="BS357">
        <v>6</v>
      </c>
      <c r="BU357" s="1">
        <v>274285</v>
      </c>
    </row>
    <row r="358" spans="1:73" x14ac:dyDescent="0.3">
      <c r="A358" t="s">
        <v>5356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96439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 s="1">
        <v>96439</v>
      </c>
      <c r="BD358" t="s">
        <v>74</v>
      </c>
      <c r="BE358" t="s">
        <v>5357</v>
      </c>
      <c r="BF358" t="s">
        <v>5358</v>
      </c>
      <c r="BH358" t="s">
        <v>77</v>
      </c>
      <c r="BI358" t="s">
        <v>204</v>
      </c>
      <c r="BJ358" t="s">
        <v>79</v>
      </c>
      <c r="BM358">
        <v>1</v>
      </c>
      <c r="BN358">
        <v>0</v>
      </c>
      <c r="BO358">
        <v>1</v>
      </c>
      <c r="BP358" t="s">
        <v>80</v>
      </c>
      <c r="BR358">
        <v>0</v>
      </c>
      <c r="BS358">
        <v>6</v>
      </c>
      <c r="BU358" s="1">
        <v>96439</v>
      </c>
    </row>
    <row r="359" spans="1:73" x14ac:dyDescent="0.3">
      <c r="A359" t="s">
        <v>590</v>
      </c>
      <c r="B359">
        <v>0</v>
      </c>
      <c r="C359">
        <v>0</v>
      </c>
      <c r="D359">
        <v>1</v>
      </c>
      <c r="E359">
        <v>240000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 s="1">
        <v>480000</v>
      </c>
      <c r="BD359" t="s">
        <v>74</v>
      </c>
      <c r="BE359" t="s">
        <v>591</v>
      </c>
      <c r="BF359" t="s">
        <v>592</v>
      </c>
      <c r="BH359" t="s">
        <v>77</v>
      </c>
      <c r="BI359" t="s">
        <v>593</v>
      </c>
      <c r="BJ359" t="s">
        <v>79</v>
      </c>
      <c r="BM359">
        <v>0</v>
      </c>
      <c r="BN359">
        <v>1</v>
      </c>
      <c r="BO359">
        <v>1</v>
      </c>
      <c r="BP359" t="s">
        <v>80</v>
      </c>
      <c r="BR359">
        <v>0</v>
      </c>
      <c r="BS359">
        <v>6</v>
      </c>
      <c r="BU359" s="1">
        <v>240000</v>
      </c>
    </row>
    <row r="360" spans="1:73" x14ac:dyDescent="0.3">
      <c r="A360" t="s">
        <v>1962</v>
      </c>
      <c r="B360">
        <v>1</v>
      </c>
      <c r="C360">
        <v>473071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 s="1">
        <v>473071</v>
      </c>
      <c r="BD360" t="s">
        <v>74</v>
      </c>
      <c r="BE360" t="s">
        <v>1963</v>
      </c>
      <c r="BF360" t="s">
        <v>1964</v>
      </c>
      <c r="BH360" t="s">
        <v>1965</v>
      </c>
      <c r="BI360" t="s">
        <v>1966</v>
      </c>
      <c r="BJ360" t="s">
        <v>79</v>
      </c>
      <c r="BM360">
        <v>0</v>
      </c>
      <c r="BN360">
        <v>1</v>
      </c>
      <c r="BO360">
        <v>1</v>
      </c>
      <c r="BP360" t="s">
        <v>80</v>
      </c>
      <c r="BR360">
        <v>0</v>
      </c>
      <c r="BS360">
        <v>6</v>
      </c>
      <c r="BU360" s="1">
        <v>473071</v>
      </c>
    </row>
    <row r="361" spans="1:73" x14ac:dyDescent="0.3">
      <c r="A361" t="s">
        <v>1108</v>
      </c>
      <c r="B361">
        <v>1</v>
      </c>
      <c r="C361">
        <v>208348</v>
      </c>
      <c r="D361">
        <v>3</v>
      </c>
      <c r="E361">
        <v>270000</v>
      </c>
      <c r="F361">
        <v>0</v>
      </c>
      <c r="G361">
        <v>0</v>
      </c>
      <c r="H361">
        <v>4</v>
      </c>
      <c r="I361">
        <v>80000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7</v>
      </c>
      <c r="BC361" s="1">
        <v>748348</v>
      </c>
      <c r="BD361" t="s">
        <v>74</v>
      </c>
      <c r="BE361" t="s">
        <v>1109</v>
      </c>
      <c r="BF361" t="s">
        <v>1110</v>
      </c>
      <c r="BH361" t="s">
        <v>136</v>
      </c>
      <c r="BI361" t="s">
        <v>439</v>
      </c>
      <c r="BJ361" t="s">
        <v>125</v>
      </c>
      <c r="BM361">
        <v>0</v>
      </c>
      <c r="BN361">
        <v>3</v>
      </c>
      <c r="BO361">
        <v>3</v>
      </c>
      <c r="BP361" t="s">
        <v>80</v>
      </c>
      <c r="BR361">
        <v>0</v>
      </c>
      <c r="BS361">
        <v>6</v>
      </c>
      <c r="BU361" s="1">
        <v>558348</v>
      </c>
    </row>
    <row r="362" spans="1:73" x14ac:dyDescent="0.3">
      <c r="A362" t="s">
        <v>5170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96439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</v>
      </c>
      <c r="BC362" s="1">
        <v>175024</v>
      </c>
      <c r="BD362" t="s">
        <v>74</v>
      </c>
      <c r="BE362" t="s">
        <v>5171</v>
      </c>
      <c r="BF362" t="s">
        <v>5172</v>
      </c>
      <c r="BH362" t="s">
        <v>77</v>
      </c>
      <c r="BI362" t="s">
        <v>204</v>
      </c>
      <c r="BJ362" t="s">
        <v>79</v>
      </c>
      <c r="BM362">
        <v>1</v>
      </c>
      <c r="BN362">
        <v>0</v>
      </c>
      <c r="BO362">
        <v>1</v>
      </c>
      <c r="BP362" t="s">
        <v>80</v>
      </c>
      <c r="BR362">
        <v>0</v>
      </c>
      <c r="BS362">
        <v>6</v>
      </c>
      <c r="BU362" s="1">
        <v>96439</v>
      </c>
    </row>
    <row r="363" spans="1:73" x14ac:dyDescent="0.3">
      <c r="A363" t="s">
        <v>1041</v>
      </c>
      <c r="B363">
        <v>0</v>
      </c>
      <c r="C363">
        <v>0</v>
      </c>
      <c r="D363">
        <v>1</v>
      </c>
      <c r="E363">
        <v>240000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</v>
      </c>
      <c r="BC363" s="1">
        <v>480000</v>
      </c>
      <c r="BD363" t="s">
        <v>74</v>
      </c>
      <c r="BE363" t="s">
        <v>1042</v>
      </c>
      <c r="BF363" t="s">
        <v>1043</v>
      </c>
      <c r="BH363" t="s">
        <v>136</v>
      </c>
      <c r="BI363" t="s">
        <v>191</v>
      </c>
      <c r="BJ363" t="s">
        <v>125</v>
      </c>
      <c r="BM363">
        <v>0</v>
      </c>
      <c r="BN363">
        <v>1</v>
      </c>
      <c r="BO363">
        <v>1</v>
      </c>
      <c r="BP363" t="s">
        <v>80</v>
      </c>
      <c r="BR363">
        <v>0</v>
      </c>
      <c r="BS363">
        <v>6</v>
      </c>
      <c r="BU363" s="1">
        <v>240000</v>
      </c>
    </row>
    <row r="364" spans="1:73" x14ac:dyDescent="0.3">
      <c r="A364" t="s">
        <v>5325</v>
      </c>
      <c r="B364">
        <v>0</v>
      </c>
      <c r="C364">
        <v>0</v>
      </c>
      <c r="D364">
        <v>2</v>
      </c>
      <c r="E364">
        <v>320681</v>
      </c>
      <c r="F364">
        <v>0</v>
      </c>
      <c r="G364">
        <v>0</v>
      </c>
      <c r="H364">
        <v>2</v>
      </c>
      <c r="I364">
        <v>65362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4</v>
      </c>
      <c r="BC364" s="1">
        <v>641362</v>
      </c>
      <c r="BD364" t="s">
        <v>74</v>
      </c>
      <c r="BE364" t="s">
        <v>5326</v>
      </c>
      <c r="BF364" t="s">
        <v>5327</v>
      </c>
      <c r="BH364" t="s">
        <v>77</v>
      </c>
      <c r="BI364" t="s">
        <v>574</v>
      </c>
      <c r="BJ364" t="s">
        <v>79</v>
      </c>
      <c r="BM364">
        <v>0</v>
      </c>
      <c r="BN364">
        <v>2</v>
      </c>
      <c r="BO364">
        <v>2</v>
      </c>
      <c r="BP364" t="s">
        <v>80</v>
      </c>
      <c r="BR364">
        <v>0</v>
      </c>
      <c r="BS364">
        <v>6</v>
      </c>
      <c r="BU364" s="1">
        <v>386043</v>
      </c>
    </row>
    <row r="365" spans="1:73" x14ac:dyDescent="0.3">
      <c r="A365" t="s">
        <v>3846</v>
      </c>
      <c r="B365">
        <v>0</v>
      </c>
      <c r="C365">
        <v>0</v>
      </c>
      <c r="D365">
        <v>3</v>
      </c>
      <c r="E365">
        <v>2111818</v>
      </c>
      <c r="F365">
        <v>0</v>
      </c>
      <c r="G365">
        <v>0</v>
      </c>
      <c r="H365">
        <v>8</v>
      </c>
      <c r="I365">
        <v>147896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11</v>
      </c>
      <c r="BC365" s="1">
        <v>2259714</v>
      </c>
      <c r="BD365" t="s">
        <v>74</v>
      </c>
      <c r="BE365" t="s">
        <v>3847</v>
      </c>
      <c r="BF365" t="s">
        <v>3848</v>
      </c>
      <c r="BH365" t="s">
        <v>77</v>
      </c>
      <c r="BI365" t="s">
        <v>574</v>
      </c>
      <c r="BJ365" t="s">
        <v>79</v>
      </c>
      <c r="BM365">
        <v>0</v>
      </c>
      <c r="BN365">
        <v>2</v>
      </c>
      <c r="BO365">
        <v>2</v>
      </c>
      <c r="BP365" t="s">
        <v>514</v>
      </c>
      <c r="BR365">
        <v>0</v>
      </c>
      <c r="BS365">
        <v>6</v>
      </c>
      <c r="BU365" s="1">
        <v>2259714</v>
      </c>
    </row>
    <row r="366" spans="1:73" x14ac:dyDescent="0.3">
      <c r="A366" t="s">
        <v>5737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73535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</v>
      </c>
      <c r="BC366" s="1">
        <v>147070</v>
      </c>
      <c r="BD366" t="s">
        <v>74</v>
      </c>
      <c r="BE366" t="s">
        <v>5738</v>
      </c>
      <c r="BF366" t="s">
        <v>5739</v>
      </c>
      <c r="BH366" t="s">
        <v>77</v>
      </c>
      <c r="BI366" t="s">
        <v>204</v>
      </c>
      <c r="BJ366" t="s">
        <v>79</v>
      </c>
      <c r="BM366">
        <v>1</v>
      </c>
      <c r="BN366">
        <v>0</v>
      </c>
      <c r="BO366">
        <v>1</v>
      </c>
      <c r="BP366" t="s">
        <v>80</v>
      </c>
      <c r="BR366">
        <v>0</v>
      </c>
      <c r="BS366">
        <v>0</v>
      </c>
      <c r="BU366" s="1">
        <v>73535</v>
      </c>
    </row>
    <row r="367" spans="1:73" x14ac:dyDescent="0.3">
      <c r="A367" t="s">
        <v>2899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73535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 s="1">
        <v>73535</v>
      </c>
      <c r="BD367" t="s">
        <v>74</v>
      </c>
      <c r="BE367" t="s">
        <v>2900</v>
      </c>
      <c r="BF367" t="s">
        <v>2901</v>
      </c>
      <c r="BH367" t="s">
        <v>77</v>
      </c>
      <c r="BI367" t="s">
        <v>204</v>
      </c>
      <c r="BJ367" t="s">
        <v>79</v>
      </c>
      <c r="BM367">
        <v>1</v>
      </c>
      <c r="BN367">
        <v>0</v>
      </c>
      <c r="BO367">
        <v>1</v>
      </c>
      <c r="BP367" t="s">
        <v>80</v>
      </c>
      <c r="BR367">
        <v>0</v>
      </c>
      <c r="BS367">
        <v>0</v>
      </c>
      <c r="BU367" s="1">
        <v>73535</v>
      </c>
    </row>
    <row r="368" spans="1:73" x14ac:dyDescent="0.3">
      <c r="A368" t="s">
        <v>2950</v>
      </c>
      <c r="B368">
        <v>0</v>
      </c>
      <c r="C368">
        <v>0</v>
      </c>
      <c r="D368">
        <v>1</v>
      </c>
      <c r="E368">
        <v>230000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73535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</v>
      </c>
      <c r="BC368" s="1">
        <v>613295</v>
      </c>
      <c r="BD368" t="s">
        <v>74</v>
      </c>
      <c r="BE368" t="s">
        <v>2951</v>
      </c>
      <c r="BF368" t="s">
        <v>2952</v>
      </c>
      <c r="BH368" t="s">
        <v>77</v>
      </c>
      <c r="BI368" t="s">
        <v>204</v>
      </c>
      <c r="BM368">
        <v>1</v>
      </c>
      <c r="BN368">
        <v>1</v>
      </c>
      <c r="BO368">
        <v>2</v>
      </c>
      <c r="BP368" t="s">
        <v>80</v>
      </c>
      <c r="BR368">
        <v>0</v>
      </c>
      <c r="BS368">
        <v>6</v>
      </c>
      <c r="BU368" s="1">
        <v>303535</v>
      </c>
    </row>
    <row r="369" spans="1:73" x14ac:dyDescent="0.3">
      <c r="A369" t="s">
        <v>2661</v>
      </c>
      <c r="B369">
        <v>0</v>
      </c>
      <c r="C369">
        <v>0</v>
      </c>
      <c r="D369">
        <v>1</v>
      </c>
      <c r="E369">
        <v>150000</v>
      </c>
      <c r="F369">
        <v>0</v>
      </c>
      <c r="G369">
        <v>0</v>
      </c>
      <c r="H369">
        <v>2</v>
      </c>
      <c r="I369">
        <v>178805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36111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6</v>
      </c>
      <c r="BC369" s="1">
        <v>451027</v>
      </c>
      <c r="BD369" t="s">
        <v>74</v>
      </c>
      <c r="BE369" t="s">
        <v>2662</v>
      </c>
      <c r="BF369" t="s">
        <v>2663</v>
      </c>
      <c r="BH369" t="s">
        <v>164</v>
      </c>
      <c r="BI369" t="s">
        <v>2664</v>
      </c>
      <c r="BJ369" t="s">
        <v>79</v>
      </c>
      <c r="BM369">
        <v>1</v>
      </c>
      <c r="BN369">
        <v>2</v>
      </c>
      <c r="BO369">
        <v>3</v>
      </c>
      <c r="BP369" t="s">
        <v>514</v>
      </c>
      <c r="BR369">
        <v>0</v>
      </c>
      <c r="BS369">
        <v>6</v>
      </c>
      <c r="BU369" s="1">
        <v>364916</v>
      </c>
    </row>
    <row r="370" spans="1:73" x14ac:dyDescent="0.3">
      <c r="A370" t="s">
        <v>2189</v>
      </c>
      <c r="B370">
        <v>0</v>
      </c>
      <c r="C370">
        <v>0</v>
      </c>
      <c r="D370">
        <v>2</v>
      </c>
      <c r="E370">
        <v>345454</v>
      </c>
      <c r="F370">
        <v>0</v>
      </c>
      <c r="G370">
        <v>0</v>
      </c>
      <c r="H370">
        <v>2</v>
      </c>
      <c r="I370">
        <v>50000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73535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8</v>
      </c>
      <c r="BC370" s="1">
        <v>887978</v>
      </c>
      <c r="BD370" t="s">
        <v>74</v>
      </c>
      <c r="BE370" t="s">
        <v>2190</v>
      </c>
      <c r="BF370" t="s">
        <v>2191</v>
      </c>
      <c r="BH370" t="s">
        <v>77</v>
      </c>
      <c r="BI370" t="s">
        <v>204</v>
      </c>
      <c r="BJ370" t="s">
        <v>79</v>
      </c>
      <c r="BM370">
        <v>1</v>
      </c>
      <c r="BN370">
        <v>2</v>
      </c>
      <c r="BO370">
        <v>3</v>
      </c>
      <c r="BP370" t="s">
        <v>80</v>
      </c>
      <c r="BR370">
        <v>0</v>
      </c>
      <c r="BS370">
        <v>6</v>
      </c>
      <c r="BU370" s="1">
        <v>468989</v>
      </c>
    </row>
    <row r="371" spans="1:73" x14ac:dyDescent="0.3">
      <c r="A371" t="s">
        <v>936</v>
      </c>
      <c r="B371">
        <v>4</v>
      </c>
      <c r="C371">
        <v>1648110</v>
      </c>
      <c r="D371">
        <v>2</v>
      </c>
      <c r="E371">
        <v>66496</v>
      </c>
      <c r="F371">
        <v>0</v>
      </c>
      <c r="G371">
        <v>0</v>
      </c>
      <c r="H371">
        <v>7</v>
      </c>
      <c r="I371">
        <v>165587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14</v>
      </c>
      <c r="BC371" s="1">
        <v>2292424</v>
      </c>
      <c r="BD371" t="s">
        <v>74</v>
      </c>
      <c r="BE371" t="s">
        <v>937</v>
      </c>
      <c r="BF371" t="s">
        <v>938</v>
      </c>
      <c r="BH371" t="s">
        <v>136</v>
      </c>
      <c r="BI371" t="s">
        <v>939</v>
      </c>
      <c r="BJ371" t="s">
        <v>125</v>
      </c>
      <c r="BM371">
        <v>0</v>
      </c>
      <c r="BN371">
        <v>3</v>
      </c>
      <c r="BO371">
        <v>3</v>
      </c>
      <c r="BP371" t="s">
        <v>80</v>
      </c>
      <c r="BR371">
        <v>0</v>
      </c>
      <c r="BS371">
        <v>6</v>
      </c>
      <c r="BU371" s="1">
        <v>1880193</v>
      </c>
    </row>
    <row r="372" spans="1:73" x14ac:dyDescent="0.3">
      <c r="A372" t="s">
        <v>1970</v>
      </c>
      <c r="B372">
        <v>0</v>
      </c>
      <c r="C372">
        <v>0</v>
      </c>
      <c r="D372">
        <v>1</v>
      </c>
      <c r="E372">
        <v>1440000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 s="1">
        <v>1440000</v>
      </c>
      <c r="BD372" t="s">
        <v>74</v>
      </c>
      <c r="BE372" t="s">
        <v>1971</v>
      </c>
      <c r="BF372" t="s">
        <v>1972</v>
      </c>
      <c r="BH372" t="s">
        <v>114</v>
      </c>
      <c r="BI372" t="s">
        <v>408</v>
      </c>
      <c r="BJ372" t="s">
        <v>79</v>
      </c>
      <c r="BM372">
        <v>0</v>
      </c>
      <c r="BN372">
        <v>1</v>
      </c>
      <c r="BO372">
        <v>1</v>
      </c>
      <c r="BP372" t="s">
        <v>80</v>
      </c>
      <c r="BR372">
        <v>0</v>
      </c>
      <c r="BS372">
        <v>6</v>
      </c>
      <c r="BU372" s="1">
        <v>1440000</v>
      </c>
    </row>
    <row r="373" spans="1:73" x14ac:dyDescent="0.3">
      <c r="A373" t="s">
        <v>3442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24243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 s="1">
        <v>24243</v>
      </c>
      <c r="BD373" t="s">
        <v>74</v>
      </c>
      <c r="BE373" t="s">
        <v>3443</v>
      </c>
      <c r="BF373" t="s">
        <v>3444</v>
      </c>
      <c r="BH373" t="s">
        <v>77</v>
      </c>
      <c r="BI373" t="s">
        <v>593</v>
      </c>
      <c r="BJ373" t="s">
        <v>79</v>
      </c>
      <c r="BM373">
        <v>1</v>
      </c>
      <c r="BN373">
        <v>0</v>
      </c>
      <c r="BO373">
        <v>1</v>
      </c>
      <c r="BP373" t="s">
        <v>80</v>
      </c>
      <c r="BR373">
        <v>0</v>
      </c>
      <c r="BS373">
        <v>0</v>
      </c>
      <c r="BU373" s="1">
        <v>24243</v>
      </c>
    </row>
    <row r="374" spans="1:73" x14ac:dyDescent="0.3">
      <c r="A374" t="s">
        <v>4238</v>
      </c>
      <c r="B374">
        <v>1</v>
      </c>
      <c r="C374">
        <v>459409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73535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</v>
      </c>
      <c r="BC374" s="1">
        <v>1035050</v>
      </c>
      <c r="BD374" t="s">
        <v>74</v>
      </c>
      <c r="BE374" t="s">
        <v>4239</v>
      </c>
      <c r="BF374" t="s">
        <v>4240</v>
      </c>
      <c r="BH374" t="s">
        <v>77</v>
      </c>
      <c r="BI374" t="s">
        <v>593</v>
      </c>
      <c r="BJ374" t="s">
        <v>79</v>
      </c>
      <c r="BM374">
        <v>1</v>
      </c>
      <c r="BN374">
        <v>1</v>
      </c>
      <c r="BO374">
        <v>2</v>
      </c>
      <c r="BP374" t="s">
        <v>80</v>
      </c>
      <c r="BR374">
        <v>0</v>
      </c>
      <c r="BS374">
        <v>6</v>
      </c>
      <c r="BU374" s="1">
        <v>532944</v>
      </c>
    </row>
    <row r="375" spans="1:73" x14ac:dyDescent="0.3">
      <c r="A375" t="s">
        <v>4477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82993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2</v>
      </c>
      <c r="BC375" s="1">
        <v>165986</v>
      </c>
      <c r="BD375" t="s">
        <v>74</v>
      </c>
      <c r="BE375" t="s">
        <v>4478</v>
      </c>
      <c r="BF375" t="s">
        <v>3444</v>
      </c>
      <c r="BH375" t="s">
        <v>77</v>
      </c>
      <c r="BI375" t="s">
        <v>593</v>
      </c>
      <c r="BJ375" t="s">
        <v>79</v>
      </c>
      <c r="BM375">
        <v>1</v>
      </c>
      <c r="BN375">
        <v>0</v>
      </c>
      <c r="BO375">
        <v>1</v>
      </c>
      <c r="BP375" t="s">
        <v>80</v>
      </c>
      <c r="BR375">
        <v>0</v>
      </c>
      <c r="BS375">
        <v>0</v>
      </c>
      <c r="BU375" s="1">
        <v>82993</v>
      </c>
    </row>
    <row r="376" spans="1:73" x14ac:dyDescent="0.3">
      <c r="A376" t="s">
        <v>4882</v>
      </c>
      <c r="B376">
        <v>0</v>
      </c>
      <c r="C376">
        <v>0</v>
      </c>
      <c r="D376">
        <v>1</v>
      </c>
      <c r="E376">
        <v>459740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 s="1">
        <v>459740</v>
      </c>
      <c r="BD376" t="s">
        <v>74</v>
      </c>
      <c r="BE376" t="s">
        <v>4883</v>
      </c>
      <c r="BF376" t="s">
        <v>4884</v>
      </c>
      <c r="BH376" t="s">
        <v>77</v>
      </c>
      <c r="BI376" t="s">
        <v>593</v>
      </c>
      <c r="BJ376" t="s">
        <v>79</v>
      </c>
      <c r="BM376">
        <v>0</v>
      </c>
      <c r="BN376">
        <v>1</v>
      </c>
      <c r="BO376">
        <v>1</v>
      </c>
      <c r="BP376" t="s">
        <v>80</v>
      </c>
      <c r="BR376">
        <v>0</v>
      </c>
      <c r="BS376">
        <v>6</v>
      </c>
      <c r="BU376" s="1">
        <v>459740</v>
      </c>
    </row>
    <row r="377" spans="1:73" x14ac:dyDescent="0.3">
      <c r="A377" t="s">
        <v>2469</v>
      </c>
      <c r="B377">
        <v>0</v>
      </c>
      <c r="C377">
        <v>0</v>
      </c>
      <c r="D377">
        <v>1</v>
      </c>
      <c r="E377">
        <v>114000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36000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</v>
      </c>
      <c r="BC377" s="1">
        <v>150000</v>
      </c>
      <c r="BD377" t="s">
        <v>74</v>
      </c>
      <c r="BE377" t="s">
        <v>2470</v>
      </c>
      <c r="BF377" t="s">
        <v>2471</v>
      </c>
      <c r="BH377" t="s">
        <v>77</v>
      </c>
      <c r="BI377" t="s">
        <v>574</v>
      </c>
      <c r="BJ377" t="s">
        <v>79</v>
      </c>
      <c r="BM377">
        <v>0</v>
      </c>
      <c r="BN377">
        <v>2</v>
      </c>
      <c r="BO377">
        <v>2</v>
      </c>
      <c r="BP377" t="s">
        <v>80</v>
      </c>
      <c r="BR377">
        <v>0</v>
      </c>
      <c r="BS377">
        <v>6</v>
      </c>
      <c r="BU377" s="1">
        <v>150000</v>
      </c>
    </row>
    <row r="378" spans="1:73" x14ac:dyDescent="0.3">
      <c r="A378" t="s">
        <v>2524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27778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 s="1">
        <v>27778</v>
      </c>
      <c r="BD378" t="s">
        <v>74</v>
      </c>
      <c r="BE378" t="s">
        <v>2525</v>
      </c>
      <c r="BF378" t="s">
        <v>2471</v>
      </c>
      <c r="BH378" t="s">
        <v>77</v>
      </c>
      <c r="BI378" t="s">
        <v>574</v>
      </c>
      <c r="BJ378" t="s">
        <v>79</v>
      </c>
      <c r="BM378">
        <v>1</v>
      </c>
      <c r="BN378">
        <v>0</v>
      </c>
      <c r="BO378">
        <v>1</v>
      </c>
      <c r="BP378" t="s">
        <v>80</v>
      </c>
      <c r="BR378">
        <v>0</v>
      </c>
      <c r="BS378">
        <v>6</v>
      </c>
      <c r="BU378" s="1">
        <v>27778</v>
      </c>
    </row>
    <row r="379" spans="1:73" x14ac:dyDescent="0.3">
      <c r="A379" t="s">
        <v>1587</v>
      </c>
      <c r="B379">
        <v>2</v>
      </c>
      <c r="C379">
        <v>479123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</v>
      </c>
      <c r="BC379" s="1">
        <v>479123</v>
      </c>
      <c r="BD379" t="s">
        <v>74</v>
      </c>
      <c r="BE379" t="s">
        <v>1588</v>
      </c>
      <c r="BF379" t="s">
        <v>1589</v>
      </c>
      <c r="BH379" t="s">
        <v>77</v>
      </c>
      <c r="BI379" t="s">
        <v>574</v>
      </c>
      <c r="BJ379" t="s">
        <v>79</v>
      </c>
      <c r="BM379">
        <v>0</v>
      </c>
      <c r="BN379">
        <v>1</v>
      </c>
      <c r="BO379">
        <v>1</v>
      </c>
      <c r="BP379" t="s">
        <v>80</v>
      </c>
      <c r="BR379">
        <v>0</v>
      </c>
      <c r="BS379">
        <v>6</v>
      </c>
      <c r="BU379" s="1">
        <v>479123</v>
      </c>
    </row>
    <row r="380" spans="1:73" x14ac:dyDescent="0.3">
      <c r="A380" t="s">
        <v>687</v>
      </c>
      <c r="B380">
        <v>2</v>
      </c>
      <c r="C380">
        <v>495780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</v>
      </c>
      <c r="BC380" s="1">
        <v>495780</v>
      </c>
      <c r="BD380" t="s">
        <v>74</v>
      </c>
      <c r="BE380" t="s">
        <v>688</v>
      </c>
      <c r="BF380" t="s">
        <v>689</v>
      </c>
      <c r="BH380" t="s">
        <v>77</v>
      </c>
      <c r="BI380" t="s">
        <v>574</v>
      </c>
      <c r="BJ380" t="s">
        <v>79</v>
      </c>
      <c r="BM380">
        <v>0</v>
      </c>
      <c r="BN380">
        <v>1</v>
      </c>
      <c r="BO380">
        <v>1</v>
      </c>
      <c r="BP380" t="s">
        <v>80</v>
      </c>
      <c r="BR380">
        <v>0</v>
      </c>
      <c r="BS380">
        <v>6</v>
      </c>
      <c r="BU380" s="1">
        <v>495780</v>
      </c>
    </row>
    <row r="381" spans="1:73" x14ac:dyDescent="0.3">
      <c r="A381" t="s">
        <v>5456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90909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 s="1">
        <v>90909</v>
      </c>
      <c r="BD381" t="s">
        <v>74</v>
      </c>
      <c r="BE381" t="s">
        <v>5457</v>
      </c>
      <c r="BF381" t="s">
        <v>5458</v>
      </c>
      <c r="BH381" t="s">
        <v>77</v>
      </c>
      <c r="BI381" t="s">
        <v>574</v>
      </c>
      <c r="BJ381" t="s">
        <v>79</v>
      </c>
      <c r="BM381">
        <v>1</v>
      </c>
      <c r="BN381">
        <v>0</v>
      </c>
      <c r="BO381">
        <v>1</v>
      </c>
      <c r="BP381" t="s">
        <v>80</v>
      </c>
      <c r="BR381">
        <v>0</v>
      </c>
      <c r="BS381">
        <v>6</v>
      </c>
      <c r="BU381" s="1">
        <v>90909</v>
      </c>
    </row>
    <row r="382" spans="1:73" x14ac:dyDescent="0.3">
      <c r="A382" t="s">
        <v>1274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</v>
      </c>
      <c r="I382">
        <v>61604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330000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5</v>
      </c>
      <c r="BC382" s="1">
        <v>721604</v>
      </c>
      <c r="BD382" t="s">
        <v>74</v>
      </c>
      <c r="BE382" t="s">
        <v>1275</v>
      </c>
      <c r="BF382" t="s">
        <v>1276</v>
      </c>
      <c r="BH382" t="s">
        <v>77</v>
      </c>
      <c r="BI382" t="s">
        <v>574</v>
      </c>
      <c r="BJ382" t="s">
        <v>79</v>
      </c>
      <c r="BM382">
        <v>0</v>
      </c>
      <c r="BN382">
        <v>2</v>
      </c>
      <c r="BO382">
        <v>2</v>
      </c>
      <c r="BP382" t="s">
        <v>514</v>
      </c>
      <c r="BR382">
        <v>0</v>
      </c>
      <c r="BS382">
        <v>6</v>
      </c>
      <c r="BU382" s="1">
        <v>391604</v>
      </c>
    </row>
    <row r="383" spans="1:73" x14ac:dyDescent="0.3">
      <c r="A383" t="s">
        <v>3736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28</v>
      </c>
      <c r="Z383">
        <v>296968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54</v>
      </c>
      <c r="BC383" s="1">
        <v>686369</v>
      </c>
      <c r="BD383" t="s">
        <v>74</v>
      </c>
      <c r="BE383" t="s">
        <v>3737</v>
      </c>
      <c r="BF383" t="s">
        <v>3738</v>
      </c>
      <c r="BH383" t="s">
        <v>77</v>
      </c>
      <c r="BI383" t="s">
        <v>574</v>
      </c>
      <c r="BJ383" t="s">
        <v>79</v>
      </c>
      <c r="BM383">
        <v>1</v>
      </c>
      <c r="BN383">
        <v>0</v>
      </c>
      <c r="BO383">
        <v>1</v>
      </c>
      <c r="BP383" t="s">
        <v>514</v>
      </c>
      <c r="BR383">
        <v>0</v>
      </c>
      <c r="BS383">
        <v>6</v>
      </c>
      <c r="BU383" s="1">
        <v>296968</v>
      </c>
    </row>
    <row r="384" spans="1:73" x14ac:dyDescent="0.3">
      <c r="A384" t="s">
        <v>3113</v>
      </c>
      <c r="B384">
        <v>4</v>
      </c>
      <c r="C384">
        <v>753614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4</v>
      </c>
      <c r="BC384" s="1">
        <v>753614</v>
      </c>
      <c r="BD384" t="s">
        <v>74</v>
      </c>
      <c r="BE384" t="s">
        <v>3114</v>
      </c>
      <c r="BF384" t="s">
        <v>3115</v>
      </c>
      <c r="BH384" t="s">
        <v>77</v>
      </c>
      <c r="BI384" t="s">
        <v>574</v>
      </c>
      <c r="BJ384" t="s">
        <v>79</v>
      </c>
      <c r="BM384">
        <v>0</v>
      </c>
      <c r="BN384">
        <v>1</v>
      </c>
      <c r="BO384">
        <v>1</v>
      </c>
      <c r="BP384" t="s">
        <v>80</v>
      </c>
      <c r="BR384">
        <v>0</v>
      </c>
      <c r="BS384">
        <v>6</v>
      </c>
      <c r="BU384" s="1">
        <v>753614</v>
      </c>
    </row>
    <row r="385" spans="1:73" x14ac:dyDescent="0.3">
      <c r="A385" t="s">
        <v>736</v>
      </c>
      <c r="B385">
        <v>0</v>
      </c>
      <c r="C385">
        <v>0</v>
      </c>
      <c r="D385">
        <v>2</v>
      </c>
      <c r="E385">
        <v>666909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4</v>
      </c>
      <c r="BC385" s="1">
        <v>1333818</v>
      </c>
      <c r="BD385" t="s">
        <v>74</v>
      </c>
      <c r="BE385" t="s">
        <v>737</v>
      </c>
      <c r="BF385" t="s">
        <v>738</v>
      </c>
      <c r="BH385" t="s">
        <v>77</v>
      </c>
      <c r="BI385" t="s">
        <v>739</v>
      </c>
      <c r="BJ385" t="s">
        <v>79</v>
      </c>
      <c r="BM385">
        <v>0</v>
      </c>
      <c r="BN385">
        <v>1</v>
      </c>
      <c r="BO385">
        <v>1</v>
      </c>
      <c r="BP385" t="s">
        <v>80</v>
      </c>
      <c r="BR385">
        <v>0</v>
      </c>
      <c r="BS385">
        <v>6</v>
      </c>
      <c r="BU385" s="1">
        <v>666909</v>
      </c>
    </row>
    <row r="386" spans="1:73" x14ac:dyDescent="0.3">
      <c r="A386" t="s">
        <v>2926</v>
      </c>
      <c r="B386">
        <v>1</v>
      </c>
      <c r="C386">
        <v>186232</v>
      </c>
      <c r="D386">
        <v>2</v>
      </c>
      <c r="E386">
        <v>320000</v>
      </c>
      <c r="F386">
        <v>0</v>
      </c>
      <c r="G386">
        <v>0</v>
      </c>
      <c r="H386">
        <v>2</v>
      </c>
      <c r="I386">
        <v>40000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5</v>
      </c>
      <c r="BC386" s="1">
        <v>826232</v>
      </c>
      <c r="BD386" t="s">
        <v>74</v>
      </c>
      <c r="BE386" t="s">
        <v>2927</v>
      </c>
      <c r="BF386" t="s">
        <v>2928</v>
      </c>
      <c r="BH386" t="s">
        <v>1464</v>
      </c>
      <c r="BI386" t="s">
        <v>2929</v>
      </c>
      <c r="BJ386" t="s">
        <v>125</v>
      </c>
      <c r="BM386">
        <v>0</v>
      </c>
      <c r="BN386">
        <v>3</v>
      </c>
      <c r="BO386">
        <v>3</v>
      </c>
      <c r="BP386" t="s">
        <v>80</v>
      </c>
      <c r="BR386">
        <v>0</v>
      </c>
      <c r="BS386">
        <v>6</v>
      </c>
      <c r="BU386" s="1">
        <v>546232</v>
      </c>
    </row>
    <row r="387" spans="1:73" x14ac:dyDescent="0.3">
      <c r="A387" t="s">
        <v>888</v>
      </c>
      <c r="B387">
        <v>0</v>
      </c>
      <c r="C387">
        <v>0</v>
      </c>
      <c r="D387">
        <v>2</v>
      </c>
      <c r="E387">
        <v>290000</v>
      </c>
      <c r="F387">
        <v>0</v>
      </c>
      <c r="G387">
        <v>0</v>
      </c>
      <c r="H387">
        <v>2</v>
      </c>
      <c r="I387">
        <v>40000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19792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7</v>
      </c>
      <c r="BC387" s="1">
        <v>693119</v>
      </c>
      <c r="BD387" t="s">
        <v>74</v>
      </c>
      <c r="BE387" t="s">
        <v>889</v>
      </c>
      <c r="BF387" t="s">
        <v>890</v>
      </c>
      <c r="BH387" t="s">
        <v>77</v>
      </c>
      <c r="BI387" t="s">
        <v>593</v>
      </c>
      <c r="BJ387" t="s">
        <v>79</v>
      </c>
      <c r="BM387">
        <v>1</v>
      </c>
      <c r="BN387">
        <v>2</v>
      </c>
      <c r="BO387">
        <v>3</v>
      </c>
      <c r="BP387" t="s">
        <v>80</v>
      </c>
      <c r="BR387">
        <v>0</v>
      </c>
      <c r="BS387">
        <v>6</v>
      </c>
      <c r="BU387" s="1">
        <v>349792</v>
      </c>
    </row>
    <row r="388" spans="1:73" x14ac:dyDescent="0.3">
      <c r="A388" t="s">
        <v>4660</v>
      </c>
      <c r="B388">
        <v>0</v>
      </c>
      <c r="C388">
        <v>0</v>
      </c>
      <c r="D388">
        <v>2</v>
      </c>
      <c r="E388">
        <v>665455</v>
      </c>
      <c r="F388">
        <v>0</v>
      </c>
      <c r="G388">
        <v>0</v>
      </c>
      <c r="H388">
        <v>2</v>
      </c>
      <c r="I388">
        <v>40000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</v>
      </c>
      <c r="BC388" s="1">
        <v>1371819</v>
      </c>
      <c r="BD388" t="s">
        <v>74</v>
      </c>
      <c r="BE388" t="s">
        <v>4661</v>
      </c>
      <c r="BF388" t="s">
        <v>4662</v>
      </c>
      <c r="BH388" t="s">
        <v>77</v>
      </c>
      <c r="BI388" t="s">
        <v>593</v>
      </c>
      <c r="BJ388" t="s">
        <v>79</v>
      </c>
      <c r="BM388">
        <v>0</v>
      </c>
      <c r="BN388">
        <v>2</v>
      </c>
      <c r="BO388">
        <v>2</v>
      </c>
      <c r="BP388" t="s">
        <v>80</v>
      </c>
      <c r="BR388">
        <v>0</v>
      </c>
      <c r="BS388">
        <v>6</v>
      </c>
      <c r="BU388" s="1">
        <v>705455</v>
      </c>
    </row>
    <row r="389" spans="1:73" x14ac:dyDescent="0.3">
      <c r="A389" t="s">
        <v>5528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40000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</v>
      </c>
      <c r="BC389" s="1">
        <v>40000</v>
      </c>
      <c r="BD389" t="s">
        <v>74</v>
      </c>
      <c r="BE389" t="s">
        <v>5529</v>
      </c>
      <c r="BF389" t="s">
        <v>890</v>
      </c>
      <c r="BH389" t="s">
        <v>77</v>
      </c>
      <c r="BI389" t="s">
        <v>593</v>
      </c>
      <c r="BJ389" t="s">
        <v>79</v>
      </c>
      <c r="BM389">
        <v>0</v>
      </c>
      <c r="BN389">
        <v>1</v>
      </c>
      <c r="BO389">
        <v>1</v>
      </c>
      <c r="BP389" t="s">
        <v>80</v>
      </c>
      <c r="BR389">
        <v>0</v>
      </c>
      <c r="BS389">
        <v>6</v>
      </c>
      <c r="BU389" s="1">
        <v>40000</v>
      </c>
    </row>
    <row r="390" spans="1:73" x14ac:dyDescent="0.3">
      <c r="A390" t="s">
        <v>1912</v>
      </c>
      <c r="B390">
        <v>7</v>
      </c>
      <c r="C390">
        <v>2781109</v>
      </c>
      <c r="D390">
        <v>3</v>
      </c>
      <c r="E390">
        <v>374543</v>
      </c>
      <c r="F390">
        <v>0</v>
      </c>
      <c r="G390">
        <v>0</v>
      </c>
      <c r="H390">
        <v>2</v>
      </c>
      <c r="I390">
        <v>40000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68182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</v>
      </c>
      <c r="BC390" s="1">
        <v>3666559</v>
      </c>
      <c r="BD390" t="s">
        <v>74</v>
      </c>
      <c r="BE390" t="s">
        <v>1913</v>
      </c>
      <c r="BF390" t="s">
        <v>1914</v>
      </c>
      <c r="BH390" t="s">
        <v>136</v>
      </c>
      <c r="BI390" t="s">
        <v>191</v>
      </c>
      <c r="BJ390" t="s">
        <v>125</v>
      </c>
      <c r="BM390">
        <v>0</v>
      </c>
      <c r="BN390">
        <v>4</v>
      </c>
      <c r="BO390">
        <v>4</v>
      </c>
      <c r="BP390" t="s">
        <v>80</v>
      </c>
      <c r="BR390">
        <v>0</v>
      </c>
      <c r="BS390">
        <v>6</v>
      </c>
      <c r="BU390" s="1">
        <v>3263834</v>
      </c>
    </row>
    <row r="391" spans="1:73" x14ac:dyDescent="0.3">
      <c r="A391" t="s">
        <v>2219</v>
      </c>
      <c r="B391">
        <v>1</v>
      </c>
      <c r="C391">
        <v>207960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2645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3</v>
      </c>
      <c r="BC391" s="1">
        <v>382033</v>
      </c>
      <c r="BD391" t="s">
        <v>74</v>
      </c>
      <c r="BE391" t="s">
        <v>2220</v>
      </c>
      <c r="BF391" t="s">
        <v>1914</v>
      </c>
      <c r="BH391" t="s">
        <v>77</v>
      </c>
      <c r="BI391" t="s">
        <v>593</v>
      </c>
      <c r="BJ391" t="s">
        <v>79</v>
      </c>
      <c r="BM391">
        <v>0</v>
      </c>
      <c r="BN391">
        <v>2</v>
      </c>
      <c r="BO391">
        <v>2</v>
      </c>
      <c r="BP391" t="s">
        <v>80</v>
      </c>
      <c r="BR391">
        <v>0</v>
      </c>
      <c r="BS391">
        <v>6</v>
      </c>
      <c r="BU391" s="1">
        <v>210605</v>
      </c>
    </row>
    <row r="392" spans="1:73" x14ac:dyDescent="0.3">
      <c r="A392" t="s">
        <v>2519</v>
      </c>
      <c r="B392">
        <v>0</v>
      </c>
      <c r="C392">
        <v>0</v>
      </c>
      <c r="D392">
        <v>1</v>
      </c>
      <c r="E392">
        <v>142500</v>
      </c>
      <c r="F392">
        <v>0</v>
      </c>
      <c r="G392">
        <v>0</v>
      </c>
      <c r="H392">
        <v>1</v>
      </c>
      <c r="I392">
        <v>20000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45000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5</v>
      </c>
      <c r="BC392" s="1">
        <v>395000</v>
      </c>
      <c r="BD392" t="s">
        <v>74</v>
      </c>
      <c r="BE392" t="s">
        <v>2520</v>
      </c>
      <c r="BF392" t="s">
        <v>2521</v>
      </c>
      <c r="BH392" t="s">
        <v>77</v>
      </c>
      <c r="BI392" t="s">
        <v>78</v>
      </c>
      <c r="BJ392" t="s">
        <v>79</v>
      </c>
      <c r="BM392">
        <v>0</v>
      </c>
      <c r="BN392">
        <v>3</v>
      </c>
      <c r="BO392">
        <v>3</v>
      </c>
      <c r="BP392" t="s">
        <v>80</v>
      </c>
      <c r="BR392">
        <v>0</v>
      </c>
      <c r="BS392">
        <v>6</v>
      </c>
      <c r="BU392" s="1">
        <v>207500</v>
      </c>
    </row>
    <row r="393" spans="1:73" x14ac:dyDescent="0.3">
      <c r="A393" t="s">
        <v>2139</v>
      </c>
      <c r="B393">
        <v>0</v>
      </c>
      <c r="C393">
        <v>0</v>
      </c>
      <c r="D393">
        <v>1</v>
      </c>
      <c r="E393">
        <v>20000</v>
      </c>
      <c r="F393">
        <v>0</v>
      </c>
      <c r="G393">
        <v>0</v>
      </c>
      <c r="H393">
        <v>2</v>
      </c>
      <c r="I393">
        <v>40000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73535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19792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</v>
      </c>
      <c r="BC393" s="1">
        <v>289855</v>
      </c>
      <c r="BD393" t="s">
        <v>74</v>
      </c>
      <c r="BE393" t="s">
        <v>2140</v>
      </c>
      <c r="BF393" t="s">
        <v>2141</v>
      </c>
      <c r="BH393" t="s">
        <v>77</v>
      </c>
      <c r="BI393" t="s">
        <v>593</v>
      </c>
      <c r="BJ393" t="s">
        <v>79</v>
      </c>
      <c r="BM393">
        <v>2</v>
      </c>
      <c r="BN393">
        <v>2</v>
      </c>
      <c r="BO393">
        <v>4</v>
      </c>
      <c r="BP393" t="s">
        <v>80</v>
      </c>
      <c r="BR393">
        <v>0</v>
      </c>
      <c r="BS393">
        <v>6</v>
      </c>
      <c r="BU393" s="1">
        <v>153327</v>
      </c>
    </row>
    <row r="394" spans="1:73" x14ac:dyDescent="0.3">
      <c r="A394" t="s">
        <v>1320</v>
      </c>
      <c r="B394">
        <v>2</v>
      </c>
      <c r="C394">
        <v>361818</v>
      </c>
      <c r="D394">
        <v>2</v>
      </c>
      <c r="E394">
        <v>224000</v>
      </c>
      <c r="F394">
        <v>0</v>
      </c>
      <c r="G394">
        <v>0</v>
      </c>
      <c r="H394">
        <v>2</v>
      </c>
      <c r="I394">
        <v>45000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73535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19792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11</v>
      </c>
      <c r="BC394" s="1">
        <v>1017472</v>
      </c>
      <c r="BD394" t="s">
        <v>74</v>
      </c>
      <c r="BE394" t="s">
        <v>1321</v>
      </c>
      <c r="BF394" t="s">
        <v>1322</v>
      </c>
      <c r="BH394" t="s">
        <v>77</v>
      </c>
      <c r="BI394" t="s">
        <v>593</v>
      </c>
      <c r="BJ394" t="s">
        <v>79</v>
      </c>
      <c r="BM394">
        <v>2</v>
      </c>
      <c r="BN394">
        <v>3</v>
      </c>
      <c r="BO394">
        <v>5</v>
      </c>
      <c r="BP394" t="s">
        <v>80</v>
      </c>
      <c r="BR394">
        <v>0</v>
      </c>
      <c r="BS394">
        <v>6</v>
      </c>
      <c r="BU394" s="1">
        <v>724145</v>
      </c>
    </row>
    <row r="395" spans="1:73" x14ac:dyDescent="0.3">
      <c r="A395" t="s">
        <v>1863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20000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 s="1">
        <v>20000</v>
      </c>
      <c r="BD395" t="s">
        <v>74</v>
      </c>
      <c r="BE395" t="s">
        <v>1864</v>
      </c>
      <c r="BF395" t="s">
        <v>1865</v>
      </c>
      <c r="BH395" t="s">
        <v>77</v>
      </c>
      <c r="BI395" t="s">
        <v>593</v>
      </c>
      <c r="BJ395" t="s">
        <v>79</v>
      </c>
      <c r="BM395">
        <v>0</v>
      </c>
      <c r="BN395">
        <v>1</v>
      </c>
      <c r="BO395">
        <v>1</v>
      </c>
      <c r="BP395" t="s">
        <v>80</v>
      </c>
      <c r="BR395">
        <v>0</v>
      </c>
      <c r="BS395">
        <v>6</v>
      </c>
      <c r="BU395" s="1">
        <v>20000</v>
      </c>
    </row>
    <row r="396" spans="1:73" x14ac:dyDescent="0.3">
      <c r="A396" t="s">
        <v>2014</v>
      </c>
      <c r="B396">
        <v>2</v>
      </c>
      <c r="C396">
        <v>298797</v>
      </c>
      <c r="D396">
        <v>1</v>
      </c>
      <c r="E396">
        <v>174909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66000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6</v>
      </c>
      <c r="BC396" s="1">
        <v>780615</v>
      </c>
      <c r="BD396" t="s">
        <v>74</v>
      </c>
      <c r="BE396" t="s">
        <v>2015</v>
      </c>
      <c r="BF396" t="s">
        <v>2016</v>
      </c>
      <c r="BH396" t="s">
        <v>97</v>
      </c>
      <c r="BI396" t="s">
        <v>119</v>
      </c>
      <c r="BJ396" t="s">
        <v>79</v>
      </c>
      <c r="BM396">
        <v>0</v>
      </c>
      <c r="BN396">
        <v>3</v>
      </c>
      <c r="BO396">
        <v>3</v>
      </c>
      <c r="BP396" t="s">
        <v>80</v>
      </c>
      <c r="BR396">
        <v>0</v>
      </c>
      <c r="BS396">
        <v>6</v>
      </c>
      <c r="BU396" s="1">
        <v>539706</v>
      </c>
    </row>
    <row r="397" spans="1:73" x14ac:dyDescent="0.3">
      <c r="A397" t="s">
        <v>1799</v>
      </c>
      <c r="B397">
        <v>1</v>
      </c>
      <c r="C397">
        <v>233331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 s="1">
        <v>233331</v>
      </c>
      <c r="BD397" t="s">
        <v>74</v>
      </c>
      <c r="BE397" t="s">
        <v>1800</v>
      </c>
      <c r="BF397" t="s">
        <v>1801</v>
      </c>
      <c r="BH397" t="s">
        <v>77</v>
      </c>
      <c r="BI397" t="s">
        <v>204</v>
      </c>
      <c r="BJ397" t="s">
        <v>79</v>
      </c>
      <c r="BM397">
        <v>0</v>
      </c>
      <c r="BN397">
        <v>1</v>
      </c>
      <c r="BO397">
        <v>1</v>
      </c>
      <c r="BP397" t="s">
        <v>80</v>
      </c>
      <c r="BR397">
        <v>0</v>
      </c>
      <c r="BS397">
        <v>6</v>
      </c>
      <c r="BU397" s="1">
        <v>233331</v>
      </c>
    </row>
    <row r="398" spans="1:73" x14ac:dyDescent="0.3">
      <c r="A398" t="s">
        <v>921</v>
      </c>
      <c r="B398">
        <v>1</v>
      </c>
      <c r="C398">
        <v>554305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45682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11526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3</v>
      </c>
      <c r="BC398" s="1">
        <v>611513</v>
      </c>
      <c r="BD398" t="s">
        <v>74</v>
      </c>
      <c r="BE398" t="s">
        <v>922</v>
      </c>
      <c r="BF398" t="s">
        <v>923</v>
      </c>
      <c r="BH398" t="s">
        <v>77</v>
      </c>
      <c r="BI398" t="s">
        <v>204</v>
      </c>
      <c r="BJ398" t="s">
        <v>79</v>
      </c>
      <c r="BM398">
        <v>2</v>
      </c>
      <c r="BN398">
        <v>1</v>
      </c>
      <c r="BO398">
        <v>3</v>
      </c>
      <c r="BP398" t="s">
        <v>80</v>
      </c>
      <c r="BR398">
        <v>0</v>
      </c>
      <c r="BS398">
        <v>6</v>
      </c>
      <c r="BU398" s="1">
        <v>611513</v>
      </c>
    </row>
    <row r="399" spans="1:73" x14ac:dyDescent="0.3">
      <c r="A399" t="s">
        <v>2073</v>
      </c>
      <c r="B399">
        <v>0</v>
      </c>
      <c r="C399">
        <v>0</v>
      </c>
      <c r="D399">
        <v>2</v>
      </c>
      <c r="E399">
        <v>300000</v>
      </c>
      <c r="F399">
        <v>0</v>
      </c>
      <c r="G399">
        <v>0</v>
      </c>
      <c r="H399">
        <v>15</v>
      </c>
      <c r="I399">
        <v>299104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200000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375000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22</v>
      </c>
      <c r="BC399" s="1">
        <v>1677675</v>
      </c>
      <c r="BD399" t="s">
        <v>74</v>
      </c>
      <c r="BE399" t="s">
        <v>2074</v>
      </c>
      <c r="BF399" t="s">
        <v>923</v>
      </c>
      <c r="BH399" t="s">
        <v>77</v>
      </c>
      <c r="BI399" t="s">
        <v>204</v>
      </c>
      <c r="BJ399" t="s">
        <v>79</v>
      </c>
      <c r="BM399">
        <v>1</v>
      </c>
      <c r="BN399">
        <v>3</v>
      </c>
      <c r="BO399">
        <v>4</v>
      </c>
      <c r="BP399" t="s">
        <v>514</v>
      </c>
      <c r="BR399">
        <v>0</v>
      </c>
      <c r="BS399">
        <v>6</v>
      </c>
      <c r="BU399" s="1">
        <v>1174104</v>
      </c>
    </row>
    <row r="400" spans="1:73" x14ac:dyDescent="0.3">
      <c r="A400" t="s">
        <v>489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40000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</v>
      </c>
      <c r="BC400" s="1">
        <v>40000</v>
      </c>
      <c r="BD400" t="s">
        <v>74</v>
      </c>
      <c r="BE400" t="s">
        <v>490</v>
      </c>
      <c r="BF400" t="s">
        <v>491</v>
      </c>
      <c r="BH400" t="s">
        <v>77</v>
      </c>
      <c r="BI400" t="s">
        <v>204</v>
      </c>
      <c r="BJ400" t="s">
        <v>79</v>
      </c>
      <c r="BM400">
        <v>0</v>
      </c>
      <c r="BN400">
        <v>1</v>
      </c>
      <c r="BO400">
        <v>1</v>
      </c>
      <c r="BP400" t="s">
        <v>80</v>
      </c>
      <c r="BR400">
        <v>0</v>
      </c>
      <c r="BS400">
        <v>6</v>
      </c>
      <c r="BU400" s="1">
        <v>40000</v>
      </c>
    </row>
    <row r="401" spans="1:73" x14ac:dyDescent="0.3">
      <c r="A401" t="s">
        <v>2136</v>
      </c>
      <c r="B401">
        <v>0</v>
      </c>
      <c r="C401">
        <v>0</v>
      </c>
      <c r="D401">
        <v>2</v>
      </c>
      <c r="E401">
        <v>44000</v>
      </c>
      <c r="F401">
        <v>0</v>
      </c>
      <c r="G401">
        <v>0</v>
      </c>
      <c r="H401">
        <v>4</v>
      </c>
      <c r="I401">
        <v>90000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7</v>
      </c>
      <c r="BC401" s="1">
        <v>265500</v>
      </c>
      <c r="BD401" t="s">
        <v>74</v>
      </c>
      <c r="BE401" t="s">
        <v>2137</v>
      </c>
      <c r="BF401" t="s">
        <v>2138</v>
      </c>
      <c r="BH401" t="s">
        <v>77</v>
      </c>
      <c r="BI401" t="s">
        <v>204</v>
      </c>
      <c r="BJ401" t="s">
        <v>79</v>
      </c>
      <c r="BM401">
        <v>0</v>
      </c>
      <c r="BN401">
        <v>2</v>
      </c>
      <c r="BO401">
        <v>2</v>
      </c>
      <c r="BP401" t="s">
        <v>80</v>
      </c>
      <c r="BR401">
        <v>0</v>
      </c>
      <c r="BS401">
        <v>6</v>
      </c>
      <c r="BU401" s="1">
        <v>134000</v>
      </c>
    </row>
    <row r="402" spans="1:73" x14ac:dyDescent="0.3">
      <c r="A402" t="s">
        <v>2589</v>
      </c>
      <c r="B402">
        <v>1</v>
      </c>
      <c r="C402">
        <v>1446982</v>
      </c>
      <c r="D402">
        <v>0</v>
      </c>
      <c r="E402">
        <v>0</v>
      </c>
      <c r="F402">
        <v>0</v>
      </c>
      <c r="G402">
        <v>0</v>
      </c>
      <c r="H402">
        <v>8</v>
      </c>
      <c r="I402">
        <v>160000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73535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11</v>
      </c>
      <c r="BC402" s="1">
        <v>1754052</v>
      </c>
      <c r="BD402" t="s">
        <v>74</v>
      </c>
      <c r="BE402" t="s">
        <v>2590</v>
      </c>
      <c r="BF402" t="s">
        <v>2591</v>
      </c>
      <c r="BH402" t="s">
        <v>77</v>
      </c>
      <c r="BI402" t="s">
        <v>204</v>
      </c>
      <c r="BJ402" t="s">
        <v>79</v>
      </c>
      <c r="BM402">
        <v>1</v>
      </c>
      <c r="BN402">
        <v>2</v>
      </c>
      <c r="BO402">
        <v>3</v>
      </c>
      <c r="BP402" t="s">
        <v>80</v>
      </c>
      <c r="BR402">
        <v>0</v>
      </c>
      <c r="BS402">
        <v>6</v>
      </c>
      <c r="BU402" s="1">
        <v>1680517</v>
      </c>
    </row>
    <row r="403" spans="1:73" x14ac:dyDescent="0.3">
      <c r="A403" t="s">
        <v>1346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20000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 s="1">
        <v>20000</v>
      </c>
      <c r="BD403" t="s">
        <v>74</v>
      </c>
      <c r="BE403" t="s">
        <v>1309</v>
      </c>
      <c r="BF403" t="s">
        <v>1310</v>
      </c>
      <c r="BH403" t="s">
        <v>77</v>
      </c>
      <c r="BI403" t="s">
        <v>204</v>
      </c>
      <c r="BJ403" t="s">
        <v>79</v>
      </c>
      <c r="BM403">
        <v>0</v>
      </c>
      <c r="BN403">
        <v>1</v>
      </c>
      <c r="BO403">
        <v>1</v>
      </c>
      <c r="BP403" t="s">
        <v>514</v>
      </c>
      <c r="BR403">
        <v>0</v>
      </c>
      <c r="BS403">
        <v>6</v>
      </c>
      <c r="BU403" s="1">
        <v>20000</v>
      </c>
    </row>
    <row r="404" spans="1:73" x14ac:dyDescent="0.3">
      <c r="A404" t="s">
        <v>2410</v>
      </c>
      <c r="B404">
        <v>0</v>
      </c>
      <c r="C404">
        <v>0</v>
      </c>
      <c r="D404">
        <v>1</v>
      </c>
      <c r="E404">
        <v>260000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82000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20000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3</v>
      </c>
      <c r="BC404" s="1">
        <v>362000</v>
      </c>
      <c r="BD404" t="s">
        <v>74</v>
      </c>
      <c r="BE404" t="s">
        <v>2411</v>
      </c>
      <c r="BF404" t="s">
        <v>2412</v>
      </c>
      <c r="BH404" t="s">
        <v>77</v>
      </c>
      <c r="BI404" t="s">
        <v>204</v>
      </c>
      <c r="BJ404" t="s">
        <v>79</v>
      </c>
      <c r="BM404">
        <v>1</v>
      </c>
      <c r="BN404">
        <v>2</v>
      </c>
      <c r="BO404">
        <v>3</v>
      </c>
      <c r="BP404" t="s">
        <v>80</v>
      </c>
      <c r="BR404">
        <v>0</v>
      </c>
      <c r="BS404">
        <v>6</v>
      </c>
      <c r="BU404" s="1">
        <v>362000</v>
      </c>
    </row>
    <row r="405" spans="1:73" x14ac:dyDescent="0.3">
      <c r="A405" t="s">
        <v>2747</v>
      </c>
      <c r="B405">
        <v>4</v>
      </c>
      <c r="C405">
        <v>1658129</v>
      </c>
      <c r="D405">
        <v>18</v>
      </c>
      <c r="E405">
        <v>2584366</v>
      </c>
      <c r="F405">
        <v>0</v>
      </c>
      <c r="G405">
        <v>0</v>
      </c>
      <c r="H405">
        <v>39</v>
      </c>
      <c r="I405">
        <v>1203511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492000</v>
      </c>
      <c r="P405">
        <v>5</v>
      </c>
      <c r="Q405">
        <v>663818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416289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73</v>
      </c>
      <c r="BC405" s="1">
        <v>7746770</v>
      </c>
      <c r="BD405" t="s">
        <v>74</v>
      </c>
      <c r="BE405" t="s">
        <v>2748</v>
      </c>
      <c r="BF405" t="s">
        <v>1310</v>
      </c>
      <c r="BH405" t="s">
        <v>77</v>
      </c>
      <c r="BI405" t="s">
        <v>593</v>
      </c>
      <c r="BJ405" t="s">
        <v>79</v>
      </c>
      <c r="BM405">
        <v>1</v>
      </c>
      <c r="BN405">
        <v>5</v>
      </c>
      <c r="BO405">
        <v>6</v>
      </c>
      <c r="BP405" t="s">
        <v>514</v>
      </c>
      <c r="BR405">
        <v>0</v>
      </c>
      <c r="BS405">
        <v>5</v>
      </c>
      <c r="BU405" s="1">
        <v>7018113</v>
      </c>
    </row>
    <row r="406" spans="1:73" x14ac:dyDescent="0.3">
      <c r="A406" t="s">
        <v>3450</v>
      </c>
      <c r="B406">
        <v>0</v>
      </c>
      <c r="C406">
        <v>0</v>
      </c>
      <c r="D406">
        <v>1</v>
      </c>
      <c r="E406">
        <v>1080000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 s="1">
        <v>1080000</v>
      </c>
      <c r="BD406" t="s">
        <v>74</v>
      </c>
      <c r="BE406" t="s">
        <v>3451</v>
      </c>
      <c r="BF406" t="s">
        <v>2412</v>
      </c>
      <c r="BH406" t="s">
        <v>77</v>
      </c>
      <c r="BI406" t="s">
        <v>204</v>
      </c>
      <c r="BJ406" t="s">
        <v>79</v>
      </c>
      <c r="BM406">
        <v>0</v>
      </c>
      <c r="BN406">
        <v>1</v>
      </c>
      <c r="BO406">
        <v>1</v>
      </c>
      <c r="BP406" t="s">
        <v>514</v>
      </c>
      <c r="BR406">
        <v>0</v>
      </c>
      <c r="BS406">
        <v>6</v>
      </c>
      <c r="BU406" s="1">
        <v>1080000</v>
      </c>
    </row>
    <row r="407" spans="1:73" x14ac:dyDescent="0.3">
      <c r="A407" t="s">
        <v>4348</v>
      </c>
      <c r="B407">
        <v>0</v>
      </c>
      <c r="C407">
        <v>0</v>
      </c>
      <c r="D407">
        <v>1</v>
      </c>
      <c r="E407">
        <v>390000</v>
      </c>
      <c r="F407">
        <v>0</v>
      </c>
      <c r="G407">
        <v>0</v>
      </c>
      <c r="H407">
        <v>3</v>
      </c>
      <c r="I407">
        <v>126974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80000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5</v>
      </c>
      <c r="BC407" s="1">
        <v>596974</v>
      </c>
      <c r="BD407" t="s">
        <v>74</v>
      </c>
      <c r="BE407" t="s">
        <v>4349</v>
      </c>
      <c r="BF407" t="s">
        <v>1310</v>
      </c>
      <c r="BH407" t="s">
        <v>77</v>
      </c>
      <c r="BI407" t="s">
        <v>204</v>
      </c>
      <c r="BJ407" t="s">
        <v>79</v>
      </c>
      <c r="BM407">
        <v>0</v>
      </c>
      <c r="BN407">
        <v>3</v>
      </c>
      <c r="BO407">
        <v>3</v>
      </c>
      <c r="BP407" t="s">
        <v>514</v>
      </c>
      <c r="BR407">
        <v>0</v>
      </c>
      <c r="BS407">
        <v>6</v>
      </c>
      <c r="BU407" s="1">
        <v>596974</v>
      </c>
    </row>
    <row r="408" spans="1:73" x14ac:dyDescent="0.3">
      <c r="A408" t="s">
        <v>4350</v>
      </c>
      <c r="B408">
        <v>0</v>
      </c>
      <c r="C408">
        <v>527273</v>
      </c>
      <c r="D408">
        <v>1</v>
      </c>
      <c r="E408">
        <v>170909</v>
      </c>
      <c r="F408">
        <v>0</v>
      </c>
      <c r="G408">
        <v>0</v>
      </c>
      <c r="H408">
        <v>5</v>
      </c>
      <c r="I408">
        <v>85000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60000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7</v>
      </c>
      <c r="BC408" s="1">
        <v>843182</v>
      </c>
      <c r="BD408" t="s">
        <v>74</v>
      </c>
      <c r="BE408" t="s">
        <v>4351</v>
      </c>
      <c r="BF408" t="s">
        <v>1310</v>
      </c>
      <c r="BH408" t="s">
        <v>77</v>
      </c>
      <c r="BI408" t="s">
        <v>204</v>
      </c>
      <c r="BJ408" t="s">
        <v>79</v>
      </c>
      <c r="BM408">
        <v>0</v>
      </c>
      <c r="BN408">
        <v>3</v>
      </c>
      <c r="BO408">
        <v>3</v>
      </c>
      <c r="BP408" t="s">
        <v>514</v>
      </c>
      <c r="BR408">
        <v>0</v>
      </c>
      <c r="BS408">
        <v>6</v>
      </c>
      <c r="BU408" s="1">
        <v>843182</v>
      </c>
    </row>
    <row r="409" spans="1:73" x14ac:dyDescent="0.3">
      <c r="A409" t="s">
        <v>4721</v>
      </c>
      <c r="B409">
        <v>0</v>
      </c>
      <c r="C409">
        <v>0</v>
      </c>
      <c r="D409">
        <v>9</v>
      </c>
      <c r="E409">
        <v>2575273</v>
      </c>
      <c r="F409">
        <v>0</v>
      </c>
      <c r="G409">
        <v>0</v>
      </c>
      <c r="H409">
        <v>35</v>
      </c>
      <c r="I409">
        <v>748891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3936000</v>
      </c>
      <c r="P409">
        <v>1</v>
      </c>
      <c r="Q409">
        <v>60000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200000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49</v>
      </c>
      <c r="BC409" s="1">
        <v>11656164</v>
      </c>
      <c r="BD409" t="s">
        <v>74</v>
      </c>
      <c r="BE409" t="s">
        <v>4722</v>
      </c>
      <c r="BF409" t="s">
        <v>2412</v>
      </c>
      <c r="BH409" t="s">
        <v>77</v>
      </c>
      <c r="BI409" t="s">
        <v>204</v>
      </c>
      <c r="BJ409" t="s">
        <v>79</v>
      </c>
      <c r="BM409">
        <v>0</v>
      </c>
      <c r="BN409">
        <v>4</v>
      </c>
      <c r="BO409">
        <v>4</v>
      </c>
      <c r="BP409" t="s">
        <v>514</v>
      </c>
      <c r="BR409">
        <v>0</v>
      </c>
      <c r="BS409">
        <v>5</v>
      </c>
      <c r="BU409" s="1">
        <v>7520164</v>
      </c>
    </row>
    <row r="410" spans="1:73" x14ac:dyDescent="0.3">
      <c r="A410" t="s">
        <v>511</v>
      </c>
      <c r="B410">
        <v>1</v>
      </c>
      <c r="C410">
        <v>380029</v>
      </c>
      <c r="D410">
        <v>13</v>
      </c>
      <c r="E410">
        <v>3129692</v>
      </c>
      <c r="F410">
        <v>0</v>
      </c>
      <c r="G410">
        <v>0</v>
      </c>
      <c r="H410">
        <v>16</v>
      </c>
      <c r="I410">
        <v>342403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36</v>
      </c>
      <c r="BC410" s="1">
        <v>4861071</v>
      </c>
      <c r="BD410" t="s">
        <v>74</v>
      </c>
      <c r="BE410" t="s">
        <v>512</v>
      </c>
      <c r="BF410" t="s">
        <v>513</v>
      </c>
      <c r="BH410" t="s">
        <v>77</v>
      </c>
      <c r="BI410" t="s">
        <v>204</v>
      </c>
      <c r="BJ410" t="s">
        <v>79</v>
      </c>
      <c r="BM410">
        <v>0</v>
      </c>
      <c r="BN410">
        <v>3</v>
      </c>
      <c r="BO410">
        <v>3</v>
      </c>
      <c r="BP410" t="s">
        <v>514</v>
      </c>
      <c r="BR410">
        <v>0</v>
      </c>
      <c r="BS410">
        <v>6</v>
      </c>
      <c r="BU410" s="1">
        <v>3852124</v>
      </c>
    </row>
    <row r="411" spans="1:73" x14ac:dyDescent="0.3">
      <c r="A411" t="s">
        <v>1271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4</v>
      </c>
      <c r="I411">
        <v>80229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4</v>
      </c>
      <c r="BC411" s="1">
        <v>80229</v>
      </c>
      <c r="BD411" t="s">
        <v>74</v>
      </c>
      <c r="BE411" t="s">
        <v>1272</v>
      </c>
      <c r="BF411" t="s">
        <v>1273</v>
      </c>
      <c r="BH411" t="s">
        <v>77</v>
      </c>
      <c r="BI411" t="s">
        <v>204</v>
      </c>
      <c r="BJ411" t="s">
        <v>79</v>
      </c>
      <c r="BM411">
        <v>0</v>
      </c>
      <c r="BN411">
        <v>1</v>
      </c>
      <c r="BO411">
        <v>1</v>
      </c>
      <c r="BP411" t="s">
        <v>80</v>
      </c>
      <c r="BR411">
        <v>0</v>
      </c>
      <c r="BS411">
        <v>6</v>
      </c>
      <c r="BU411" s="1">
        <v>80229</v>
      </c>
    </row>
    <row r="412" spans="1:73" x14ac:dyDescent="0.3">
      <c r="A412" t="s">
        <v>1306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40000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</v>
      </c>
      <c r="BC412" s="1">
        <v>40000</v>
      </c>
      <c r="BD412" t="s">
        <v>74</v>
      </c>
      <c r="BE412" t="s">
        <v>1307</v>
      </c>
      <c r="BF412" t="s">
        <v>513</v>
      </c>
      <c r="BH412" t="s">
        <v>77</v>
      </c>
      <c r="BI412" t="s">
        <v>204</v>
      </c>
      <c r="BJ412" t="s">
        <v>79</v>
      </c>
      <c r="BM412">
        <v>0</v>
      </c>
      <c r="BN412">
        <v>1</v>
      </c>
      <c r="BO412">
        <v>1</v>
      </c>
      <c r="BP412" t="s">
        <v>514</v>
      </c>
      <c r="BR412">
        <v>0</v>
      </c>
      <c r="BS412">
        <v>6</v>
      </c>
      <c r="BU412" s="1">
        <v>40000</v>
      </c>
    </row>
    <row r="413" spans="1:73" x14ac:dyDescent="0.3">
      <c r="A413" t="s">
        <v>1329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13</v>
      </c>
      <c r="I413">
        <v>230365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13</v>
      </c>
      <c r="BC413" s="1">
        <v>230365</v>
      </c>
      <c r="BD413" t="s">
        <v>74</v>
      </c>
      <c r="BE413" t="s">
        <v>1330</v>
      </c>
      <c r="BF413" t="s">
        <v>1273</v>
      </c>
      <c r="BH413" t="s">
        <v>77</v>
      </c>
      <c r="BI413" t="s">
        <v>204</v>
      </c>
      <c r="BJ413" t="s">
        <v>79</v>
      </c>
      <c r="BM413">
        <v>0</v>
      </c>
      <c r="BN413">
        <v>1</v>
      </c>
      <c r="BO413">
        <v>1</v>
      </c>
      <c r="BP413" t="s">
        <v>514</v>
      </c>
      <c r="BR413">
        <v>0</v>
      </c>
      <c r="BS413">
        <v>6</v>
      </c>
      <c r="BU413" s="1">
        <v>230365</v>
      </c>
    </row>
    <row r="414" spans="1:73" x14ac:dyDescent="0.3">
      <c r="A414" t="s">
        <v>1883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</v>
      </c>
      <c r="I414">
        <v>46255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</v>
      </c>
      <c r="BC414" s="1">
        <v>46255</v>
      </c>
      <c r="BD414" t="s">
        <v>74</v>
      </c>
      <c r="BE414" t="s">
        <v>1884</v>
      </c>
      <c r="BF414" t="s">
        <v>513</v>
      </c>
      <c r="BH414" t="s">
        <v>77</v>
      </c>
      <c r="BI414" t="s">
        <v>204</v>
      </c>
      <c r="BJ414" t="s">
        <v>79</v>
      </c>
      <c r="BM414">
        <v>0</v>
      </c>
      <c r="BN414">
        <v>1</v>
      </c>
      <c r="BO414">
        <v>1</v>
      </c>
      <c r="BP414" t="s">
        <v>514</v>
      </c>
      <c r="BR414">
        <v>0</v>
      </c>
      <c r="BS414">
        <v>6</v>
      </c>
      <c r="BU414" s="1">
        <v>46255</v>
      </c>
    </row>
    <row r="415" spans="1:73" x14ac:dyDescent="0.3">
      <c r="A415" t="s">
        <v>1885</v>
      </c>
      <c r="B415">
        <v>1</v>
      </c>
      <c r="C415">
        <v>397702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39033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</v>
      </c>
      <c r="BC415" s="1">
        <v>436735</v>
      </c>
      <c r="BD415" t="s">
        <v>74</v>
      </c>
      <c r="BE415" t="s">
        <v>1886</v>
      </c>
      <c r="BF415" t="s">
        <v>1273</v>
      </c>
      <c r="BH415" t="s">
        <v>77</v>
      </c>
      <c r="BI415" t="s">
        <v>204</v>
      </c>
      <c r="BJ415" t="s">
        <v>79</v>
      </c>
      <c r="BM415">
        <v>0</v>
      </c>
      <c r="BN415">
        <v>2</v>
      </c>
      <c r="BO415">
        <v>2</v>
      </c>
      <c r="BP415" t="s">
        <v>80</v>
      </c>
      <c r="BR415">
        <v>0</v>
      </c>
      <c r="BS415">
        <v>6</v>
      </c>
      <c r="BU415" s="1">
        <v>436735</v>
      </c>
    </row>
    <row r="416" spans="1:73" x14ac:dyDescent="0.3">
      <c r="A416" t="s">
        <v>1893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25000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 s="1">
        <v>25000</v>
      </c>
      <c r="BD416" t="s">
        <v>74</v>
      </c>
      <c r="BE416" t="s">
        <v>1894</v>
      </c>
      <c r="BF416" t="s">
        <v>1273</v>
      </c>
      <c r="BH416" t="s">
        <v>77</v>
      </c>
      <c r="BI416" t="s">
        <v>204</v>
      </c>
      <c r="BJ416" t="s">
        <v>79</v>
      </c>
      <c r="BM416">
        <v>0</v>
      </c>
      <c r="BN416">
        <v>1</v>
      </c>
      <c r="BO416">
        <v>1</v>
      </c>
      <c r="BP416" t="s">
        <v>80</v>
      </c>
      <c r="BR416">
        <v>0</v>
      </c>
      <c r="BS416">
        <v>6</v>
      </c>
      <c r="BU416" s="1">
        <v>25000</v>
      </c>
    </row>
    <row r="417" spans="1:73" x14ac:dyDescent="0.3">
      <c r="A417" t="s">
        <v>2148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52200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</v>
      </c>
      <c r="BC417" s="1">
        <v>52200</v>
      </c>
      <c r="BD417" t="s">
        <v>74</v>
      </c>
      <c r="BE417" t="s">
        <v>2149</v>
      </c>
      <c r="BF417" t="s">
        <v>1273</v>
      </c>
      <c r="BH417" t="s">
        <v>77</v>
      </c>
      <c r="BI417" t="s">
        <v>204</v>
      </c>
      <c r="BJ417" t="s">
        <v>79</v>
      </c>
      <c r="BM417">
        <v>0</v>
      </c>
      <c r="BN417">
        <v>1</v>
      </c>
      <c r="BO417">
        <v>1</v>
      </c>
      <c r="BP417" t="s">
        <v>514</v>
      </c>
      <c r="BR417">
        <v>0</v>
      </c>
      <c r="BS417">
        <v>6</v>
      </c>
      <c r="BU417" s="1">
        <v>52200</v>
      </c>
    </row>
    <row r="418" spans="1:73" x14ac:dyDescent="0.3">
      <c r="A418" t="s">
        <v>2180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78063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3</v>
      </c>
      <c r="BC418" s="1">
        <v>78063</v>
      </c>
      <c r="BD418" t="s">
        <v>74</v>
      </c>
      <c r="BE418" t="s">
        <v>2181</v>
      </c>
      <c r="BF418" t="s">
        <v>2182</v>
      </c>
      <c r="BH418" t="s">
        <v>77</v>
      </c>
      <c r="BI418" t="s">
        <v>204</v>
      </c>
      <c r="BJ418" t="s">
        <v>79</v>
      </c>
      <c r="BM418">
        <v>0</v>
      </c>
      <c r="BN418">
        <v>1</v>
      </c>
      <c r="BO418">
        <v>1</v>
      </c>
      <c r="BP418" t="s">
        <v>514</v>
      </c>
      <c r="BR418">
        <v>0</v>
      </c>
      <c r="BS418">
        <v>6</v>
      </c>
      <c r="BU418" s="1">
        <v>78063</v>
      </c>
    </row>
    <row r="419" spans="1:73" x14ac:dyDescent="0.3">
      <c r="A419" t="s">
        <v>2333</v>
      </c>
      <c r="B419">
        <v>0</v>
      </c>
      <c r="C419">
        <v>0</v>
      </c>
      <c r="D419">
        <v>2</v>
      </c>
      <c r="E419">
        <v>975454</v>
      </c>
      <c r="F419">
        <v>0</v>
      </c>
      <c r="G419">
        <v>0</v>
      </c>
      <c r="H419">
        <v>2</v>
      </c>
      <c r="I419">
        <v>40000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84</v>
      </c>
      <c r="BC419" s="1">
        <v>1850933</v>
      </c>
      <c r="BD419" t="s">
        <v>74</v>
      </c>
      <c r="BE419" t="s">
        <v>2334</v>
      </c>
      <c r="BF419" t="s">
        <v>513</v>
      </c>
      <c r="BH419" t="s">
        <v>77</v>
      </c>
      <c r="BI419" t="s">
        <v>204</v>
      </c>
      <c r="BJ419" t="s">
        <v>79</v>
      </c>
      <c r="BM419">
        <v>0</v>
      </c>
      <c r="BN419">
        <v>2</v>
      </c>
      <c r="BO419">
        <v>2</v>
      </c>
      <c r="BP419" t="s">
        <v>514</v>
      </c>
      <c r="BR419">
        <v>0</v>
      </c>
      <c r="BS419">
        <v>6</v>
      </c>
      <c r="BU419" s="1">
        <v>1015454</v>
      </c>
    </row>
    <row r="420" spans="1:73" x14ac:dyDescent="0.3">
      <c r="A420" t="s">
        <v>2481</v>
      </c>
      <c r="B420">
        <v>0</v>
      </c>
      <c r="C420">
        <v>527273</v>
      </c>
      <c r="D420">
        <v>1</v>
      </c>
      <c r="E420">
        <v>170909</v>
      </c>
      <c r="F420">
        <v>0</v>
      </c>
      <c r="G420">
        <v>0</v>
      </c>
      <c r="H420">
        <v>7</v>
      </c>
      <c r="I420">
        <v>150000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165000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9</v>
      </c>
      <c r="BC420" s="1">
        <v>1013182</v>
      </c>
      <c r="BD420" t="s">
        <v>74</v>
      </c>
      <c r="BE420" t="s">
        <v>2482</v>
      </c>
      <c r="BF420" t="s">
        <v>513</v>
      </c>
      <c r="BH420" t="s">
        <v>77</v>
      </c>
      <c r="BI420" t="s">
        <v>204</v>
      </c>
      <c r="BJ420" t="s">
        <v>79</v>
      </c>
      <c r="BM420">
        <v>1</v>
      </c>
      <c r="BN420">
        <v>2</v>
      </c>
      <c r="BO420">
        <v>3</v>
      </c>
      <c r="BP420" t="s">
        <v>80</v>
      </c>
      <c r="BR420">
        <v>0</v>
      </c>
      <c r="BS420">
        <v>6</v>
      </c>
      <c r="BU420" s="1">
        <v>1013182</v>
      </c>
    </row>
    <row r="421" spans="1:73" x14ac:dyDescent="0.3">
      <c r="A421" t="s">
        <v>2486</v>
      </c>
      <c r="B421">
        <v>0</v>
      </c>
      <c r="C421">
        <v>1054546</v>
      </c>
      <c r="D421">
        <v>4</v>
      </c>
      <c r="E421">
        <v>750909</v>
      </c>
      <c r="F421">
        <v>0</v>
      </c>
      <c r="G421">
        <v>0</v>
      </c>
      <c r="H421">
        <v>4</v>
      </c>
      <c r="I421">
        <v>80000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8</v>
      </c>
      <c r="BC421" s="1">
        <v>2556364</v>
      </c>
      <c r="BD421" t="s">
        <v>74</v>
      </c>
      <c r="BE421" t="s">
        <v>2487</v>
      </c>
      <c r="BF421" t="s">
        <v>1273</v>
      </c>
      <c r="BH421" t="s">
        <v>77</v>
      </c>
      <c r="BI421" t="s">
        <v>593</v>
      </c>
      <c r="BJ421" t="s">
        <v>79</v>
      </c>
      <c r="BM421">
        <v>0</v>
      </c>
      <c r="BN421">
        <v>2</v>
      </c>
      <c r="BO421">
        <v>2</v>
      </c>
      <c r="BP421" t="s">
        <v>514</v>
      </c>
      <c r="BR421">
        <v>0</v>
      </c>
      <c r="BS421">
        <v>6</v>
      </c>
      <c r="BU421" s="1">
        <v>1885455</v>
      </c>
    </row>
    <row r="422" spans="1:73" x14ac:dyDescent="0.3">
      <c r="A422" t="s">
        <v>2522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5</v>
      </c>
      <c r="I422">
        <v>84648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</v>
      </c>
      <c r="BC422" s="1">
        <v>84648</v>
      </c>
      <c r="BD422" t="s">
        <v>74</v>
      </c>
      <c r="BE422" t="s">
        <v>2523</v>
      </c>
      <c r="BF422" t="s">
        <v>1273</v>
      </c>
      <c r="BH422" t="s">
        <v>77</v>
      </c>
      <c r="BI422" t="s">
        <v>204</v>
      </c>
      <c r="BJ422" t="s">
        <v>79</v>
      </c>
      <c r="BM422">
        <v>0</v>
      </c>
      <c r="BN422">
        <v>1</v>
      </c>
      <c r="BO422">
        <v>1</v>
      </c>
      <c r="BP422" t="s">
        <v>514</v>
      </c>
      <c r="BR422">
        <v>0</v>
      </c>
      <c r="BS422">
        <v>6</v>
      </c>
      <c r="BU422" s="1">
        <v>84648</v>
      </c>
    </row>
    <row r="423" spans="1:73" x14ac:dyDescent="0.3">
      <c r="A423" t="s">
        <v>2668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43865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 s="1">
        <v>43865</v>
      </c>
      <c r="BD423" t="s">
        <v>74</v>
      </c>
      <c r="BE423" t="s">
        <v>2669</v>
      </c>
      <c r="BF423" t="s">
        <v>1273</v>
      </c>
      <c r="BH423" t="s">
        <v>77</v>
      </c>
      <c r="BI423" t="s">
        <v>204</v>
      </c>
      <c r="BJ423" t="s">
        <v>79</v>
      </c>
      <c r="BM423">
        <v>0</v>
      </c>
      <c r="BN423">
        <v>1</v>
      </c>
      <c r="BO423">
        <v>1</v>
      </c>
      <c r="BP423" t="s">
        <v>514</v>
      </c>
      <c r="BR423">
        <v>0</v>
      </c>
      <c r="BS423">
        <v>6</v>
      </c>
      <c r="BU423" s="1">
        <v>43865</v>
      </c>
    </row>
    <row r="424" spans="1:73" x14ac:dyDescent="0.3">
      <c r="A424" t="s">
        <v>3046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27262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 s="1">
        <v>27262</v>
      </c>
      <c r="BD424" t="s">
        <v>74</v>
      </c>
      <c r="BE424" t="s">
        <v>3047</v>
      </c>
      <c r="BF424" t="s">
        <v>513</v>
      </c>
      <c r="BH424" t="s">
        <v>77</v>
      </c>
      <c r="BI424" t="s">
        <v>204</v>
      </c>
      <c r="BJ424" t="s">
        <v>79</v>
      </c>
      <c r="BM424">
        <v>0</v>
      </c>
      <c r="BN424">
        <v>1</v>
      </c>
      <c r="BO424">
        <v>1</v>
      </c>
      <c r="BP424" t="s">
        <v>80</v>
      </c>
      <c r="BR424">
        <v>0</v>
      </c>
      <c r="BS424">
        <v>6</v>
      </c>
      <c r="BU424" s="1">
        <v>27262</v>
      </c>
    </row>
    <row r="425" spans="1:73" x14ac:dyDescent="0.3">
      <c r="A425" t="s">
        <v>4393</v>
      </c>
      <c r="B425">
        <v>0</v>
      </c>
      <c r="C425">
        <v>0</v>
      </c>
      <c r="D425">
        <v>1</v>
      </c>
      <c r="E425">
        <v>350000</v>
      </c>
      <c r="F425">
        <v>0</v>
      </c>
      <c r="G425">
        <v>0</v>
      </c>
      <c r="H425">
        <v>1</v>
      </c>
      <c r="I425">
        <v>20208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 s="1">
        <v>370208</v>
      </c>
      <c r="BD425" t="s">
        <v>74</v>
      </c>
      <c r="BE425" t="s">
        <v>4394</v>
      </c>
      <c r="BF425" t="s">
        <v>513</v>
      </c>
      <c r="BH425" t="s">
        <v>77</v>
      </c>
      <c r="BI425" t="s">
        <v>204</v>
      </c>
      <c r="BJ425" t="s">
        <v>79</v>
      </c>
      <c r="BM425">
        <v>0</v>
      </c>
      <c r="BN425">
        <v>2</v>
      </c>
      <c r="BO425">
        <v>2</v>
      </c>
      <c r="BP425" t="s">
        <v>514</v>
      </c>
      <c r="BR425">
        <v>0</v>
      </c>
      <c r="BS425">
        <v>6</v>
      </c>
      <c r="BU425" s="1">
        <v>370208</v>
      </c>
    </row>
    <row r="426" spans="1:73" x14ac:dyDescent="0.3">
      <c r="A426" t="s">
        <v>4717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20000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 s="1">
        <v>20000</v>
      </c>
      <c r="BD426" t="s">
        <v>74</v>
      </c>
      <c r="BE426" t="s">
        <v>4718</v>
      </c>
      <c r="BF426" t="s">
        <v>513</v>
      </c>
      <c r="BH426" t="s">
        <v>77</v>
      </c>
      <c r="BI426" t="s">
        <v>204</v>
      </c>
      <c r="BJ426" t="s">
        <v>79</v>
      </c>
      <c r="BM426">
        <v>0</v>
      </c>
      <c r="BN426">
        <v>1</v>
      </c>
      <c r="BO426">
        <v>1</v>
      </c>
      <c r="BP426" t="s">
        <v>514</v>
      </c>
      <c r="BR426">
        <v>0</v>
      </c>
      <c r="BS426">
        <v>6</v>
      </c>
      <c r="BU426" s="1">
        <v>20000</v>
      </c>
    </row>
    <row r="427" spans="1:73" x14ac:dyDescent="0.3">
      <c r="A427" t="s">
        <v>4719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</v>
      </c>
      <c r="I427">
        <v>45000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</v>
      </c>
      <c r="BC427" s="1">
        <v>45000</v>
      </c>
      <c r="BD427" t="s">
        <v>74</v>
      </c>
      <c r="BE427" t="s">
        <v>4720</v>
      </c>
      <c r="BF427" t="s">
        <v>1273</v>
      </c>
      <c r="BH427" t="s">
        <v>77</v>
      </c>
      <c r="BI427" t="s">
        <v>204</v>
      </c>
      <c r="BJ427" t="s">
        <v>79</v>
      </c>
      <c r="BM427">
        <v>0</v>
      </c>
      <c r="BN427">
        <v>1</v>
      </c>
      <c r="BO427">
        <v>1</v>
      </c>
      <c r="BP427" t="s">
        <v>514</v>
      </c>
      <c r="BR427">
        <v>0</v>
      </c>
      <c r="BS427">
        <v>6</v>
      </c>
      <c r="BU427" s="1">
        <v>45000</v>
      </c>
    </row>
    <row r="428" spans="1:73" x14ac:dyDescent="0.3">
      <c r="A428" t="s">
        <v>2918</v>
      </c>
      <c r="B428">
        <v>2</v>
      </c>
      <c r="C428">
        <v>475499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</v>
      </c>
      <c r="BC428" s="1">
        <v>475499</v>
      </c>
      <c r="BD428" t="s">
        <v>74</v>
      </c>
      <c r="BE428" t="s">
        <v>2919</v>
      </c>
      <c r="BF428" t="s">
        <v>2920</v>
      </c>
      <c r="BH428" t="s">
        <v>77</v>
      </c>
      <c r="BI428" t="s">
        <v>204</v>
      </c>
      <c r="BJ428" t="s">
        <v>79</v>
      </c>
      <c r="BM428">
        <v>0</v>
      </c>
      <c r="BN428">
        <v>1</v>
      </c>
      <c r="BO428">
        <v>1</v>
      </c>
      <c r="BP428" t="s">
        <v>80</v>
      </c>
      <c r="BR428">
        <v>0</v>
      </c>
      <c r="BS428">
        <v>6</v>
      </c>
      <c r="BU428" s="1">
        <v>475499</v>
      </c>
    </row>
    <row r="429" spans="1:73" x14ac:dyDescent="0.3">
      <c r="A429" t="s">
        <v>1297</v>
      </c>
      <c r="B429">
        <v>1</v>
      </c>
      <c r="C429">
        <v>560283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 s="1">
        <v>560283</v>
      </c>
      <c r="BD429" t="s">
        <v>74</v>
      </c>
      <c r="BE429" t="s">
        <v>1298</v>
      </c>
      <c r="BF429" t="s">
        <v>1299</v>
      </c>
      <c r="BH429" t="s">
        <v>77</v>
      </c>
      <c r="BI429" t="s">
        <v>204</v>
      </c>
      <c r="BJ429" t="s">
        <v>79</v>
      </c>
      <c r="BM429">
        <v>0</v>
      </c>
      <c r="BN429">
        <v>1</v>
      </c>
      <c r="BO429">
        <v>1</v>
      </c>
      <c r="BP429" t="s">
        <v>80</v>
      </c>
      <c r="BR429">
        <v>0</v>
      </c>
      <c r="BS429">
        <v>0</v>
      </c>
      <c r="BU429" s="1">
        <v>560283</v>
      </c>
    </row>
    <row r="430" spans="1:73" x14ac:dyDescent="0.3">
      <c r="A430" t="s">
        <v>882</v>
      </c>
      <c r="B430">
        <v>0</v>
      </c>
      <c r="C430">
        <v>0</v>
      </c>
      <c r="D430">
        <v>4</v>
      </c>
      <c r="E430">
        <v>831125</v>
      </c>
      <c r="F430">
        <v>0</v>
      </c>
      <c r="G430">
        <v>0</v>
      </c>
      <c r="H430">
        <v>5</v>
      </c>
      <c r="I430">
        <v>161459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11</v>
      </c>
      <c r="BC430" s="1">
        <v>1754667</v>
      </c>
      <c r="BD430" t="s">
        <v>74</v>
      </c>
      <c r="BE430" t="s">
        <v>883</v>
      </c>
      <c r="BF430" t="s">
        <v>884</v>
      </c>
      <c r="BH430" t="s">
        <v>77</v>
      </c>
      <c r="BI430" t="s">
        <v>204</v>
      </c>
      <c r="BJ430" t="s">
        <v>79</v>
      </c>
      <c r="BM430">
        <v>0</v>
      </c>
      <c r="BN430">
        <v>2</v>
      </c>
      <c r="BO430">
        <v>2</v>
      </c>
      <c r="BP430" t="s">
        <v>80</v>
      </c>
      <c r="BR430">
        <v>0</v>
      </c>
      <c r="BS430">
        <v>6</v>
      </c>
      <c r="BU430" s="1">
        <v>992584</v>
      </c>
    </row>
    <row r="431" spans="1:73" x14ac:dyDescent="0.3">
      <c r="A431" t="s">
        <v>2244</v>
      </c>
      <c r="B431">
        <v>0</v>
      </c>
      <c r="C431">
        <v>0</v>
      </c>
      <c r="D431">
        <v>3</v>
      </c>
      <c r="E431">
        <v>339209</v>
      </c>
      <c r="F431">
        <v>0</v>
      </c>
      <c r="G431">
        <v>0</v>
      </c>
      <c r="H431">
        <v>1</v>
      </c>
      <c r="I431">
        <v>23655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69818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34092</v>
      </c>
      <c r="AA431">
        <v>0</v>
      </c>
      <c r="AB431">
        <v>1</v>
      </c>
      <c r="AC431">
        <v>225000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18</v>
      </c>
      <c r="BC431" s="1">
        <v>1448150</v>
      </c>
      <c r="BD431" t="s">
        <v>74</v>
      </c>
      <c r="BE431" t="s">
        <v>2245</v>
      </c>
      <c r="BF431" t="s">
        <v>2246</v>
      </c>
      <c r="BH431" t="s">
        <v>77</v>
      </c>
      <c r="BI431" t="s">
        <v>204</v>
      </c>
      <c r="BJ431" t="s">
        <v>79</v>
      </c>
      <c r="BM431">
        <v>2</v>
      </c>
      <c r="BN431">
        <v>3</v>
      </c>
      <c r="BO431">
        <v>5</v>
      </c>
      <c r="BP431" t="s">
        <v>514</v>
      </c>
      <c r="BR431">
        <v>0</v>
      </c>
      <c r="BS431">
        <v>6</v>
      </c>
      <c r="BU431" s="1">
        <v>691774</v>
      </c>
    </row>
    <row r="432" spans="1:73" x14ac:dyDescent="0.3">
      <c r="A432" t="s">
        <v>4390</v>
      </c>
      <c r="B432">
        <v>0</v>
      </c>
      <c r="C432">
        <v>0</v>
      </c>
      <c r="D432">
        <v>3</v>
      </c>
      <c r="E432">
        <v>750000</v>
      </c>
      <c r="F432">
        <v>0</v>
      </c>
      <c r="G432">
        <v>0</v>
      </c>
      <c r="H432">
        <v>3</v>
      </c>
      <c r="I432">
        <v>60000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72222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10</v>
      </c>
      <c r="BC432" s="1">
        <v>954444</v>
      </c>
      <c r="BD432" t="s">
        <v>74</v>
      </c>
      <c r="BE432" t="s">
        <v>4391</v>
      </c>
      <c r="BF432" t="s">
        <v>4392</v>
      </c>
      <c r="BH432" t="s">
        <v>77</v>
      </c>
      <c r="BI432" t="s">
        <v>204</v>
      </c>
      <c r="BJ432" t="s">
        <v>79</v>
      </c>
      <c r="BM432">
        <v>1</v>
      </c>
      <c r="BN432">
        <v>2</v>
      </c>
      <c r="BO432">
        <v>3</v>
      </c>
      <c r="BP432" t="s">
        <v>514</v>
      </c>
      <c r="BR432">
        <v>0</v>
      </c>
      <c r="BS432">
        <v>6</v>
      </c>
      <c r="BU432" s="1">
        <v>882222</v>
      </c>
    </row>
    <row r="433" spans="1:73" x14ac:dyDescent="0.3">
      <c r="A433" t="s">
        <v>2597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27778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3</v>
      </c>
      <c r="BC433" s="1">
        <v>151995</v>
      </c>
      <c r="BD433" t="s">
        <v>74</v>
      </c>
      <c r="BE433" t="s">
        <v>2598</v>
      </c>
      <c r="BF433" t="s">
        <v>2599</v>
      </c>
      <c r="BH433" t="s">
        <v>77</v>
      </c>
      <c r="BI433" t="s">
        <v>739</v>
      </c>
      <c r="BJ433" t="s">
        <v>79</v>
      </c>
      <c r="BM433">
        <v>1</v>
      </c>
      <c r="BN433">
        <v>0</v>
      </c>
      <c r="BO433">
        <v>1</v>
      </c>
      <c r="BP433" t="s">
        <v>80</v>
      </c>
      <c r="BR433">
        <v>0</v>
      </c>
      <c r="BS433">
        <v>0</v>
      </c>
      <c r="BU433" s="1">
        <v>27778</v>
      </c>
    </row>
    <row r="434" spans="1:73" x14ac:dyDescent="0.3">
      <c r="A434" t="s">
        <v>81</v>
      </c>
      <c r="B434">
        <v>0</v>
      </c>
      <c r="C434">
        <v>0</v>
      </c>
      <c r="D434">
        <v>1</v>
      </c>
      <c r="E434">
        <v>411428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 s="1">
        <v>411428</v>
      </c>
      <c r="BD434" t="s">
        <v>74</v>
      </c>
      <c r="BE434" t="s">
        <v>82</v>
      </c>
      <c r="BF434" t="s">
        <v>83</v>
      </c>
      <c r="BH434" t="s">
        <v>77</v>
      </c>
      <c r="BI434" t="s">
        <v>84</v>
      </c>
      <c r="BJ434" t="s">
        <v>79</v>
      </c>
      <c r="BM434">
        <v>0</v>
      </c>
      <c r="BN434">
        <v>1</v>
      </c>
      <c r="BO434">
        <v>1</v>
      </c>
      <c r="BP434" t="s">
        <v>80</v>
      </c>
      <c r="BR434">
        <v>0</v>
      </c>
      <c r="BS434">
        <v>6</v>
      </c>
      <c r="BU434" s="1">
        <v>411428</v>
      </c>
    </row>
    <row r="435" spans="1:73" x14ac:dyDescent="0.3">
      <c r="A435" t="s">
        <v>5339</v>
      </c>
      <c r="B435">
        <v>0</v>
      </c>
      <c r="C435">
        <v>0</v>
      </c>
      <c r="D435">
        <v>1</v>
      </c>
      <c r="E435">
        <v>222857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</v>
      </c>
      <c r="BC435" s="1">
        <v>445714</v>
      </c>
      <c r="BD435" t="s">
        <v>74</v>
      </c>
      <c r="BE435" t="s">
        <v>5340</v>
      </c>
      <c r="BF435" t="s">
        <v>5341</v>
      </c>
      <c r="BH435" t="s">
        <v>77</v>
      </c>
      <c r="BI435" t="s">
        <v>84</v>
      </c>
      <c r="BJ435" t="s">
        <v>79</v>
      </c>
      <c r="BM435">
        <v>0</v>
      </c>
      <c r="BN435">
        <v>1</v>
      </c>
      <c r="BO435">
        <v>1</v>
      </c>
      <c r="BP435" t="s">
        <v>80</v>
      </c>
      <c r="BR435">
        <v>0</v>
      </c>
      <c r="BS435">
        <v>6</v>
      </c>
      <c r="BU435" s="1">
        <v>222857</v>
      </c>
    </row>
    <row r="436" spans="1:73" x14ac:dyDescent="0.3">
      <c r="A436" t="s">
        <v>761</v>
      </c>
      <c r="B436">
        <v>0</v>
      </c>
      <c r="C436">
        <v>0</v>
      </c>
      <c r="D436">
        <v>3</v>
      </c>
      <c r="E436">
        <v>979632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5</v>
      </c>
      <c r="BC436" s="1">
        <v>1479264</v>
      </c>
      <c r="BD436" t="s">
        <v>74</v>
      </c>
      <c r="BE436" t="s">
        <v>762</v>
      </c>
      <c r="BF436" t="s">
        <v>763</v>
      </c>
      <c r="BH436" t="s">
        <v>77</v>
      </c>
      <c r="BI436" t="s">
        <v>84</v>
      </c>
      <c r="BJ436" t="s">
        <v>79</v>
      </c>
      <c r="BM436">
        <v>0</v>
      </c>
      <c r="BN436">
        <v>1</v>
      </c>
      <c r="BO436">
        <v>1</v>
      </c>
      <c r="BP436" t="s">
        <v>80</v>
      </c>
      <c r="BR436">
        <v>0</v>
      </c>
      <c r="BS436">
        <v>6</v>
      </c>
      <c r="BU436" s="1">
        <v>979632</v>
      </c>
    </row>
    <row r="437" spans="1:73" x14ac:dyDescent="0.3">
      <c r="A437" t="s">
        <v>2493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23</v>
      </c>
      <c r="BC437" s="1">
        <v>95841</v>
      </c>
      <c r="BD437" t="s">
        <v>74</v>
      </c>
      <c r="BE437" s="4" t="s">
        <v>2494</v>
      </c>
      <c r="BF437" s="4" t="s">
        <v>2495</v>
      </c>
      <c r="BM437">
        <v>0</v>
      </c>
      <c r="BN437">
        <v>0</v>
      </c>
      <c r="BO437">
        <v>0</v>
      </c>
      <c r="BP437" t="s">
        <v>514</v>
      </c>
      <c r="BR437">
        <v>0</v>
      </c>
      <c r="BS437">
        <v>0</v>
      </c>
      <c r="BU437" s="1">
        <v>0</v>
      </c>
    </row>
    <row r="438" spans="1:73" x14ac:dyDescent="0.3">
      <c r="A438" t="s">
        <v>3922</v>
      </c>
      <c r="B438">
        <v>0</v>
      </c>
      <c r="C438">
        <v>0</v>
      </c>
      <c r="D438">
        <v>2</v>
      </c>
      <c r="E438">
        <v>1236364</v>
      </c>
      <c r="F438">
        <v>0</v>
      </c>
      <c r="G438">
        <v>0</v>
      </c>
      <c r="H438">
        <v>1</v>
      </c>
      <c r="I438">
        <v>47173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3</v>
      </c>
      <c r="BC438" s="1">
        <v>1283537</v>
      </c>
      <c r="BD438" t="s">
        <v>74</v>
      </c>
      <c r="BE438" t="s">
        <v>3923</v>
      </c>
      <c r="BF438" t="s">
        <v>3924</v>
      </c>
      <c r="BH438" t="s">
        <v>77</v>
      </c>
      <c r="BI438" t="s">
        <v>574</v>
      </c>
      <c r="BJ438" t="s">
        <v>79</v>
      </c>
      <c r="BM438">
        <v>0</v>
      </c>
      <c r="BN438">
        <v>2</v>
      </c>
      <c r="BO438">
        <v>2</v>
      </c>
      <c r="BP438" t="s">
        <v>80</v>
      </c>
      <c r="BR438">
        <v>0</v>
      </c>
      <c r="BS438">
        <v>6</v>
      </c>
      <c r="BU438" s="1">
        <v>1283537</v>
      </c>
    </row>
    <row r="439" spans="1:73" x14ac:dyDescent="0.3">
      <c r="A439" t="s">
        <v>1990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96439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</v>
      </c>
      <c r="BC439" s="1">
        <v>192878</v>
      </c>
      <c r="BD439" t="s">
        <v>74</v>
      </c>
      <c r="BE439" t="s">
        <v>1991</v>
      </c>
      <c r="BF439" t="s">
        <v>1992</v>
      </c>
      <c r="BH439" t="s">
        <v>77</v>
      </c>
      <c r="BI439" t="s">
        <v>204</v>
      </c>
      <c r="BJ439" t="s">
        <v>79</v>
      </c>
      <c r="BM439">
        <v>1</v>
      </c>
      <c r="BN439">
        <v>0</v>
      </c>
      <c r="BO439">
        <v>1</v>
      </c>
      <c r="BP439" t="s">
        <v>80</v>
      </c>
      <c r="BR439">
        <v>0</v>
      </c>
      <c r="BS439">
        <v>0</v>
      </c>
      <c r="BU439" s="1">
        <v>96439</v>
      </c>
    </row>
    <row r="440" spans="1:73" x14ac:dyDescent="0.3">
      <c r="A440" t="s">
        <v>3005</v>
      </c>
      <c r="B440">
        <v>2</v>
      </c>
      <c r="C440">
        <v>350925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</v>
      </c>
      <c r="BC440" s="1">
        <v>350925</v>
      </c>
      <c r="BD440" t="s">
        <v>74</v>
      </c>
      <c r="BE440" t="s">
        <v>3006</v>
      </c>
      <c r="BF440" t="s">
        <v>3007</v>
      </c>
      <c r="BH440" t="s">
        <v>77</v>
      </c>
      <c r="BI440" t="s">
        <v>204</v>
      </c>
      <c r="BJ440" t="s">
        <v>79</v>
      </c>
      <c r="BM440">
        <v>0</v>
      </c>
      <c r="BN440">
        <v>1</v>
      </c>
      <c r="BO440">
        <v>1</v>
      </c>
      <c r="BP440" t="s">
        <v>80</v>
      </c>
      <c r="BR440">
        <v>0</v>
      </c>
      <c r="BS440">
        <v>6</v>
      </c>
      <c r="BU440" s="1">
        <v>350925</v>
      </c>
    </row>
    <row r="441" spans="1:73" x14ac:dyDescent="0.3">
      <c r="A441" t="s">
        <v>1158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</v>
      </c>
      <c r="I441">
        <v>96369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45682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11526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6</v>
      </c>
      <c r="BC441" s="1">
        <v>153577</v>
      </c>
      <c r="BD441" t="s">
        <v>74</v>
      </c>
      <c r="BE441" t="s">
        <v>1159</v>
      </c>
      <c r="BF441" t="s">
        <v>1160</v>
      </c>
      <c r="BH441" t="s">
        <v>77</v>
      </c>
      <c r="BI441" t="s">
        <v>593</v>
      </c>
      <c r="BJ441" t="s">
        <v>79</v>
      </c>
      <c r="BM441">
        <v>2</v>
      </c>
      <c r="BN441">
        <v>1</v>
      </c>
      <c r="BO441">
        <v>3</v>
      </c>
      <c r="BP441" t="s">
        <v>80</v>
      </c>
      <c r="BR441">
        <v>0</v>
      </c>
      <c r="BS441">
        <v>6</v>
      </c>
      <c r="BU441" s="1">
        <v>153577</v>
      </c>
    </row>
    <row r="442" spans="1:73" x14ac:dyDescent="0.3">
      <c r="A442" t="s">
        <v>2104</v>
      </c>
      <c r="B442">
        <v>4</v>
      </c>
      <c r="C442">
        <v>1106001</v>
      </c>
      <c r="D442">
        <v>5</v>
      </c>
      <c r="E442">
        <v>1360000</v>
      </c>
      <c r="F442">
        <v>0</v>
      </c>
      <c r="G442">
        <v>0</v>
      </c>
      <c r="H442">
        <v>6</v>
      </c>
      <c r="I442">
        <v>120000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50000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15</v>
      </c>
      <c r="BC442" s="1">
        <v>3876001</v>
      </c>
      <c r="BD442" t="s">
        <v>74</v>
      </c>
      <c r="BE442" t="s">
        <v>2105</v>
      </c>
      <c r="BF442" t="s">
        <v>2106</v>
      </c>
      <c r="BH442" t="s">
        <v>123</v>
      </c>
      <c r="BI442" t="s">
        <v>325</v>
      </c>
      <c r="BJ442" t="s">
        <v>125</v>
      </c>
      <c r="BM442">
        <v>1</v>
      </c>
      <c r="BN442">
        <v>3</v>
      </c>
      <c r="BO442">
        <v>4</v>
      </c>
      <c r="BP442" t="s">
        <v>80</v>
      </c>
      <c r="BR442">
        <v>0</v>
      </c>
      <c r="BS442">
        <v>6</v>
      </c>
      <c r="BU442" s="1">
        <v>2636001</v>
      </c>
    </row>
    <row r="443" spans="1:73" x14ac:dyDescent="0.3">
      <c r="A443" t="s">
        <v>4574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78585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 s="1">
        <v>78585</v>
      </c>
      <c r="BD443" t="s">
        <v>74</v>
      </c>
      <c r="BE443" t="s">
        <v>4575</v>
      </c>
      <c r="BF443" t="s">
        <v>4576</v>
      </c>
      <c r="BH443" t="s">
        <v>77</v>
      </c>
      <c r="BI443" t="s">
        <v>92</v>
      </c>
      <c r="BJ443" t="s">
        <v>79</v>
      </c>
      <c r="BM443">
        <v>1</v>
      </c>
      <c r="BN443">
        <v>0</v>
      </c>
      <c r="BO443">
        <v>1</v>
      </c>
      <c r="BP443" t="s">
        <v>80</v>
      </c>
      <c r="BR443">
        <v>0</v>
      </c>
      <c r="BS443">
        <v>0</v>
      </c>
      <c r="BU443" s="1">
        <v>78585</v>
      </c>
    </row>
    <row r="444" spans="1:73" x14ac:dyDescent="0.3">
      <c r="A444" t="s">
        <v>4766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73535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 s="1">
        <v>73535</v>
      </c>
      <c r="BD444" t="s">
        <v>74</v>
      </c>
      <c r="BE444" t="s">
        <v>4767</v>
      </c>
      <c r="BF444" t="s">
        <v>2106</v>
      </c>
      <c r="BH444" t="s">
        <v>77</v>
      </c>
      <c r="BI444" t="s">
        <v>92</v>
      </c>
      <c r="BJ444" t="s">
        <v>79</v>
      </c>
      <c r="BM444">
        <v>1</v>
      </c>
      <c r="BN444">
        <v>0</v>
      </c>
      <c r="BO444">
        <v>1</v>
      </c>
      <c r="BP444" t="s">
        <v>80</v>
      </c>
      <c r="BR444">
        <v>0</v>
      </c>
      <c r="BS444">
        <v>0</v>
      </c>
      <c r="BU444" s="1">
        <v>73535</v>
      </c>
    </row>
    <row r="445" spans="1:73" x14ac:dyDescent="0.3">
      <c r="A445" t="s">
        <v>3984</v>
      </c>
      <c r="B445">
        <v>0</v>
      </c>
      <c r="C445">
        <v>1654546</v>
      </c>
      <c r="D445">
        <v>1</v>
      </c>
      <c r="E445">
        <v>170909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</v>
      </c>
      <c r="BC445" s="1">
        <v>1996364</v>
      </c>
      <c r="BD445" t="s">
        <v>74</v>
      </c>
      <c r="BE445" t="s">
        <v>3985</v>
      </c>
      <c r="BF445" t="s">
        <v>3986</v>
      </c>
      <c r="BH445" t="s">
        <v>77</v>
      </c>
      <c r="BI445" t="s">
        <v>92</v>
      </c>
      <c r="BJ445" t="s">
        <v>79</v>
      </c>
      <c r="BM445">
        <v>0</v>
      </c>
      <c r="BN445">
        <v>1</v>
      </c>
      <c r="BO445">
        <v>1</v>
      </c>
      <c r="BP445" t="s">
        <v>80</v>
      </c>
      <c r="BR445">
        <v>0</v>
      </c>
      <c r="BS445">
        <v>6</v>
      </c>
      <c r="BU445" s="1">
        <v>1825455</v>
      </c>
    </row>
    <row r="446" spans="1:73" x14ac:dyDescent="0.3">
      <c r="A446" t="s">
        <v>640</v>
      </c>
      <c r="B446">
        <v>1</v>
      </c>
      <c r="C446">
        <v>1259415</v>
      </c>
      <c r="D446">
        <v>15</v>
      </c>
      <c r="E446">
        <v>8228250</v>
      </c>
      <c r="F446">
        <v>0</v>
      </c>
      <c r="G446">
        <v>0</v>
      </c>
      <c r="H446">
        <v>5</v>
      </c>
      <c r="I446">
        <v>108304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50000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217</v>
      </c>
      <c r="BC446" s="1">
        <v>25711802</v>
      </c>
      <c r="BD446" t="s">
        <v>74</v>
      </c>
      <c r="BE446" t="s">
        <v>641</v>
      </c>
      <c r="BF446" t="s">
        <v>642</v>
      </c>
      <c r="BH446" t="s">
        <v>77</v>
      </c>
      <c r="BI446" t="s">
        <v>78</v>
      </c>
      <c r="BJ446" t="s">
        <v>79</v>
      </c>
      <c r="BM446">
        <v>0</v>
      </c>
      <c r="BN446">
        <v>4</v>
      </c>
      <c r="BO446">
        <v>4</v>
      </c>
      <c r="BP446" t="s">
        <v>514</v>
      </c>
      <c r="BR446">
        <v>0</v>
      </c>
      <c r="BS446">
        <v>5</v>
      </c>
      <c r="BU446" s="1">
        <v>9645969</v>
      </c>
    </row>
    <row r="447" spans="1:73" x14ac:dyDescent="0.3">
      <c r="A447" t="s">
        <v>3595</v>
      </c>
      <c r="B447">
        <v>0</v>
      </c>
      <c r="C447">
        <v>0</v>
      </c>
      <c r="D447">
        <v>1</v>
      </c>
      <c r="E447">
        <v>300000</v>
      </c>
      <c r="F447">
        <v>0</v>
      </c>
      <c r="G447">
        <v>0</v>
      </c>
      <c r="H447">
        <v>1</v>
      </c>
      <c r="I447">
        <v>20000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</v>
      </c>
      <c r="BC447" s="1">
        <v>320000</v>
      </c>
      <c r="BD447" t="s">
        <v>74</v>
      </c>
      <c r="BE447" t="s">
        <v>3596</v>
      </c>
      <c r="BF447" t="s">
        <v>3597</v>
      </c>
      <c r="BH447" t="s">
        <v>77</v>
      </c>
      <c r="BI447" t="s">
        <v>281</v>
      </c>
      <c r="BJ447" t="s">
        <v>79</v>
      </c>
      <c r="BM447">
        <v>0</v>
      </c>
      <c r="BN447">
        <v>2</v>
      </c>
      <c r="BO447">
        <v>2</v>
      </c>
      <c r="BP447" t="s">
        <v>80</v>
      </c>
      <c r="BR447">
        <v>0</v>
      </c>
      <c r="BS447">
        <v>6</v>
      </c>
      <c r="BU447" s="1">
        <v>320000</v>
      </c>
    </row>
    <row r="448" spans="1:73" x14ac:dyDescent="0.3">
      <c r="A448" t="s">
        <v>5147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152120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</v>
      </c>
      <c r="BC448" s="1">
        <v>152120</v>
      </c>
      <c r="BD448" t="s">
        <v>74</v>
      </c>
      <c r="BE448" t="s">
        <v>5148</v>
      </c>
      <c r="BF448" t="s">
        <v>5149</v>
      </c>
      <c r="BH448" t="s">
        <v>77</v>
      </c>
      <c r="BI448" t="s">
        <v>78</v>
      </c>
      <c r="BJ448" t="s">
        <v>79</v>
      </c>
      <c r="BM448">
        <v>1</v>
      </c>
      <c r="BN448">
        <v>0</v>
      </c>
      <c r="BO448">
        <v>1</v>
      </c>
      <c r="BP448" t="s">
        <v>80</v>
      </c>
      <c r="BR448">
        <v>0</v>
      </c>
      <c r="BS448">
        <v>0</v>
      </c>
      <c r="BU448" s="1">
        <v>152120</v>
      </c>
    </row>
    <row r="449" spans="1:73" x14ac:dyDescent="0.3">
      <c r="A449" t="s">
        <v>3043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73535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</v>
      </c>
      <c r="BC449" s="1">
        <v>147070</v>
      </c>
      <c r="BD449" t="s">
        <v>74</v>
      </c>
      <c r="BE449" t="s">
        <v>3044</v>
      </c>
      <c r="BF449" t="s">
        <v>3045</v>
      </c>
      <c r="BH449" t="s">
        <v>77</v>
      </c>
      <c r="BI449" t="s">
        <v>574</v>
      </c>
      <c r="BJ449" t="s">
        <v>79</v>
      </c>
      <c r="BM449">
        <v>1</v>
      </c>
      <c r="BN449">
        <v>0</v>
      </c>
      <c r="BO449">
        <v>1</v>
      </c>
      <c r="BP449" t="s">
        <v>80</v>
      </c>
      <c r="BR449">
        <v>0</v>
      </c>
      <c r="BS449">
        <v>6</v>
      </c>
      <c r="BU449" s="1">
        <v>73535</v>
      </c>
    </row>
    <row r="450" spans="1:73" x14ac:dyDescent="0.3">
      <c r="A450" t="s">
        <v>2075</v>
      </c>
      <c r="B450">
        <v>7</v>
      </c>
      <c r="C450">
        <v>1425146</v>
      </c>
      <c r="D450">
        <v>3</v>
      </c>
      <c r="E450">
        <v>230909</v>
      </c>
      <c r="F450">
        <v>0</v>
      </c>
      <c r="G450">
        <v>0</v>
      </c>
      <c r="H450">
        <v>3</v>
      </c>
      <c r="I450">
        <v>60000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73535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13</v>
      </c>
      <c r="BC450" s="1">
        <v>1828175</v>
      </c>
      <c r="BD450" t="s">
        <v>74</v>
      </c>
      <c r="BE450" t="s">
        <v>2076</v>
      </c>
      <c r="BF450" t="s">
        <v>2077</v>
      </c>
      <c r="BH450" t="s">
        <v>77</v>
      </c>
      <c r="BI450" t="s">
        <v>281</v>
      </c>
      <c r="BJ450" t="s">
        <v>79</v>
      </c>
      <c r="BM450">
        <v>1</v>
      </c>
      <c r="BN450">
        <v>3</v>
      </c>
      <c r="BO450">
        <v>4</v>
      </c>
      <c r="BP450" t="s">
        <v>80</v>
      </c>
      <c r="BR450">
        <v>0</v>
      </c>
      <c r="BS450">
        <v>6</v>
      </c>
      <c r="BU450" s="1">
        <v>1789590</v>
      </c>
    </row>
    <row r="451" spans="1:73" x14ac:dyDescent="0.3">
      <c r="A451" t="s">
        <v>953</v>
      </c>
      <c r="B451">
        <v>0</v>
      </c>
      <c r="C451">
        <v>0</v>
      </c>
      <c r="D451">
        <v>2</v>
      </c>
      <c r="E451">
        <v>697486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</v>
      </c>
      <c r="BC451" s="1">
        <v>1197486</v>
      </c>
      <c r="BD451" t="s">
        <v>74</v>
      </c>
      <c r="BE451" t="s">
        <v>954</v>
      </c>
      <c r="BF451" t="s">
        <v>955</v>
      </c>
      <c r="BH451" t="s">
        <v>114</v>
      </c>
      <c r="BI451" t="s">
        <v>956</v>
      </c>
      <c r="BJ451" t="s">
        <v>79</v>
      </c>
      <c r="BM451">
        <v>0</v>
      </c>
      <c r="BN451">
        <v>1</v>
      </c>
      <c r="BO451">
        <v>1</v>
      </c>
      <c r="BP451" t="s">
        <v>80</v>
      </c>
      <c r="BR451">
        <v>0</v>
      </c>
      <c r="BS451">
        <v>6</v>
      </c>
      <c r="BU451" s="1">
        <v>697486</v>
      </c>
    </row>
    <row r="452" spans="1:73" x14ac:dyDescent="0.3">
      <c r="A452" t="s">
        <v>1114</v>
      </c>
      <c r="B452">
        <v>0</v>
      </c>
      <c r="C452">
        <v>0</v>
      </c>
      <c r="D452">
        <v>1</v>
      </c>
      <c r="E452">
        <v>304000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 s="1">
        <v>304000</v>
      </c>
      <c r="BD452" t="s">
        <v>74</v>
      </c>
      <c r="BE452" t="s">
        <v>1115</v>
      </c>
      <c r="BF452" t="s">
        <v>1116</v>
      </c>
      <c r="BH452" t="s">
        <v>77</v>
      </c>
      <c r="BI452" t="s">
        <v>228</v>
      </c>
      <c r="BJ452" t="s">
        <v>79</v>
      </c>
      <c r="BM452">
        <v>0</v>
      </c>
      <c r="BN452">
        <v>1</v>
      </c>
      <c r="BO452">
        <v>1</v>
      </c>
      <c r="BP452" t="s">
        <v>80</v>
      </c>
      <c r="BR452">
        <v>0</v>
      </c>
      <c r="BS452">
        <v>6</v>
      </c>
      <c r="BU452" s="1">
        <v>304000</v>
      </c>
    </row>
    <row r="453" spans="1:73" x14ac:dyDescent="0.3">
      <c r="A453" t="s">
        <v>5265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78585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</v>
      </c>
      <c r="BC453" s="1">
        <v>157170</v>
      </c>
      <c r="BD453" t="s">
        <v>74</v>
      </c>
      <c r="BE453" t="s">
        <v>5266</v>
      </c>
      <c r="BF453" t="s">
        <v>5267</v>
      </c>
      <c r="BH453" t="s">
        <v>77</v>
      </c>
      <c r="BI453" t="s">
        <v>574</v>
      </c>
      <c r="BJ453" t="s">
        <v>79</v>
      </c>
      <c r="BM453">
        <v>1</v>
      </c>
      <c r="BN453">
        <v>0</v>
      </c>
      <c r="BO453">
        <v>1</v>
      </c>
      <c r="BP453" t="s">
        <v>80</v>
      </c>
      <c r="BR453">
        <v>0</v>
      </c>
      <c r="BS453">
        <v>6</v>
      </c>
      <c r="BU453" s="1">
        <v>78585</v>
      </c>
    </row>
    <row r="454" spans="1:73" x14ac:dyDescent="0.3">
      <c r="A454" t="s">
        <v>3718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73535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19792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</v>
      </c>
      <c r="BC454" s="1">
        <v>93327</v>
      </c>
      <c r="BD454" t="s">
        <v>74</v>
      </c>
      <c r="BE454" t="s">
        <v>3719</v>
      </c>
      <c r="BF454" t="s">
        <v>3720</v>
      </c>
      <c r="BH454" t="s">
        <v>77</v>
      </c>
      <c r="BI454" t="s">
        <v>88</v>
      </c>
      <c r="BJ454" t="s">
        <v>79</v>
      </c>
      <c r="BM454">
        <v>2</v>
      </c>
      <c r="BN454">
        <v>0</v>
      </c>
      <c r="BO454">
        <v>2</v>
      </c>
      <c r="BP454" t="s">
        <v>80</v>
      </c>
      <c r="BR454">
        <v>0</v>
      </c>
      <c r="BS454">
        <v>0</v>
      </c>
      <c r="BU454" s="1">
        <v>93327</v>
      </c>
    </row>
    <row r="455" spans="1:73" x14ac:dyDescent="0.3">
      <c r="A455" t="s">
        <v>5699</v>
      </c>
      <c r="B455">
        <v>0</v>
      </c>
      <c r="C455">
        <v>0</v>
      </c>
      <c r="D455">
        <v>3</v>
      </c>
      <c r="E455">
        <v>262581</v>
      </c>
      <c r="F455">
        <v>0</v>
      </c>
      <c r="G455">
        <v>0</v>
      </c>
      <c r="H455">
        <v>4</v>
      </c>
      <c r="I455">
        <v>80000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</v>
      </c>
      <c r="BC455" s="1">
        <v>525162</v>
      </c>
      <c r="BD455" t="s">
        <v>74</v>
      </c>
      <c r="BE455" t="s">
        <v>5700</v>
      </c>
      <c r="BF455" t="s">
        <v>5701</v>
      </c>
      <c r="BH455" t="s">
        <v>77</v>
      </c>
      <c r="BI455" t="s">
        <v>593</v>
      </c>
      <c r="BJ455" t="s">
        <v>79</v>
      </c>
      <c r="BM455">
        <v>0</v>
      </c>
      <c r="BN455">
        <v>2</v>
      </c>
      <c r="BO455">
        <v>2</v>
      </c>
      <c r="BP455" t="s">
        <v>80</v>
      </c>
      <c r="BR455">
        <v>0</v>
      </c>
      <c r="BS455">
        <v>6</v>
      </c>
      <c r="BU455" s="1">
        <v>342581</v>
      </c>
    </row>
    <row r="456" spans="1:73" x14ac:dyDescent="0.3">
      <c r="A456" t="s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73535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</v>
      </c>
      <c r="BC456" s="1">
        <v>264444</v>
      </c>
      <c r="BD456" t="s">
        <v>74</v>
      </c>
      <c r="BE456" t="s">
        <v>855</v>
      </c>
      <c r="BF456" t="s">
        <v>856</v>
      </c>
      <c r="BH456" t="s">
        <v>175</v>
      </c>
      <c r="BI456" t="s">
        <v>857</v>
      </c>
      <c r="BJ456" t="s">
        <v>125</v>
      </c>
      <c r="BM456">
        <v>1</v>
      </c>
      <c r="BN456">
        <v>0</v>
      </c>
      <c r="BO456">
        <v>1</v>
      </c>
      <c r="BP456" t="s">
        <v>80</v>
      </c>
      <c r="BR456">
        <v>0</v>
      </c>
      <c r="BS456">
        <v>0</v>
      </c>
      <c r="BU456" s="1">
        <v>73535</v>
      </c>
    </row>
    <row r="457" spans="1:73" x14ac:dyDescent="0.3">
      <c r="A457" t="s">
        <v>4837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78585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 s="1">
        <v>78585</v>
      </c>
      <c r="BD457" t="s">
        <v>74</v>
      </c>
      <c r="BE457" t="s">
        <v>4838</v>
      </c>
      <c r="BF457" t="s">
        <v>4839</v>
      </c>
      <c r="BH457" t="s">
        <v>77</v>
      </c>
      <c r="BI457" t="s">
        <v>228</v>
      </c>
      <c r="BJ457" t="s">
        <v>79</v>
      </c>
      <c r="BM457">
        <v>1</v>
      </c>
      <c r="BN457">
        <v>0</v>
      </c>
      <c r="BO457">
        <v>1</v>
      </c>
      <c r="BP457" t="s">
        <v>80</v>
      </c>
      <c r="BR457">
        <v>0</v>
      </c>
      <c r="BS457">
        <v>0</v>
      </c>
      <c r="BU457" s="1">
        <v>78585</v>
      </c>
    </row>
    <row r="458" spans="1:73" x14ac:dyDescent="0.3">
      <c r="A458" t="s">
        <v>4048</v>
      </c>
      <c r="B458">
        <v>4</v>
      </c>
      <c r="C458">
        <v>1193951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20000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6</v>
      </c>
      <c r="BC458" s="1">
        <v>1233951</v>
      </c>
      <c r="BD458" t="s">
        <v>74</v>
      </c>
      <c r="BE458" t="s">
        <v>4049</v>
      </c>
      <c r="BF458" t="s">
        <v>4050</v>
      </c>
      <c r="BH458" t="s">
        <v>77</v>
      </c>
      <c r="BI458" t="s">
        <v>92</v>
      </c>
      <c r="BJ458" t="s">
        <v>79</v>
      </c>
      <c r="BM458">
        <v>1</v>
      </c>
      <c r="BN458">
        <v>1</v>
      </c>
      <c r="BO458">
        <v>2</v>
      </c>
      <c r="BP458" t="s">
        <v>80</v>
      </c>
      <c r="BR458">
        <v>0</v>
      </c>
      <c r="BS458">
        <v>6</v>
      </c>
      <c r="BU458" s="1">
        <v>1213951</v>
      </c>
    </row>
    <row r="459" spans="1:73" x14ac:dyDescent="0.3">
      <c r="A459" t="s">
        <v>5403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 s="1">
        <v>333334</v>
      </c>
      <c r="BD459" t="s">
        <v>74</v>
      </c>
      <c r="BE459" t="s">
        <v>5404</v>
      </c>
      <c r="BF459" t="s">
        <v>5405</v>
      </c>
      <c r="BM459">
        <v>0</v>
      </c>
      <c r="BN459">
        <v>0</v>
      </c>
      <c r="BO459">
        <v>0</v>
      </c>
      <c r="BP459" t="s">
        <v>80</v>
      </c>
      <c r="BR459">
        <v>0</v>
      </c>
      <c r="BS459">
        <v>6</v>
      </c>
      <c r="BU459" s="1">
        <v>0</v>
      </c>
    </row>
    <row r="460" spans="1:73" x14ac:dyDescent="0.3">
      <c r="A460" t="s">
        <v>4852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58334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</v>
      </c>
      <c r="BC460" s="1">
        <v>116668</v>
      </c>
      <c r="BD460" t="s">
        <v>74</v>
      </c>
      <c r="BE460" t="s">
        <v>4853</v>
      </c>
      <c r="BF460" t="s">
        <v>4854</v>
      </c>
      <c r="BH460" t="s">
        <v>77</v>
      </c>
      <c r="BI460" t="s">
        <v>92</v>
      </c>
      <c r="BJ460" t="s">
        <v>79</v>
      </c>
      <c r="BM460">
        <v>1</v>
      </c>
      <c r="BN460">
        <v>0</v>
      </c>
      <c r="BO460">
        <v>1</v>
      </c>
      <c r="BP460" t="s">
        <v>514</v>
      </c>
      <c r="BR460">
        <v>0</v>
      </c>
      <c r="BS460">
        <v>0</v>
      </c>
      <c r="BU460" s="1">
        <v>58334</v>
      </c>
    </row>
    <row r="461" spans="1:73" x14ac:dyDescent="0.3">
      <c r="A461" t="s">
        <v>108</v>
      </c>
      <c r="B461">
        <v>0</v>
      </c>
      <c r="C461">
        <v>0</v>
      </c>
      <c r="D461">
        <v>29</v>
      </c>
      <c r="E461">
        <v>5624755</v>
      </c>
      <c r="F461">
        <v>0</v>
      </c>
      <c r="G461">
        <v>0</v>
      </c>
      <c r="H461">
        <v>57</v>
      </c>
      <c r="I461">
        <v>1489775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60000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82993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57208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75</v>
      </c>
      <c r="BC461" s="1">
        <v>12564425</v>
      </c>
      <c r="BD461" t="s">
        <v>74</v>
      </c>
      <c r="BE461" t="s">
        <v>109</v>
      </c>
      <c r="BF461" t="s">
        <v>110</v>
      </c>
      <c r="BH461" t="s">
        <v>97</v>
      </c>
      <c r="BI461" t="s">
        <v>98</v>
      </c>
      <c r="BJ461" t="s">
        <v>79</v>
      </c>
      <c r="BM461">
        <v>2</v>
      </c>
      <c r="BN461">
        <v>3</v>
      </c>
      <c r="BO461">
        <v>5</v>
      </c>
      <c r="BP461" t="s">
        <v>99</v>
      </c>
      <c r="BR461">
        <v>0</v>
      </c>
      <c r="BS461">
        <v>5</v>
      </c>
      <c r="BU461" s="1">
        <v>7314731</v>
      </c>
    </row>
    <row r="462" spans="1:73" x14ac:dyDescent="0.3">
      <c r="A462" t="s">
        <v>5214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10</v>
      </c>
      <c r="BC462" s="1">
        <v>2102273</v>
      </c>
      <c r="BD462" t="s">
        <v>74</v>
      </c>
      <c r="BE462" t="s">
        <v>5215</v>
      </c>
      <c r="BF462" t="s">
        <v>5216</v>
      </c>
      <c r="BH462" t="s">
        <v>476</v>
      </c>
      <c r="BI462" t="s">
        <v>1472</v>
      </c>
      <c r="BJ462" t="s">
        <v>125</v>
      </c>
      <c r="BM462">
        <v>0</v>
      </c>
      <c r="BN462">
        <v>0</v>
      </c>
      <c r="BO462">
        <v>0</v>
      </c>
      <c r="BP462" t="s">
        <v>514</v>
      </c>
      <c r="BR462">
        <v>0</v>
      </c>
      <c r="BS462">
        <v>0</v>
      </c>
      <c r="BU462" s="1">
        <v>0</v>
      </c>
    </row>
    <row r="463" spans="1:73" x14ac:dyDescent="0.3">
      <c r="A463" t="s">
        <v>418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40888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2</v>
      </c>
      <c r="BC463" s="1">
        <v>40888</v>
      </c>
      <c r="BD463" t="s">
        <v>74</v>
      </c>
      <c r="BE463" t="s">
        <v>419</v>
      </c>
      <c r="BF463" t="s">
        <v>420</v>
      </c>
      <c r="BH463" t="s">
        <v>77</v>
      </c>
      <c r="BI463" t="s">
        <v>88</v>
      </c>
      <c r="BJ463" t="s">
        <v>79</v>
      </c>
      <c r="BM463">
        <v>0</v>
      </c>
      <c r="BN463">
        <v>1</v>
      </c>
      <c r="BO463">
        <v>1</v>
      </c>
      <c r="BP463" t="s">
        <v>80</v>
      </c>
      <c r="BR463">
        <v>0</v>
      </c>
      <c r="BS463">
        <v>6</v>
      </c>
      <c r="BU463" s="1">
        <v>40888</v>
      </c>
    </row>
    <row r="464" spans="1:73" x14ac:dyDescent="0.3">
      <c r="A464" t="s">
        <v>362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73535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 s="1">
        <v>73535</v>
      </c>
      <c r="BD464" t="s">
        <v>74</v>
      </c>
      <c r="BE464" t="s">
        <v>363</v>
      </c>
      <c r="BF464" t="s">
        <v>364</v>
      </c>
      <c r="BH464" t="s">
        <v>77</v>
      </c>
      <c r="BI464" t="s">
        <v>281</v>
      </c>
      <c r="BJ464" t="s">
        <v>79</v>
      </c>
      <c r="BM464">
        <v>1</v>
      </c>
      <c r="BN464">
        <v>0</v>
      </c>
      <c r="BO464">
        <v>1</v>
      </c>
      <c r="BP464" t="s">
        <v>80</v>
      </c>
      <c r="BR464">
        <v>0</v>
      </c>
      <c r="BS464">
        <v>0</v>
      </c>
      <c r="BU464" s="1">
        <v>73535</v>
      </c>
    </row>
    <row r="465" spans="1:73" x14ac:dyDescent="0.3">
      <c r="A465" t="s">
        <v>594</v>
      </c>
      <c r="B465">
        <v>1</v>
      </c>
      <c r="C465">
        <v>363636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 s="1">
        <v>363636</v>
      </c>
      <c r="BD465" t="s">
        <v>74</v>
      </c>
      <c r="BE465" t="s">
        <v>595</v>
      </c>
      <c r="BF465" t="s">
        <v>596</v>
      </c>
      <c r="BM465">
        <v>0</v>
      </c>
      <c r="BN465">
        <v>1</v>
      </c>
      <c r="BO465">
        <v>1</v>
      </c>
      <c r="BP465" t="s">
        <v>80</v>
      </c>
      <c r="BR465">
        <v>0</v>
      </c>
      <c r="BS465">
        <v>0</v>
      </c>
      <c r="BU465" s="1">
        <v>363636</v>
      </c>
    </row>
    <row r="466" spans="1:73" x14ac:dyDescent="0.3">
      <c r="A466" t="s">
        <v>201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4</v>
      </c>
      <c r="I466">
        <v>268548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4</v>
      </c>
      <c r="BC466" s="1">
        <v>268548</v>
      </c>
      <c r="BD466" t="s">
        <v>74</v>
      </c>
      <c r="BE466" t="s">
        <v>202</v>
      </c>
      <c r="BF466" t="s">
        <v>203</v>
      </c>
      <c r="BH466" t="s">
        <v>77</v>
      </c>
      <c r="BI466" t="s">
        <v>204</v>
      </c>
      <c r="BJ466" t="s">
        <v>79</v>
      </c>
      <c r="BM466">
        <v>0</v>
      </c>
      <c r="BN466">
        <v>1</v>
      </c>
      <c r="BO466">
        <v>1</v>
      </c>
      <c r="BP466" t="s">
        <v>99</v>
      </c>
      <c r="BR466">
        <v>0</v>
      </c>
      <c r="BS466">
        <v>6</v>
      </c>
      <c r="BU466" s="1">
        <v>268548</v>
      </c>
    </row>
    <row r="467" spans="1:73" x14ac:dyDescent="0.3">
      <c r="A467" t="s">
        <v>2695</v>
      </c>
      <c r="B467">
        <v>0</v>
      </c>
      <c r="C467">
        <v>0</v>
      </c>
      <c r="D467">
        <v>1</v>
      </c>
      <c r="E467">
        <v>235000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65000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73535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19792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7</v>
      </c>
      <c r="BC467" s="1">
        <v>663132</v>
      </c>
      <c r="BD467" t="s">
        <v>74</v>
      </c>
      <c r="BE467" t="s">
        <v>2696</v>
      </c>
      <c r="BF467" t="s">
        <v>2697</v>
      </c>
      <c r="BH467" t="s">
        <v>77</v>
      </c>
      <c r="BI467" t="s">
        <v>78</v>
      </c>
      <c r="BJ467" t="s">
        <v>79</v>
      </c>
      <c r="BM467">
        <v>2</v>
      </c>
      <c r="BN467">
        <v>2</v>
      </c>
      <c r="BO467">
        <v>4</v>
      </c>
      <c r="BP467" t="s">
        <v>80</v>
      </c>
      <c r="BR467">
        <v>0</v>
      </c>
      <c r="BS467">
        <v>6</v>
      </c>
      <c r="BU467" s="1">
        <v>393327</v>
      </c>
    </row>
    <row r="468" spans="1:73" x14ac:dyDescent="0.3">
      <c r="A468" t="s">
        <v>3484</v>
      </c>
      <c r="B468">
        <v>1</v>
      </c>
      <c r="C468">
        <v>319868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 s="1">
        <v>319868</v>
      </c>
      <c r="BD468" t="s">
        <v>74</v>
      </c>
      <c r="BE468" t="s">
        <v>3485</v>
      </c>
      <c r="BF468" t="s">
        <v>3486</v>
      </c>
      <c r="BH468" t="s">
        <v>77</v>
      </c>
      <c r="BI468" t="s">
        <v>204</v>
      </c>
      <c r="BJ468" t="s">
        <v>79</v>
      </c>
      <c r="BM468">
        <v>0</v>
      </c>
      <c r="BN468">
        <v>1</v>
      </c>
      <c r="BO468">
        <v>1</v>
      </c>
      <c r="BP468" t="s">
        <v>80</v>
      </c>
      <c r="BR468">
        <v>0</v>
      </c>
      <c r="BS468">
        <v>6</v>
      </c>
      <c r="BU468" s="1">
        <v>319868</v>
      </c>
    </row>
    <row r="469" spans="1:73" x14ac:dyDescent="0.3">
      <c r="A469" t="s">
        <v>2359</v>
      </c>
      <c r="B469">
        <v>0</v>
      </c>
      <c r="C469">
        <v>0</v>
      </c>
      <c r="D469">
        <v>1</v>
      </c>
      <c r="E469">
        <v>20000</v>
      </c>
      <c r="F469">
        <v>0</v>
      </c>
      <c r="G469">
        <v>0</v>
      </c>
      <c r="H469">
        <v>2</v>
      </c>
      <c r="I469">
        <v>40000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</v>
      </c>
      <c r="BC469" s="1">
        <v>40000</v>
      </c>
      <c r="BD469" t="s">
        <v>74</v>
      </c>
      <c r="BE469" t="s">
        <v>2360</v>
      </c>
      <c r="BF469" t="s">
        <v>2361</v>
      </c>
      <c r="BH469" t="s">
        <v>77</v>
      </c>
      <c r="BI469" t="s">
        <v>78</v>
      </c>
      <c r="BJ469" t="s">
        <v>79</v>
      </c>
      <c r="BM469">
        <v>0</v>
      </c>
      <c r="BN469">
        <v>2</v>
      </c>
      <c r="BO469">
        <v>2</v>
      </c>
      <c r="BP469" t="s">
        <v>80</v>
      </c>
      <c r="BR469">
        <v>0</v>
      </c>
      <c r="BS469">
        <v>6</v>
      </c>
      <c r="BU469" s="1">
        <v>60000</v>
      </c>
    </row>
    <row r="470" spans="1:73" x14ac:dyDescent="0.3">
      <c r="A470" t="s">
        <v>5516</v>
      </c>
      <c r="B470">
        <v>0</v>
      </c>
      <c r="C470">
        <v>0</v>
      </c>
      <c r="D470">
        <v>1</v>
      </c>
      <c r="E470">
        <v>650000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 s="1">
        <v>650000</v>
      </c>
      <c r="BD470" t="s">
        <v>74</v>
      </c>
      <c r="BE470" t="s">
        <v>5517</v>
      </c>
      <c r="BF470" t="s">
        <v>5518</v>
      </c>
      <c r="BH470" t="s">
        <v>77</v>
      </c>
      <c r="BI470" t="s">
        <v>92</v>
      </c>
      <c r="BJ470" t="s">
        <v>79</v>
      </c>
      <c r="BM470">
        <v>0</v>
      </c>
      <c r="BN470">
        <v>1</v>
      </c>
      <c r="BO470">
        <v>1</v>
      </c>
      <c r="BP470" t="s">
        <v>80</v>
      </c>
      <c r="BR470">
        <v>0</v>
      </c>
      <c r="BS470">
        <v>6</v>
      </c>
      <c r="BU470" s="1">
        <v>650000</v>
      </c>
    </row>
    <row r="471" spans="1:73" x14ac:dyDescent="0.3">
      <c r="A471" t="s">
        <v>330</v>
      </c>
      <c r="B471">
        <v>0</v>
      </c>
      <c r="C471">
        <v>0</v>
      </c>
      <c r="D471">
        <v>1</v>
      </c>
      <c r="E471">
        <v>246857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</v>
      </c>
      <c r="BC471" s="1">
        <v>493714</v>
      </c>
      <c r="BD471" t="s">
        <v>74</v>
      </c>
      <c r="BE471" t="s">
        <v>331</v>
      </c>
      <c r="BF471" t="s">
        <v>332</v>
      </c>
      <c r="BH471" t="s">
        <v>136</v>
      </c>
      <c r="BI471" t="s">
        <v>333</v>
      </c>
      <c r="BJ471" t="s">
        <v>125</v>
      </c>
      <c r="BM471">
        <v>0</v>
      </c>
      <c r="BN471">
        <v>1</v>
      </c>
      <c r="BO471">
        <v>1</v>
      </c>
      <c r="BP471" t="s">
        <v>80</v>
      </c>
      <c r="BR471">
        <v>0</v>
      </c>
      <c r="BS471">
        <v>6</v>
      </c>
      <c r="BU471" s="1">
        <v>246857</v>
      </c>
    </row>
    <row r="472" spans="1:73" x14ac:dyDescent="0.3">
      <c r="A472" t="s">
        <v>161</v>
      </c>
      <c r="B472">
        <v>0</v>
      </c>
      <c r="C472">
        <v>0</v>
      </c>
      <c r="D472">
        <v>2</v>
      </c>
      <c r="E472">
        <v>300000</v>
      </c>
      <c r="F472">
        <v>0</v>
      </c>
      <c r="G472">
        <v>0</v>
      </c>
      <c r="H472">
        <v>13</v>
      </c>
      <c r="I472">
        <v>180000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15</v>
      </c>
      <c r="BC472" s="1">
        <v>480000</v>
      </c>
      <c r="BD472" t="s">
        <v>74</v>
      </c>
      <c r="BE472" t="s">
        <v>162</v>
      </c>
      <c r="BF472" t="s">
        <v>163</v>
      </c>
      <c r="BH472" t="s">
        <v>164</v>
      </c>
      <c r="BI472" t="s">
        <v>165</v>
      </c>
      <c r="BJ472" t="s">
        <v>79</v>
      </c>
      <c r="BM472">
        <v>0</v>
      </c>
      <c r="BN472">
        <v>2</v>
      </c>
      <c r="BO472">
        <v>2</v>
      </c>
      <c r="BP472" t="s">
        <v>99</v>
      </c>
      <c r="BR472">
        <v>0</v>
      </c>
      <c r="BS472">
        <v>6</v>
      </c>
      <c r="BU472" s="1">
        <v>480000</v>
      </c>
    </row>
    <row r="473" spans="1:73" x14ac:dyDescent="0.3">
      <c r="A473" t="s">
        <v>2288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57208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2</v>
      </c>
      <c r="BC473" s="1">
        <v>207208</v>
      </c>
      <c r="BD473" t="s">
        <v>74</v>
      </c>
      <c r="BE473" t="s">
        <v>2289</v>
      </c>
      <c r="BF473" t="s">
        <v>2290</v>
      </c>
      <c r="BH473" t="s">
        <v>77</v>
      </c>
      <c r="BI473" t="s">
        <v>204</v>
      </c>
      <c r="BJ473" t="s">
        <v>79</v>
      </c>
      <c r="BM473">
        <v>1</v>
      </c>
      <c r="BN473">
        <v>0</v>
      </c>
      <c r="BO473">
        <v>1</v>
      </c>
      <c r="BP473" t="s">
        <v>80</v>
      </c>
      <c r="BR473">
        <v>0</v>
      </c>
      <c r="BS473">
        <v>6</v>
      </c>
      <c r="BU473" s="1">
        <v>57208</v>
      </c>
    </row>
    <row r="474" spans="1:73" x14ac:dyDescent="0.3">
      <c r="A474" t="s">
        <v>1352</v>
      </c>
      <c r="B474">
        <v>4</v>
      </c>
      <c r="C474">
        <v>1258484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4</v>
      </c>
      <c r="BC474" s="1">
        <v>1258484</v>
      </c>
      <c r="BD474" t="s">
        <v>74</v>
      </c>
      <c r="BE474" t="s">
        <v>1353</v>
      </c>
      <c r="BF474" t="s">
        <v>1354</v>
      </c>
      <c r="BH474" t="s">
        <v>77</v>
      </c>
      <c r="BI474" t="s">
        <v>204</v>
      </c>
      <c r="BJ474" t="s">
        <v>79</v>
      </c>
      <c r="BM474">
        <v>0</v>
      </c>
      <c r="BN474">
        <v>1</v>
      </c>
      <c r="BO474">
        <v>1</v>
      </c>
      <c r="BP474" t="s">
        <v>80</v>
      </c>
      <c r="BR474">
        <v>0</v>
      </c>
      <c r="BS474">
        <v>6</v>
      </c>
      <c r="BU474" s="1">
        <v>1258484</v>
      </c>
    </row>
    <row r="475" spans="1:73" x14ac:dyDescent="0.3">
      <c r="A475" t="s">
        <v>1234</v>
      </c>
      <c r="B475">
        <v>129</v>
      </c>
      <c r="C475">
        <v>17092283</v>
      </c>
      <c r="D475">
        <v>32</v>
      </c>
      <c r="E475">
        <v>18145513</v>
      </c>
      <c r="F475">
        <v>0</v>
      </c>
      <c r="G475">
        <v>0</v>
      </c>
      <c r="H475">
        <v>133</v>
      </c>
      <c r="I475">
        <v>11067006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5</v>
      </c>
      <c r="Z475">
        <v>655428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306</v>
      </c>
      <c r="BC475" s="1">
        <v>65190953</v>
      </c>
      <c r="BD475" t="s">
        <v>74</v>
      </c>
      <c r="BE475" t="s">
        <v>1235</v>
      </c>
      <c r="BF475" t="s">
        <v>1236</v>
      </c>
      <c r="BH475" t="s">
        <v>175</v>
      </c>
      <c r="BI475" t="s">
        <v>176</v>
      </c>
      <c r="BJ475" t="s">
        <v>125</v>
      </c>
      <c r="BM475">
        <v>1</v>
      </c>
      <c r="BN475">
        <v>3</v>
      </c>
      <c r="BO475">
        <v>4</v>
      </c>
      <c r="BP475" t="s">
        <v>80</v>
      </c>
      <c r="BR475">
        <v>0</v>
      </c>
      <c r="BS475">
        <v>3</v>
      </c>
      <c r="BU475" s="1">
        <v>46960230</v>
      </c>
    </row>
    <row r="476" spans="1:73" x14ac:dyDescent="0.3">
      <c r="A476" t="s">
        <v>3463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73535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</v>
      </c>
      <c r="BC476" s="1">
        <v>147070</v>
      </c>
      <c r="BD476" t="s">
        <v>74</v>
      </c>
      <c r="BE476" t="s">
        <v>3464</v>
      </c>
      <c r="BF476" t="s">
        <v>3465</v>
      </c>
      <c r="BH476" t="s">
        <v>77</v>
      </c>
      <c r="BI476" t="s">
        <v>78</v>
      </c>
      <c r="BJ476" t="s">
        <v>79</v>
      </c>
      <c r="BM476">
        <v>1</v>
      </c>
      <c r="BN476">
        <v>0</v>
      </c>
      <c r="BO476">
        <v>1</v>
      </c>
      <c r="BP476" t="s">
        <v>80</v>
      </c>
      <c r="BR476">
        <v>0</v>
      </c>
      <c r="BS476">
        <v>0</v>
      </c>
      <c r="BU476" s="1">
        <v>73535</v>
      </c>
    </row>
    <row r="477" spans="1:73" x14ac:dyDescent="0.3">
      <c r="A477" t="s">
        <v>2005</v>
      </c>
      <c r="B477">
        <v>4</v>
      </c>
      <c r="C477">
        <v>768744</v>
      </c>
      <c r="D477">
        <v>1</v>
      </c>
      <c r="E477">
        <v>97745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6</v>
      </c>
      <c r="BC477" s="1">
        <v>964234</v>
      </c>
      <c r="BD477" t="s">
        <v>74</v>
      </c>
      <c r="BE477" t="s">
        <v>2006</v>
      </c>
      <c r="BF477" t="s">
        <v>2007</v>
      </c>
      <c r="BH477" t="s">
        <v>77</v>
      </c>
      <c r="BI477" t="s">
        <v>574</v>
      </c>
      <c r="BJ477" t="s">
        <v>79</v>
      </c>
      <c r="BM477">
        <v>0</v>
      </c>
      <c r="BN477">
        <v>2</v>
      </c>
      <c r="BO477">
        <v>2</v>
      </c>
      <c r="BP477" t="s">
        <v>80</v>
      </c>
      <c r="BR477">
        <v>0</v>
      </c>
      <c r="BS477">
        <v>6</v>
      </c>
      <c r="BU477" s="1">
        <v>866489</v>
      </c>
    </row>
    <row r="478" spans="1:73" x14ac:dyDescent="0.3">
      <c r="A478" t="s">
        <v>3383</v>
      </c>
      <c r="B478">
        <v>0</v>
      </c>
      <c r="C478">
        <v>0</v>
      </c>
      <c r="D478">
        <v>1</v>
      </c>
      <c r="E478">
        <v>250000</v>
      </c>
      <c r="F478">
        <v>0</v>
      </c>
      <c r="G478">
        <v>0</v>
      </c>
      <c r="H478">
        <v>1</v>
      </c>
      <c r="I478">
        <v>20000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73535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19792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</v>
      </c>
      <c r="BC478" s="1">
        <v>363327</v>
      </c>
      <c r="BD478" t="s">
        <v>74</v>
      </c>
      <c r="BE478" t="s">
        <v>3384</v>
      </c>
      <c r="BF478" t="s">
        <v>3385</v>
      </c>
      <c r="BH478" t="s">
        <v>77</v>
      </c>
      <c r="BI478" t="s">
        <v>574</v>
      </c>
      <c r="BJ478" t="s">
        <v>79</v>
      </c>
      <c r="BM478">
        <v>2</v>
      </c>
      <c r="BN478">
        <v>2</v>
      </c>
      <c r="BO478">
        <v>4</v>
      </c>
      <c r="BP478" t="s">
        <v>80</v>
      </c>
      <c r="BR478">
        <v>0</v>
      </c>
      <c r="BS478">
        <v>6</v>
      </c>
      <c r="BU478" s="1">
        <v>363327</v>
      </c>
    </row>
    <row r="479" spans="1:73" x14ac:dyDescent="0.3">
      <c r="A479" t="s">
        <v>5436</v>
      </c>
      <c r="B479">
        <v>0</v>
      </c>
      <c r="C479">
        <v>0</v>
      </c>
      <c r="D479">
        <v>1</v>
      </c>
      <c r="E479">
        <v>53411</v>
      </c>
      <c r="F479">
        <v>0</v>
      </c>
      <c r="G479">
        <v>0</v>
      </c>
      <c r="H479">
        <v>2</v>
      </c>
      <c r="I479">
        <v>106822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2</v>
      </c>
      <c r="BC479" s="1">
        <v>106822</v>
      </c>
      <c r="BD479" t="s">
        <v>74</v>
      </c>
      <c r="BE479" t="s">
        <v>5437</v>
      </c>
      <c r="BF479" t="s">
        <v>5438</v>
      </c>
      <c r="BH479" t="s">
        <v>77</v>
      </c>
      <c r="BI479" t="s">
        <v>593</v>
      </c>
      <c r="BJ479" t="s">
        <v>79</v>
      </c>
      <c r="BM479">
        <v>0</v>
      </c>
      <c r="BN479">
        <v>2</v>
      </c>
      <c r="BO479">
        <v>2</v>
      </c>
      <c r="BP479" t="s">
        <v>80</v>
      </c>
      <c r="BR479">
        <v>0</v>
      </c>
      <c r="BS479">
        <v>6</v>
      </c>
      <c r="BU479" s="1">
        <v>160233</v>
      </c>
    </row>
    <row r="480" spans="1:73" x14ac:dyDescent="0.3">
      <c r="A480" t="s">
        <v>2997</v>
      </c>
      <c r="B480">
        <v>0</v>
      </c>
      <c r="C480">
        <v>0</v>
      </c>
      <c r="D480">
        <v>2</v>
      </c>
      <c r="E480">
        <v>645455</v>
      </c>
      <c r="F480">
        <v>0</v>
      </c>
      <c r="G480">
        <v>0</v>
      </c>
      <c r="H480">
        <v>44</v>
      </c>
      <c r="I480">
        <v>1452362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83332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90909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55</v>
      </c>
      <c r="BC480" s="1">
        <v>4329936</v>
      </c>
      <c r="BD480" t="s">
        <v>74</v>
      </c>
      <c r="BE480" t="s">
        <v>2998</v>
      </c>
      <c r="BF480" t="s">
        <v>2999</v>
      </c>
      <c r="BH480" t="s">
        <v>77</v>
      </c>
      <c r="BI480" t="s">
        <v>204</v>
      </c>
      <c r="BJ480" t="s">
        <v>79</v>
      </c>
      <c r="BM480">
        <v>2</v>
      </c>
      <c r="BN480">
        <v>2</v>
      </c>
      <c r="BO480">
        <v>4</v>
      </c>
      <c r="BP480" t="s">
        <v>514</v>
      </c>
      <c r="BR480">
        <v>0</v>
      </c>
      <c r="BS480">
        <v>6</v>
      </c>
      <c r="BU480" s="1">
        <v>2272058</v>
      </c>
    </row>
    <row r="481" spans="1:73" x14ac:dyDescent="0.3">
      <c r="A481" t="s">
        <v>1337</v>
      </c>
      <c r="B481">
        <v>0</v>
      </c>
      <c r="C481">
        <v>59091</v>
      </c>
      <c r="D481">
        <v>22</v>
      </c>
      <c r="E481">
        <v>1361090</v>
      </c>
      <c r="F481">
        <v>0</v>
      </c>
      <c r="G481">
        <v>0</v>
      </c>
      <c r="H481">
        <v>40</v>
      </c>
      <c r="I481">
        <v>850548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105000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400000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50</v>
      </c>
      <c r="BC481" s="1">
        <v>2450455</v>
      </c>
      <c r="BD481" t="s">
        <v>74</v>
      </c>
      <c r="BE481" t="s">
        <v>1338</v>
      </c>
      <c r="BF481" t="s">
        <v>1339</v>
      </c>
      <c r="BH481" t="s">
        <v>114</v>
      </c>
      <c r="BI481" t="s">
        <v>115</v>
      </c>
      <c r="BJ481" t="s">
        <v>79</v>
      </c>
      <c r="BM481">
        <v>1</v>
      </c>
      <c r="BN481">
        <v>3</v>
      </c>
      <c r="BO481">
        <v>4</v>
      </c>
      <c r="BP481" t="s">
        <v>514</v>
      </c>
      <c r="BR481">
        <v>0</v>
      </c>
      <c r="BS481">
        <v>6</v>
      </c>
      <c r="BU481" s="1">
        <v>2775729</v>
      </c>
    </row>
    <row r="482" spans="1:73" x14ac:dyDescent="0.3">
      <c r="A482" t="s">
        <v>3308</v>
      </c>
      <c r="B482">
        <v>0</v>
      </c>
      <c r="C482">
        <v>0</v>
      </c>
      <c r="D482">
        <v>1</v>
      </c>
      <c r="E482">
        <v>114000</v>
      </c>
      <c r="F482">
        <v>0</v>
      </c>
      <c r="G482">
        <v>0</v>
      </c>
      <c r="H482">
        <v>1</v>
      </c>
      <c r="I482">
        <v>20000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36000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73535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4</v>
      </c>
      <c r="BC482" s="1">
        <v>243535</v>
      </c>
      <c r="BD482" t="s">
        <v>74</v>
      </c>
      <c r="BE482" t="s">
        <v>3309</v>
      </c>
      <c r="BF482" t="s">
        <v>3310</v>
      </c>
      <c r="BH482" t="s">
        <v>77</v>
      </c>
      <c r="BI482" t="s">
        <v>593</v>
      </c>
      <c r="BJ482" t="s">
        <v>79</v>
      </c>
      <c r="BM482">
        <v>1</v>
      </c>
      <c r="BN482">
        <v>3</v>
      </c>
      <c r="BO482">
        <v>4</v>
      </c>
      <c r="BP482" t="s">
        <v>80</v>
      </c>
      <c r="BR482">
        <v>0</v>
      </c>
      <c r="BS482">
        <v>6</v>
      </c>
      <c r="BU482" s="1">
        <v>243535</v>
      </c>
    </row>
    <row r="483" spans="1:73" x14ac:dyDescent="0.3">
      <c r="A483" t="s">
        <v>5608</v>
      </c>
      <c r="B483">
        <v>0</v>
      </c>
      <c r="C483">
        <v>0</v>
      </c>
      <c r="D483">
        <v>1</v>
      </c>
      <c r="E483">
        <v>20000</v>
      </c>
      <c r="F483">
        <v>0</v>
      </c>
      <c r="G483">
        <v>0</v>
      </c>
      <c r="H483">
        <v>1</v>
      </c>
      <c r="I483">
        <v>20000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20000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</v>
      </c>
      <c r="BC483" s="1">
        <v>40000</v>
      </c>
      <c r="BD483" t="s">
        <v>74</v>
      </c>
      <c r="BE483" t="s">
        <v>5609</v>
      </c>
      <c r="BF483" t="s">
        <v>5610</v>
      </c>
      <c r="BH483" t="s">
        <v>77</v>
      </c>
      <c r="BI483" t="s">
        <v>204</v>
      </c>
      <c r="BJ483" t="s">
        <v>79</v>
      </c>
      <c r="BM483">
        <v>1</v>
      </c>
      <c r="BN483">
        <v>2</v>
      </c>
      <c r="BO483">
        <v>3</v>
      </c>
      <c r="BP483" t="s">
        <v>80</v>
      </c>
      <c r="BR483">
        <v>0</v>
      </c>
      <c r="BS483">
        <v>6</v>
      </c>
      <c r="BU483" s="1">
        <v>60000</v>
      </c>
    </row>
    <row r="484" spans="1:73" x14ac:dyDescent="0.3">
      <c r="A484" t="s">
        <v>5073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73535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5</v>
      </c>
      <c r="BC484" s="1">
        <v>601912</v>
      </c>
      <c r="BD484" t="s">
        <v>74</v>
      </c>
      <c r="BE484" t="s">
        <v>5074</v>
      </c>
      <c r="BF484" t="s">
        <v>5075</v>
      </c>
      <c r="BH484" t="s">
        <v>77</v>
      </c>
      <c r="BI484" t="s">
        <v>92</v>
      </c>
      <c r="BJ484" t="s">
        <v>79</v>
      </c>
      <c r="BM484">
        <v>1</v>
      </c>
      <c r="BN484">
        <v>0</v>
      </c>
      <c r="BO484">
        <v>1</v>
      </c>
      <c r="BP484" t="s">
        <v>80</v>
      </c>
      <c r="BR484">
        <v>0</v>
      </c>
      <c r="BS484">
        <v>6</v>
      </c>
      <c r="BU484" s="1">
        <v>73535</v>
      </c>
    </row>
    <row r="485" spans="1:73" x14ac:dyDescent="0.3">
      <c r="A485" t="s">
        <v>5731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96439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 s="1">
        <v>96439</v>
      </c>
      <c r="BD485" t="s">
        <v>74</v>
      </c>
      <c r="BE485" t="s">
        <v>5732</v>
      </c>
      <c r="BF485" t="s">
        <v>5733</v>
      </c>
      <c r="BH485" t="s">
        <v>77</v>
      </c>
      <c r="BI485" t="s">
        <v>204</v>
      </c>
      <c r="BJ485" t="s">
        <v>79</v>
      </c>
      <c r="BM485">
        <v>1</v>
      </c>
      <c r="BN485">
        <v>0</v>
      </c>
      <c r="BO485">
        <v>1</v>
      </c>
      <c r="BP485" t="s">
        <v>80</v>
      </c>
      <c r="BR485">
        <v>0</v>
      </c>
      <c r="BS485">
        <v>6</v>
      </c>
      <c r="BU485" s="1">
        <v>96439</v>
      </c>
    </row>
    <row r="486" spans="1:73" x14ac:dyDescent="0.3">
      <c r="A486" t="s">
        <v>2081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73535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2</v>
      </c>
      <c r="BC486" s="1">
        <v>147070</v>
      </c>
      <c r="BD486" t="s">
        <v>74</v>
      </c>
      <c r="BE486" t="s">
        <v>2082</v>
      </c>
      <c r="BF486" t="s">
        <v>2083</v>
      </c>
      <c r="BH486" t="s">
        <v>77</v>
      </c>
      <c r="BI486" t="s">
        <v>204</v>
      </c>
      <c r="BJ486" t="s">
        <v>79</v>
      </c>
      <c r="BM486">
        <v>1</v>
      </c>
      <c r="BN486">
        <v>0</v>
      </c>
      <c r="BO486">
        <v>1</v>
      </c>
      <c r="BP486" t="s">
        <v>80</v>
      </c>
      <c r="BR486">
        <v>0</v>
      </c>
      <c r="BS486">
        <v>0</v>
      </c>
      <c r="BU486" s="1">
        <v>73535</v>
      </c>
    </row>
    <row r="487" spans="1:73" x14ac:dyDescent="0.3">
      <c r="A487" t="s">
        <v>1074</v>
      </c>
      <c r="B487">
        <v>0</v>
      </c>
      <c r="C487">
        <v>0</v>
      </c>
      <c r="D487">
        <v>1</v>
      </c>
      <c r="E487">
        <v>428571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4</v>
      </c>
      <c r="BC487" s="1">
        <v>1257142</v>
      </c>
      <c r="BD487" t="s">
        <v>74</v>
      </c>
      <c r="BE487" t="s">
        <v>1075</v>
      </c>
      <c r="BF487" t="s">
        <v>1076</v>
      </c>
      <c r="BH487" t="s">
        <v>136</v>
      </c>
      <c r="BI487" t="s">
        <v>539</v>
      </c>
      <c r="BJ487" t="s">
        <v>125</v>
      </c>
      <c r="BM487">
        <v>0</v>
      </c>
      <c r="BN487">
        <v>1</v>
      </c>
      <c r="BO487">
        <v>1</v>
      </c>
      <c r="BP487" t="s">
        <v>80</v>
      </c>
      <c r="BR487">
        <v>0</v>
      </c>
      <c r="BS487">
        <v>6</v>
      </c>
      <c r="BU487" s="1">
        <v>428571</v>
      </c>
    </row>
    <row r="488" spans="1:73" x14ac:dyDescent="0.3">
      <c r="A488" t="s">
        <v>430</v>
      </c>
      <c r="B488">
        <v>0</v>
      </c>
      <c r="C488">
        <v>0</v>
      </c>
      <c r="D488">
        <v>1</v>
      </c>
      <c r="E488">
        <v>168000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</v>
      </c>
      <c r="BC488" s="1">
        <v>336000</v>
      </c>
      <c r="BD488" t="s">
        <v>74</v>
      </c>
      <c r="BE488" t="s">
        <v>431</v>
      </c>
      <c r="BF488" t="s">
        <v>432</v>
      </c>
      <c r="BH488" t="s">
        <v>77</v>
      </c>
      <c r="BI488" t="s">
        <v>204</v>
      </c>
      <c r="BJ488" t="s">
        <v>79</v>
      </c>
      <c r="BM488">
        <v>0</v>
      </c>
      <c r="BN488">
        <v>1</v>
      </c>
      <c r="BO488">
        <v>1</v>
      </c>
      <c r="BP488" t="s">
        <v>80</v>
      </c>
      <c r="BR488">
        <v>0</v>
      </c>
      <c r="BS488">
        <v>6</v>
      </c>
      <c r="BU488" s="1">
        <v>168000</v>
      </c>
    </row>
    <row r="489" spans="1:73" x14ac:dyDescent="0.3">
      <c r="A489" t="s">
        <v>4051</v>
      </c>
      <c r="B489">
        <v>0</v>
      </c>
      <c r="C489">
        <v>0</v>
      </c>
      <c r="D489">
        <v>3</v>
      </c>
      <c r="E489">
        <v>283562</v>
      </c>
      <c r="F489">
        <v>0</v>
      </c>
      <c r="G489">
        <v>0</v>
      </c>
      <c r="H489">
        <v>4</v>
      </c>
      <c r="I489">
        <v>148942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6</v>
      </c>
      <c r="BC489" s="1">
        <v>567124</v>
      </c>
      <c r="BD489" t="s">
        <v>74</v>
      </c>
      <c r="BE489" t="s">
        <v>4052</v>
      </c>
      <c r="BF489" t="s">
        <v>4053</v>
      </c>
      <c r="BH489" t="s">
        <v>77</v>
      </c>
      <c r="BI489" t="s">
        <v>88</v>
      </c>
      <c r="BJ489" t="s">
        <v>79</v>
      </c>
      <c r="BM489">
        <v>0</v>
      </c>
      <c r="BN489">
        <v>2</v>
      </c>
      <c r="BO489">
        <v>2</v>
      </c>
      <c r="BP489" t="s">
        <v>80</v>
      </c>
      <c r="BR489">
        <v>0</v>
      </c>
      <c r="BS489">
        <v>6</v>
      </c>
      <c r="BU489" s="1">
        <v>432504</v>
      </c>
    </row>
    <row r="490" spans="1:73" x14ac:dyDescent="0.3">
      <c r="A490" t="s">
        <v>3540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73535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 s="1">
        <v>73535</v>
      </c>
      <c r="BD490" t="s">
        <v>74</v>
      </c>
      <c r="BE490" t="s">
        <v>3541</v>
      </c>
      <c r="BF490" t="s">
        <v>3542</v>
      </c>
      <c r="BH490" t="s">
        <v>77</v>
      </c>
      <c r="BI490" t="s">
        <v>204</v>
      </c>
      <c r="BJ490" t="s">
        <v>79</v>
      </c>
      <c r="BM490">
        <v>1</v>
      </c>
      <c r="BN490">
        <v>0</v>
      </c>
      <c r="BO490">
        <v>1</v>
      </c>
      <c r="BP490" t="s">
        <v>80</v>
      </c>
      <c r="BR490">
        <v>0</v>
      </c>
      <c r="BS490">
        <v>0</v>
      </c>
      <c r="BU490" s="1">
        <v>73535</v>
      </c>
    </row>
    <row r="491" spans="1:73" x14ac:dyDescent="0.3">
      <c r="A491" t="s">
        <v>3509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96439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</v>
      </c>
      <c r="BC491" s="1">
        <v>192878</v>
      </c>
      <c r="BD491" t="s">
        <v>74</v>
      </c>
      <c r="BE491" t="s">
        <v>3510</v>
      </c>
      <c r="BF491" t="s">
        <v>3511</v>
      </c>
      <c r="BH491" t="s">
        <v>77</v>
      </c>
      <c r="BI491" t="s">
        <v>574</v>
      </c>
      <c r="BJ491" t="s">
        <v>79</v>
      </c>
      <c r="BM491">
        <v>1</v>
      </c>
      <c r="BN491">
        <v>0</v>
      </c>
      <c r="BO491">
        <v>1</v>
      </c>
      <c r="BP491" t="s">
        <v>80</v>
      </c>
      <c r="BR491">
        <v>0</v>
      </c>
      <c r="BS491">
        <v>6</v>
      </c>
      <c r="BU491" s="1">
        <v>96439</v>
      </c>
    </row>
    <row r="492" spans="1:73" x14ac:dyDescent="0.3">
      <c r="A492" t="s">
        <v>5472</v>
      </c>
      <c r="B492">
        <v>5</v>
      </c>
      <c r="C492">
        <v>2125437</v>
      </c>
      <c r="D492">
        <v>1</v>
      </c>
      <c r="E492">
        <v>350000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7</v>
      </c>
      <c r="BC492" s="1">
        <v>2825437</v>
      </c>
      <c r="BD492" t="s">
        <v>74</v>
      </c>
      <c r="BE492" t="s">
        <v>5473</v>
      </c>
      <c r="BF492" t="s">
        <v>5474</v>
      </c>
      <c r="BH492" t="s">
        <v>136</v>
      </c>
      <c r="BI492" t="s">
        <v>137</v>
      </c>
      <c r="BJ492" t="s">
        <v>125</v>
      </c>
      <c r="BM492">
        <v>0</v>
      </c>
      <c r="BN492">
        <v>2</v>
      </c>
      <c r="BO492">
        <v>2</v>
      </c>
      <c r="BP492" t="s">
        <v>80</v>
      </c>
      <c r="BR492">
        <v>0</v>
      </c>
      <c r="BS492">
        <v>6</v>
      </c>
      <c r="BU492" s="1">
        <v>2475437</v>
      </c>
    </row>
    <row r="493" spans="1:73" x14ac:dyDescent="0.3">
      <c r="A493" t="s">
        <v>1155</v>
      </c>
      <c r="B493">
        <v>0</v>
      </c>
      <c r="C493">
        <v>0</v>
      </c>
      <c r="D493">
        <v>2</v>
      </c>
      <c r="E493">
        <v>295704</v>
      </c>
      <c r="F493">
        <v>0</v>
      </c>
      <c r="G493">
        <v>0</v>
      </c>
      <c r="H493">
        <v>2</v>
      </c>
      <c r="I493">
        <v>51408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5</v>
      </c>
      <c r="BC493" s="1">
        <v>609590</v>
      </c>
      <c r="BD493" t="s">
        <v>74</v>
      </c>
      <c r="BE493" t="s">
        <v>1156</v>
      </c>
      <c r="BF493" t="s">
        <v>1157</v>
      </c>
      <c r="BH493" t="s">
        <v>77</v>
      </c>
      <c r="BI493" t="s">
        <v>281</v>
      </c>
      <c r="BJ493" t="s">
        <v>79</v>
      </c>
      <c r="BM493">
        <v>0</v>
      </c>
      <c r="BN493">
        <v>2</v>
      </c>
      <c r="BO493">
        <v>2</v>
      </c>
      <c r="BP493" t="s">
        <v>80</v>
      </c>
      <c r="BR493">
        <v>0</v>
      </c>
      <c r="BS493">
        <v>6</v>
      </c>
      <c r="BU493" s="1">
        <v>347112</v>
      </c>
    </row>
    <row r="494" spans="1:73" x14ac:dyDescent="0.3">
      <c r="A494" t="s">
        <v>3061</v>
      </c>
      <c r="B494">
        <v>1</v>
      </c>
      <c r="C494">
        <v>357020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19792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</v>
      </c>
      <c r="BC494" s="1">
        <v>412923</v>
      </c>
      <c r="BD494" t="s">
        <v>74</v>
      </c>
      <c r="BE494" t="s">
        <v>3062</v>
      </c>
      <c r="BF494" t="s">
        <v>3063</v>
      </c>
      <c r="BH494" t="s">
        <v>77</v>
      </c>
      <c r="BI494" t="s">
        <v>88</v>
      </c>
      <c r="BJ494" t="s">
        <v>79</v>
      </c>
      <c r="BM494">
        <v>1</v>
      </c>
      <c r="BN494">
        <v>1</v>
      </c>
      <c r="BO494">
        <v>2</v>
      </c>
      <c r="BP494" t="s">
        <v>80</v>
      </c>
      <c r="BR494">
        <v>0</v>
      </c>
      <c r="BS494">
        <v>6</v>
      </c>
      <c r="BU494" s="1">
        <v>376812</v>
      </c>
    </row>
    <row r="495" spans="1:73" x14ac:dyDescent="0.3">
      <c r="A495" t="s">
        <v>4158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220605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4</v>
      </c>
      <c r="BC495" s="1">
        <v>441210</v>
      </c>
      <c r="BD495" t="s">
        <v>74</v>
      </c>
      <c r="BE495" t="s">
        <v>4159</v>
      </c>
      <c r="BF495" t="s">
        <v>4160</v>
      </c>
      <c r="BH495" t="s">
        <v>77</v>
      </c>
      <c r="BI495" t="s">
        <v>593</v>
      </c>
      <c r="BJ495" t="s">
        <v>79</v>
      </c>
      <c r="BM495">
        <v>1</v>
      </c>
      <c r="BN495">
        <v>0</v>
      </c>
      <c r="BO495">
        <v>1</v>
      </c>
      <c r="BP495" t="s">
        <v>80</v>
      </c>
      <c r="BR495">
        <v>0</v>
      </c>
      <c r="BS495">
        <v>6</v>
      </c>
      <c r="BU495" s="1">
        <v>220605</v>
      </c>
    </row>
    <row r="496" spans="1:73" x14ac:dyDescent="0.3">
      <c r="A496" t="s">
        <v>3893</v>
      </c>
      <c r="B496">
        <v>1</v>
      </c>
      <c r="C496">
        <v>775149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25000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</v>
      </c>
      <c r="BC496" s="1">
        <v>800149</v>
      </c>
      <c r="BD496" t="s">
        <v>74</v>
      </c>
      <c r="BE496" t="s">
        <v>3894</v>
      </c>
      <c r="BF496" t="s">
        <v>3895</v>
      </c>
      <c r="BH496" t="s">
        <v>77</v>
      </c>
      <c r="BI496" t="s">
        <v>88</v>
      </c>
      <c r="BJ496" t="s">
        <v>79</v>
      </c>
      <c r="BM496">
        <v>0</v>
      </c>
      <c r="BN496">
        <v>2</v>
      </c>
      <c r="BO496">
        <v>2</v>
      </c>
      <c r="BP496" t="s">
        <v>80</v>
      </c>
      <c r="BR496">
        <v>0</v>
      </c>
      <c r="BS496">
        <v>6</v>
      </c>
      <c r="BU496" s="1">
        <v>800149</v>
      </c>
    </row>
    <row r="497" spans="1:73" x14ac:dyDescent="0.3">
      <c r="A497" t="s">
        <v>5036</v>
      </c>
      <c r="B497">
        <v>1</v>
      </c>
      <c r="C497">
        <v>332412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19792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2</v>
      </c>
      <c r="BC497" s="1">
        <v>352204</v>
      </c>
      <c r="BD497" t="s">
        <v>74</v>
      </c>
      <c r="BE497" t="s">
        <v>5037</v>
      </c>
      <c r="BF497" t="s">
        <v>5038</v>
      </c>
      <c r="BH497" t="s">
        <v>77</v>
      </c>
      <c r="BI497" t="s">
        <v>92</v>
      </c>
      <c r="BJ497" t="s">
        <v>79</v>
      </c>
      <c r="BM497">
        <v>1</v>
      </c>
      <c r="BN497">
        <v>1</v>
      </c>
      <c r="BO497">
        <v>2</v>
      </c>
      <c r="BP497" t="s">
        <v>80</v>
      </c>
      <c r="BR497">
        <v>0</v>
      </c>
      <c r="BS497">
        <v>0</v>
      </c>
      <c r="BU497" s="1">
        <v>352204</v>
      </c>
    </row>
    <row r="498" spans="1:73" x14ac:dyDescent="0.3">
      <c r="A498" t="s">
        <v>3601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40000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</v>
      </c>
      <c r="BC498" s="1">
        <v>40000</v>
      </c>
      <c r="BD498" t="s">
        <v>74</v>
      </c>
      <c r="BE498" t="s">
        <v>3602</v>
      </c>
      <c r="BF498" t="s">
        <v>3603</v>
      </c>
      <c r="BH498" t="s">
        <v>77</v>
      </c>
      <c r="BI498" t="s">
        <v>593</v>
      </c>
      <c r="BJ498" t="s">
        <v>79</v>
      </c>
      <c r="BM498">
        <v>0</v>
      </c>
      <c r="BN498">
        <v>1</v>
      </c>
      <c r="BO498">
        <v>1</v>
      </c>
      <c r="BP498" t="s">
        <v>80</v>
      </c>
      <c r="BR498">
        <v>0</v>
      </c>
      <c r="BS498">
        <v>6</v>
      </c>
      <c r="BU498" s="1">
        <v>40000</v>
      </c>
    </row>
    <row r="499" spans="1:73" x14ac:dyDescent="0.3">
      <c r="A499" t="s">
        <v>4181</v>
      </c>
      <c r="B499">
        <v>0</v>
      </c>
      <c r="C499">
        <v>0</v>
      </c>
      <c r="D499">
        <v>1</v>
      </c>
      <c r="E499">
        <v>114000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36000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</v>
      </c>
      <c r="BC499" s="1">
        <v>150000</v>
      </c>
      <c r="BD499" t="s">
        <v>74</v>
      </c>
      <c r="BE499" t="s">
        <v>4182</v>
      </c>
      <c r="BF499" t="s">
        <v>4183</v>
      </c>
      <c r="BH499" t="s">
        <v>77</v>
      </c>
      <c r="BI499" t="s">
        <v>204</v>
      </c>
      <c r="BJ499" t="s">
        <v>79</v>
      </c>
      <c r="BM499">
        <v>0</v>
      </c>
      <c r="BN499">
        <v>2</v>
      </c>
      <c r="BO499">
        <v>2</v>
      </c>
      <c r="BP499" t="s">
        <v>80</v>
      </c>
      <c r="BR499">
        <v>0</v>
      </c>
      <c r="BS499">
        <v>6</v>
      </c>
      <c r="BU499" s="1">
        <v>150000</v>
      </c>
    </row>
    <row r="500" spans="1:73" x14ac:dyDescent="0.3">
      <c r="A500" t="s">
        <v>5179</v>
      </c>
      <c r="B500">
        <v>1</v>
      </c>
      <c r="C500">
        <v>341136</v>
      </c>
      <c r="D500">
        <v>6</v>
      </c>
      <c r="E500">
        <v>759666</v>
      </c>
      <c r="F500">
        <v>0</v>
      </c>
      <c r="G500">
        <v>0</v>
      </c>
      <c r="H500">
        <v>8</v>
      </c>
      <c r="I500">
        <v>258686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73535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39584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17</v>
      </c>
      <c r="BC500" s="1">
        <v>1993379</v>
      </c>
      <c r="BD500" t="s">
        <v>74</v>
      </c>
      <c r="BE500" t="s">
        <v>5180</v>
      </c>
      <c r="BF500" t="s">
        <v>5181</v>
      </c>
      <c r="BH500" t="s">
        <v>77</v>
      </c>
      <c r="BI500" t="s">
        <v>92</v>
      </c>
      <c r="BJ500" t="s">
        <v>79</v>
      </c>
      <c r="BM500">
        <v>2</v>
      </c>
      <c r="BN500">
        <v>3</v>
      </c>
      <c r="BO500">
        <v>5</v>
      </c>
      <c r="BP500" t="s">
        <v>80</v>
      </c>
      <c r="BR500">
        <v>0</v>
      </c>
      <c r="BS500">
        <v>6</v>
      </c>
      <c r="BU500" s="1">
        <v>1472607</v>
      </c>
    </row>
    <row r="501" spans="1:73" x14ac:dyDescent="0.3">
      <c r="A501" t="s">
        <v>4687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</v>
      </c>
      <c r="Z501">
        <v>152120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</v>
      </c>
      <c r="BC501" s="1">
        <v>152120</v>
      </c>
      <c r="BD501" t="s">
        <v>74</v>
      </c>
      <c r="BE501" t="s">
        <v>4688</v>
      </c>
      <c r="BF501" t="s">
        <v>4689</v>
      </c>
      <c r="BH501" t="s">
        <v>77</v>
      </c>
      <c r="BI501" t="s">
        <v>92</v>
      </c>
      <c r="BJ501" t="s">
        <v>79</v>
      </c>
      <c r="BM501">
        <v>1</v>
      </c>
      <c r="BN501">
        <v>0</v>
      </c>
      <c r="BO501">
        <v>1</v>
      </c>
      <c r="BP501" t="s">
        <v>80</v>
      </c>
      <c r="BR501">
        <v>0</v>
      </c>
      <c r="BS501">
        <v>6</v>
      </c>
      <c r="BU501" s="1">
        <v>152120</v>
      </c>
    </row>
    <row r="502" spans="1:73" x14ac:dyDescent="0.3">
      <c r="A502" t="s">
        <v>2131</v>
      </c>
      <c r="B502">
        <v>0</v>
      </c>
      <c r="C502">
        <v>0</v>
      </c>
      <c r="D502">
        <v>2</v>
      </c>
      <c r="E502">
        <v>190000</v>
      </c>
      <c r="F502">
        <v>0</v>
      </c>
      <c r="G502">
        <v>0</v>
      </c>
      <c r="H502">
        <v>2</v>
      </c>
      <c r="I502">
        <v>40000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4</v>
      </c>
      <c r="BC502" s="1">
        <v>380000</v>
      </c>
      <c r="BD502" t="s">
        <v>74</v>
      </c>
      <c r="BE502" t="s">
        <v>2132</v>
      </c>
      <c r="BF502" t="s">
        <v>2133</v>
      </c>
      <c r="BH502" t="s">
        <v>77</v>
      </c>
      <c r="BI502" t="s">
        <v>88</v>
      </c>
      <c r="BJ502" t="s">
        <v>79</v>
      </c>
      <c r="BM502">
        <v>0</v>
      </c>
      <c r="BN502">
        <v>2</v>
      </c>
      <c r="BO502">
        <v>2</v>
      </c>
      <c r="BP502" t="s">
        <v>80</v>
      </c>
      <c r="BR502">
        <v>0</v>
      </c>
      <c r="BS502">
        <v>6</v>
      </c>
      <c r="BU502" s="1">
        <v>230000</v>
      </c>
    </row>
    <row r="503" spans="1:73" x14ac:dyDescent="0.3">
      <c r="A503" t="s">
        <v>1105</v>
      </c>
      <c r="B503">
        <v>1</v>
      </c>
      <c r="C503">
        <v>144612</v>
      </c>
      <c r="D503">
        <v>1</v>
      </c>
      <c r="E503">
        <v>163636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2</v>
      </c>
      <c r="BC503" s="1">
        <v>308248</v>
      </c>
      <c r="BD503" t="s">
        <v>74</v>
      </c>
      <c r="BE503" t="s">
        <v>1106</v>
      </c>
      <c r="BF503" t="s">
        <v>1107</v>
      </c>
      <c r="BH503" t="s">
        <v>77</v>
      </c>
      <c r="BI503" t="s">
        <v>574</v>
      </c>
      <c r="BJ503" t="s">
        <v>79</v>
      </c>
      <c r="BM503">
        <v>0</v>
      </c>
      <c r="BN503">
        <v>2</v>
      </c>
      <c r="BO503">
        <v>2</v>
      </c>
      <c r="BP503" t="s">
        <v>80</v>
      </c>
      <c r="BR503">
        <v>0</v>
      </c>
      <c r="BS503">
        <v>6</v>
      </c>
      <c r="BU503" s="1">
        <v>308248</v>
      </c>
    </row>
    <row r="504" spans="1:73" x14ac:dyDescent="0.3">
      <c r="A504" t="s">
        <v>5572</v>
      </c>
      <c r="B504">
        <v>0</v>
      </c>
      <c r="C504">
        <v>0</v>
      </c>
      <c r="D504">
        <v>1</v>
      </c>
      <c r="E504">
        <v>290323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73535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19792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5</v>
      </c>
      <c r="BC504" s="1">
        <v>476977</v>
      </c>
      <c r="BD504" t="s">
        <v>74</v>
      </c>
      <c r="BE504" t="s">
        <v>5573</v>
      </c>
      <c r="BF504" t="s">
        <v>5574</v>
      </c>
      <c r="BH504" t="s">
        <v>77</v>
      </c>
      <c r="BI504" t="s">
        <v>228</v>
      </c>
      <c r="BJ504" t="s">
        <v>79</v>
      </c>
      <c r="BM504">
        <v>2</v>
      </c>
      <c r="BN504">
        <v>1</v>
      </c>
      <c r="BO504">
        <v>3</v>
      </c>
      <c r="BP504" t="s">
        <v>80</v>
      </c>
      <c r="BR504">
        <v>0</v>
      </c>
      <c r="BS504">
        <v>6</v>
      </c>
      <c r="BU504" s="1">
        <v>383650</v>
      </c>
    </row>
    <row r="505" spans="1:73" x14ac:dyDescent="0.3">
      <c r="A505" t="s">
        <v>2324</v>
      </c>
      <c r="B505">
        <v>0</v>
      </c>
      <c r="C505">
        <v>49636</v>
      </c>
      <c r="D505">
        <v>0</v>
      </c>
      <c r="E505">
        <v>0</v>
      </c>
      <c r="F505">
        <v>0</v>
      </c>
      <c r="G505">
        <v>0</v>
      </c>
      <c r="H505">
        <v>4</v>
      </c>
      <c r="I505">
        <v>110296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60000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45682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11526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10</v>
      </c>
      <c r="BC505" s="1">
        <v>689815</v>
      </c>
      <c r="BD505" t="s">
        <v>74</v>
      </c>
      <c r="BE505" t="s">
        <v>2325</v>
      </c>
      <c r="BF505" t="s">
        <v>2326</v>
      </c>
      <c r="BH505" t="s">
        <v>77</v>
      </c>
      <c r="BI505" t="s">
        <v>92</v>
      </c>
      <c r="BJ505" t="s">
        <v>79</v>
      </c>
      <c r="BM505">
        <v>2</v>
      </c>
      <c r="BN505">
        <v>2</v>
      </c>
      <c r="BO505">
        <v>4</v>
      </c>
      <c r="BP505" t="s">
        <v>80</v>
      </c>
      <c r="BR505">
        <v>0</v>
      </c>
      <c r="BS505">
        <v>6</v>
      </c>
      <c r="BU505" s="1">
        <v>277140</v>
      </c>
    </row>
    <row r="506" spans="1:73" x14ac:dyDescent="0.3">
      <c r="A506" t="s">
        <v>3592</v>
      </c>
      <c r="B506">
        <v>1</v>
      </c>
      <c r="C506">
        <v>480773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 s="1">
        <v>480773</v>
      </c>
      <c r="BD506" t="s">
        <v>74</v>
      </c>
      <c r="BE506" t="s">
        <v>3593</v>
      </c>
      <c r="BF506" t="s">
        <v>3594</v>
      </c>
      <c r="BH506" t="s">
        <v>77</v>
      </c>
      <c r="BI506" t="s">
        <v>92</v>
      </c>
      <c r="BJ506" t="s">
        <v>79</v>
      </c>
      <c r="BM506">
        <v>0</v>
      </c>
      <c r="BN506">
        <v>1</v>
      </c>
      <c r="BO506">
        <v>1</v>
      </c>
      <c r="BP506" t="s">
        <v>80</v>
      </c>
      <c r="BR506">
        <v>0</v>
      </c>
      <c r="BS506">
        <v>6</v>
      </c>
      <c r="BU506" s="1">
        <v>480773</v>
      </c>
    </row>
    <row r="507" spans="1:73" x14ac:dyDescent="0.3">
      <c r="A507" t="s">
        <v>3400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157170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</v>
      </c>
      <c r="BC507" s="1">
        <v>157170</v>
      </c>
      <c r="BD507" t="s">
        <v>74</v>
      </c>
      <c r="BE507" t="s">
        <v>3401</v>
      </c>
      <c r="BF507" t="s">
        <v>3402</v>
      </c>
      <c r="BH507" t="s">
        <v>77</v>
      </c>
      <c r="BI507" t="s">
        <v>574</v>
      </c>
      <c r="BJ507" t="s">
        <v>79</v>
      </c>
      <c r="BM507">
        <v>1</v>
      </c>
      <c r="BN507">
        <v>0</v>
      </c>
      <c r="BO507">
        <v>1</v>
      </c>
      <c r="BP507" t="s">
        <v>80</v>
      </c>
      <c r="BR507">
        <v>0</v>
      </c>
      <c r="BS507">
        <v>0</v>
      </c>
      <c r="BU507" s="1">
        <v>157170</v>
      </c>
    </row>
    <row r="508" spans="1:73" x14ac:dyDescent="0.3">
      <c r="A508" t="s">
        <v>3656</v>
      </c>
      <c r="B508">
        <v>0</v>
      </c>
      <c r="C508">
        <v>0</v>
      </c>
      <c r="D508">
        <v>1</v>
      </c>
      <c r="E508">
        <v>270000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 s="1">
        <v>270000</v>
      </c>
      <c r="BD508" t="s">
        <v>74</v>
      </c>
      <c r="BE508" t="s">
        <v>3657</v>
      </c>
      <c r="BF508" t="s">
        <v>3658</v>
      </c>
      <c r="BH508" t="s">
        <v>77</v>
      </c>
      <c r="BI508" t="s">
        <v>574</v>
      </c>
      <c r="BJ508" t="s">
        <v>79</v>
      </c>
      <c r="BM508">
        <v>0</v>
      </c>
      <c r="BN508">
        <v>1</v>
      </c>
      <c r="BO508">
        <v>1</v>
      </c>
      <c r="BP508" t="s">
        <v>80</v>
      </c>
      <c r="BR508">
        <v>0</v>
      </c>
      <c r="BS508">
        <v>6</v>
      </c>
      <c r="BU508" s="1">
        <v>270000</v>
      </c>
    </row>
    <row r="509" spans="1:73" x14ac:dyDescent="0.3">
      <c r="A509" t="s">
        <v>5274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19792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</v>
      </c>
      <c r="BC509" s="1">
        <v>39584</v>
      </c>
      <c r="BD509" t="s">
        <v>74</v>
      </c>
      <c r="BE509" t="s">
        <v>5275</v>
      </c>
      <c r="BF509" t="s">
        <v>5276</v>
      </c>
      <c r="BH509" t="s">
        <v>77</v>
      </c>
      <c r="BI509" t="s">
        <v>228</v>
      </c>
      <c r="BJ509" t="s">
        <v>79</v>
      </c>
      <c r="BM509">
        <v>1</v>
      </c>
      <c r="BN509">
        <v>0</v>
      </c>
      <c r="BO509">
        <v>1</v>
      </c>
      <c r="BP509" t="s">
        <v>80</v>
      </c>
      <c r="BR509">
        <v>0</v>
      </c>
      <c r="BS509">
        <v>6</v>
      </c>
      <c r="BU509" s="1">
        <v>19792</v>
      </c>
    </row>
    <row r="510" spans="1:73" x14ac:dyDescent="0.3">
      <c r="A510" t="s">
        <v>3771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78585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 s="1">
        <v>78585</v>
      </c>
      <c r="BD510" t="s">
        <v>74</v>
      </c>
      <c r="BE510" t="s">
        <v>3772</v>
      </c>
      <c r="BF510" t="s">
        <v>3773</v>
      </c>
      <c r="BH510" t="s">
        <v>77</v>
      </c>
      <c r="BI510" t="s">
        <v>88</v>
      </c>
      <c r="BJ510" t="s">
        <v>79</v>
      </c>
      <c r="BM510">
        <v>1</v>
      </c>
      <c r="BN510">
        <v>0</v>
      </c>
      <c r="BO510">
        <v>1</v>
      </c>
      <c r="BP510" t="s">
        <v>80</v>
      </c>
      <c r="BR510">
        <v>0</v>
      </c>
      <c r="BS510">
        <v>0</v>
      </c>
      <c r="BU510" s="1">
        <v>78585</v>
      </c>
    </row>
    <row r="511" spans="1:73" x14ac:dyDescent="0.3">
      <c r="A511" t="s">
        <v>5532</v>
      </c>
      <c r="B511">
        <v>6</v>
      </c>
      <c r="C511">
        <v>1152512</v>
      </c>
      <c r="D511">
        <v>1</v>
      </c>
      <c r="E511">
        <v>231428</v>
      </c>
      <c r="F511">
        <v>0</v>
      </c>
      <c r="G511">
        <v>0</v>
      </c>
      <c r="H511">
        <v>1</v>
      </c>
      <c r="I511">
        <v>20000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9</v>
      </c>
      <c r="BC511" s="1">
        <v>1635368</v>
      </c>
      <c r="BD511" t="s">
        <v>74</v>
      </c>
      <c r="BE511" t="s">
        <v>5533</v>
      </c>
      <c r="BF511" t="s">
        <v>5534</v>
      </c>
      <c r="BH511" t="s">
        <v>77</v>
      </c>
      <c r="BI511" t="s">
        <v>228</v>
      </c>
      <c r="BJ511" t="s">
        <v>79</v>
      </c>
      <c r="BM511">
        <v>0</v>
      </c>
      <c r="BN511">
        <v>3</v>
      </c>
      <c r="BO511">
        <v>3</v>
      </c>
      <c r="BP511" t="s">
        <v>80</v>
      </c>
      <c r="BR511">
        <v>0</v>
      </c>
      <c r="BS511">
        <v>6</v>
      </c>
      <c r="BU511" s="1">
        <v>1403940</v>
      </c>
    </row>
    <row r="512" spans="1:73" x14ac:dyDescent="0.3">
      <c r="A512" t="s">
        <v>3647</v>
      </c>
      <c r="B512">
        <v>1</v>
      </c>
      <c r="C512">
        <v>361132</v>
      </c>
      <c r="D512">
        <v>2</v>
      </c>
      <c r="E512">
        <v>360000</v>
      </c>
      <c r="F512">
        <v>0</v>
      </c>
      <c r="G512">
        <v>0</v>
      </c>
      <c r="H512">
        <v>4</v>
      </c>
      <c r="I512">
        <v>90000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7</v>
      </c>
      <c r="BC512" s="1">
        <v>1131132</v>
      </c>
      <c r="BD512" t="s">
        <v>74</v>
      </c>
      <c r="BE512" t="s">
        <v>3648</v>
      </c>
      <c r="BF512" t="s">
        <v>3649</v>
      </c>
      <c r="BH512" t="s">
        <v>77</v>
      </c>
      <c r="BI512" t="s">
        <v>92</v>
      </c>
      <c r="BJ512" t="s">
        <v>79</v>
      </c>
      <c r="BM512">
        <v>0</v>
      </c>
      <c r="BN512">
        <v>3</v>
      </c>
      <c r="BO512">
        <v>3</v>
      </c>
      <c r="BP512" t="s">
        <v>80</v>
      </c>
      <c r="BR512">
        <v>0</v>
      </c>
      <c r="BS512">
        <v>6</v>
      </c>
      <c r="BU512" s="1">
        <v>811132</v>
      </c>
    </row>
    <row r="513" spans="1:73" x14ac:dyDescent="0.3">
      <c r="A513" t="s">
        <v>1796</v>
      </c>
      <c r="B513">
        <v>1</v>
      </c>
      <c r="C513">
        <v>635022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73535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19792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5</v>
      </c>
      <c r="BC513" s="1">
        <v>821676</v>
      </c>
      <c r="BD513" t="s">
        <v>74</v>
      </c>
      <c r="BE513" t="s">
        <v>1797</v>
      </c>
      <c r="BF513" t="s">
        <v>1798</v>
      </c>
      <c r="BH513" t="s">
        <v>77</v>
      </c>
      <c r="BI513" t="s">
        <v>92</v>
      </c>
      <c r="BJ513" t="s">
        <v>79</v>
      </c>
      <c r="BM513">
        <v>2</v>
      </c>
      <c r="BN513">
        <v>1</v>
      </c>
      <c r="BO513">
        <v>3</v>
      </c>
      <c r="BP513" t="s">
        <v>80</v>
      </c>
      <c r="BR513">
        <v>0</v>
      </c>
      <c r="BS513">
        <v>6</v>
      </c>
      <c r="BU513" s="1">
        <v>728349</v>
      </c>
    </row>
    <row r="514" spans="1:73" x14ac:dyDescent="0.3">
      <c r="A514" t="s">
        <v>5135</v>
      </c>
      <c r="B514">
        <v>0</v>
      </c>
      <c r="C514">
        <v>0</v>
      </c>
      <c r="D514">
        <v>1</v>
      </c>
      <c r="E514">
        <v>288000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 s="1">
        <v>288000</v>
      </c>
      <c r="BD514" t="s">
        <v>74</v>
      </c>
      <c r="BE514" t="s">
        <v>5136</v>
      </c>
      <c r="BF514" t="s">
        <v>5137</v>
      </c>
      <c r="BH514" t="s">
        <v>77</v>
      </c>
      <c r="BI514" t="s">
        <v>204</v>
      </c>
      <c r="BJ514" t="s">
        <v>79</v>
      </c>
      <c r="BM514">
        <v>0</v>
      </c>
      <c r="BN514">
        <v>1</v>
      </c>
      <c r="BO514">
        <v>1</v>
      </c>
      <c r="BP514" t="s">
        <v>80</v>
      </c>
      <c r="BR514">
        <v>0</v>
      </c>
      <c r="BS514">
        <v>6</v>
      </c>
      <c r="BU514" s="1">
        <v>288000</v>
      </c>
    </row>
    <row r="515" spans="1:73" x14ac:dyDescent="0.3">
      <c r="A515" t="s">
        <v>4562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8000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 s="1">
        <v>8000</v>
      </c>
      <c r="BD515" t="s">
        <v>74</v>
      </c>
      <c r="BE515" t="s">
        <v>4563</v>
      </c>
      <c r="BF515" t="s">
        <v>4564</v>
      </c>
      <c r="BH515" t="s">
        <v>77</v>
      </c>
      <c r="BI515" t="s">
        <v>92</v>
      </c>
      <c r="BJ515" t="s">
        <v>79</v>
      </c>
      <c r="BM515">
        <v>1</v>
      </c>
      <c r="BN515">
        <v>0</v>
      </c>
      <c r="BO515">
        <v>1</v>
      </c>
      <c r="BP515" t="s">
        <v>80</v>
      </c>
      <c r="BR515">
        <v>0</v>
      </c>
      <c r="BS515">
        <v>0</v>
      </c>
      <c r="BU515" s="1">
        <v>8000</v>
      </c>
    </row>
    <row r="516" spans="1:73" x14ac:dyDescent="0.3">
      <c r="A516" t="s">
        <v>4140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73535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</v>
      </c>
      <c r="BC516" s="1">
        <v>147070</v>
      </c>
      <c r="BD516" t="s">
        <v>74</v>
      </c>
      <c r="BE516" t="s">
        <v>4141</v>
      </c>
      <c r="BF516" t="s">
        <v>4142</v>
      </c>
      <c r="BH516" t="s">
        <v>77</v>
      </c>
      <c r="BI516" t="s">
        <v>92</v>
      </c>
      <c r="BJ516" t="s">
        <v>79</v>
      </c>
      <c r="BM516">
        <v>1</v>
      </c>
      <c r="BN516">
        <v>0</v>
      </c>
      <c r="BO516">
        <v>1</v>
      </c>
      <c r="BP516" t="s">
        <v>80</v>
      </c>
      <c r="BR516">
        <v>0</v>
      </c>
      <c r="BS516">
        <v>6</v>
      </c>
      <c r="BU516" s="1">
        <v>73535</v>
      </c>
    </row>
    <row r="517" spans="1:73" x14ac:dyDescent="0.3">
      <c r="A517" t="s">
        <v>927</v>
      </c>
      <c r="B517">
        <v>1</v>
      </c>
      <c r="C517">
        <v>297349</v>
      </c>
      <c r="D517">
        <v>1</v>
      </c>
      <c r="E517">
        <v>270000</v>
      </c>
      <c r="F517">
        <v>0</v>
      </c>
      <c r="G517">
        <v>0</v>
      </c>
      <c r="H517">
        <v>1</v>
      </c>
      <c r="I517">
        <v>20000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3</v>
      </c>
      <c r="BC517" s="1">
        <v>587349</v>
      </c>
      <c r="BD517" t="s">
        <v>74</v>
      </c>
      <c r="BE517" t="s">
        <v>928</v>
      </c>
      <c r="BF517" t="s">
        <v>929</v>
      </c>
      <c r="BH517" t="s">
        <v>77</v>
      </c>
      <c r="BI517" t="s">
        <v>593</v>
      </c>
      <c r="BJ517" t="s">
        <v>79</v>
      </c>
      <c r="BM517">
        <v>0</v>
      </c>
      <c r="BN517">
        <v>3</v>
      </c>
      <c r="BO517">
        <v>3</v>
      </c>
      <c r="BP517" t="s">
        <v>80</v>
      </c>
      <c r="BR517">
        <v>0</v>
      </c>
      <c r="BS517">
        <v>6</v>
      </c>
      <c r="BU517" s="1">
        <v>587349</v>
      </c>
    </row>
    <row r="518" spans="1:73" x14ac:dyDescent="0.3">
      <c r="A518" t="s">
        <v>4773</v>
      </c>
      <c r="B518">
        <v>0</v>
      </c>
      <c r="C518">
        <v>0</v>
      </c>
      <c r="D518">
        <v>3</v>
      </c>
      <c r="E518">
        <v>190000</v>
      </c>
      <c r="F518">
        <v>0</v>
      </c>
      <c r="G518">
        <v>0</v>
      </c>
      <c r="H518">
        <v>2</v>
      </c>
      <c r="I518">
        <v>40000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4</v>
      </c>
      <c r="BC518" s="1">
        <v>340000</v>
      </c>
      <c r="BD518" t="s">
        <v>74</v>
      </c>
      <c r="BE518" t="s">
        <v>4774</v>
      </c>
      <c r="BF518" t="s">
        <v>4775</v>
      </c>
      <c r="BH518" t="s">
        <v>77</v>
      </c>
      <c r="BI518" t="s">
        <v>593</v>
      </c>
      <c r="BJ518" t="s">
        <v>79</v>
      </c>
      <c r="BM518">
        <v>0</v>
      </c>
      <c r="BN518">
        <v>2</v>
      </c>
      <c r="BO518">
        <v>2</v>
      </c>
      <c r="BP518" t="s">
        <v>80</v>
      </c>
      <c r="BR518">
        <v>0</v>
      </c>
      <c r="BS518">
        <v>6</v>
      </c>
      <c r="BU518" s="1">
        <v>230000</v>
      </c>
    </row>
    <row r="519" spans="1:73" x14ac:dyDescent="0.3">
      <c r="A519" t="s">
        <v>4267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73535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2</v>
      </c>
      <c r="BC519" s="1">
        <v>147070</v>
      </c>
      <c r="BD519" t="s">
        <v>74</v>
      </c>
      <c r="BE519" t="s">
        <v>4268</v>
      </c>
      <c r="BF519" t="s">
        <v>4269</v>
      </c>
      <c r="BH519" t="s">
        <v>77</v>
      </c>
      <c r="BI519" t="s">
        <v>88</v>
      </c>
      <c r="BJ519" t="s">
        <v>79</v>
      </c>
      <c r="BM519">
        <v>1</v>
      </c>
      <c r="BN519">
        <v>0</v>
      </c>
      <c r="BO519">
        <v>1</v>
      </c>
      <c r="BP519" t="s">
        <v>80</v>
      </c>
      <c r="BR519">
        <v>0</v>
      </c>
      <c r="BS519">
        <v>6</v>
      </c>
      <c r="BU519" s="1">
        <v>73535</v>
      </c>
    </row>
    <row r="520" spans="1:73" x14ac:dyDescent="0.3">
      <c r="A520" t="s">
        <v>1507</v>
      </c>
      <c r="B520">
        <v>1</v>
      </c>
      <c r="C520">
        <v>346332</v>
      </c>
      <c r="D520">
        <v>3</v>
      </c>
      <c r="E520">
        <v>212727</v>
      </c>
      <c r="F520">
        <v>0</v>
      </c>
      <c r="G520">
        <v>0</v>
      </c>
      <c r="H520">
        <v>4</v>
      </c>
      <c r="I520">
        <v>80000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8</v>
      </c>
      <c r="BC520" s="1">
        <v>845321</v>
      </c>
      <c r="BD520" t="s">
        <v>74</v>
      </c>
      <c r="BE520" t="s">
        <v>1508</v>
      </c>
      <c r="BF520" t="s">
        <v>1509</v>
      </c>
      <c r="BH520" t="s">
        <v>175</v>
      </c>
      <c r="BI520" t="s">
        <v>646</v>
      </c>
      <c r="BJ520" t="s">
        <v>125</v>
      </c>
      <c r="BM520">
        <v>0</v>
      </c>
      <c r="BN520">
        <v>3</v>
      </c>
      <c r="BO520">
        <v>3</v>
      </c>
      <c r="BP520" t="s">
        <v>80</v>
      </c>
      <c r="BR520">
        <v>0</v>
      </c>
      <c r="BS520">
        <v>6</v>
      </c>
      <c r="BU520" s="1">
        <v>639059</v>
      </c>
    </row>
    <row r="521" spans="1:73" x14ac:dyDescent="0.3">
      <c r="A521" t="s">
        <v>4934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73535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7916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3</v>
      </c>
      <c r="BC521" s="1">
        <v>154986</v>
      </c>
      <c r="BD521" t="s">
        <v>74</v>
      </c>
      <c r="BE521" t="s">
        <v>4935</v>
      </c>
      <c r="BF521" t="s">
        <v>4936</v>
      </c>
      <c r="BH521" t="s">
        <v>77</v>
      </c>
      <c r="BI521" t="s">
        <v>593</v>
      </c>
      <c r="BJ521" t="s">
        <v>79</v>
      </c>
      <c r="BM521">
        <v>2</v>
      </c>
      <c r="BN521">
        <v>0</v>
      </c>
      <c r="BO521">
        <v>2</v>
      </c>
      <c r="BP521" t="s">
        <v>80</v>
      </c>
      <c r="BR521">
        <v>0</v>
      </c>
      <c r="BS521">
        <v>6</v>
      </c>
      <c r="BU521" s="1">
        <v>81451</v>
      </c>
    </row>
    <row r="522" spans="1:73" x14ac:dyDescent="0.3">
      <c r="A522" t="s">
        <v>3739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73535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2</v>
      </c>
      <c r="BC522" s="1">
        <v>156490</v>
      </c>
      <c r="BD522" t="s">
        <v>74</v>
      </c>
      <c r="BE522" t="s">
        <v>3740</v>
      </c>
      <c r="BF522" t="s">
        <v>3741</v>
      </c>
      <c r="BH522" t="s">
        <v>77</v>
      </c>
      <c r="BI522" t="s">
        <v>593</v>
      </c>
      <c r="BJ522" t="s">
        <v>79</v>
      </c>
      <c r="BM522">
        <v>1</v>
      </c>
      <c r="BN522">
        <v>0</v>
      </c>
      <c r="BO522">
        <v>1</v>
      </c>
      <c r="BP522" t="s">
        <v>80</v>
      </c>
      <c r="BR522">
        <v>0</v>
      </c>
      <c r="BS522">
        <v>0</v>
      </c>
      <c r="BU522" s="1">
        <v>73535</v>
      </c>
    </row>
    <row r="523" spans="1:73" x14ac:dyDescent="0.3">
      <c r="A523" t="s">
        <v>2789</v>
      </c>
      <c r="B523">
        <v>1</v>
      </c>
      <c r="C523">
        <v>230944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 s="1">
        <v>230944</v>
      </c>
      <c r="BD523" t="s">
        <v>74</v>
      </c>
      <c r="BE523" t="s">
        <v>2790</v>
      </c>
      <c r="BF523" t="s">
        <v>2791</v>
      </c>
      <c r="BH523" t="s">
        <v>77</v>
      </c>
      <c r="BI523" t="s">
        <v>92</v>
      </c>
      <c r="BJ523" t="s">
        <v>79</v>
      </c>
      <c r="BM523">
        <v>0</v>
      </c>
      <c r="BN523">
        <v>1</v>
      </c>
      <c r="BO523">
        <v>1</v>
      </c>
      <c r="BP523" t="s">
        <v>80</v>
      </c>
      <c r="BR523">
        <v>0</v>
      </c>
      <c r="BS523">
        <v>6</v>
      </c>
      <c r="BU523" s="1">
        <v>230944</v>
      </c>
    </row>
    <row r="524" spans="1:73" x14ac:dyDescent="0.3">
      <c r="A524" t="s">
        <v>1519</v>
      </c>
      <c r="B524">
        <v>0</v>
      </c>
      <c r="C524">
        <v>59091</v>
      </c>
      <c r="D524">
        <v>2</v>
      </c>
      <c r="E524">
        <v>290000</v>
      </c>
      <c r="F524">
        <v>0</v>
      </c>
      <c r="G524">
        <v>0</v>
      </c>
      <c r="H524">
        <v>2</v>
      </c>
      <c r="I524">
        <v>45000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57208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6</v>
      </c>
      <c r="BC524" s="1">
        <v>855844</v>
      </c>
      <c r="BD524" t="s">
        <v>74</v>
      </c>
      <c r="BE524" t="s">
        <v>1520</v>
      </c>
      <c r="BF524" t="s">
        <v>1521</v>
      </c>
      <c r="BH524" t="s">
        <v>77</v>
      </c>
      <c r="BI524" t="s">
        <v>228</v>
      </c>
      <c r="BJ524" t="s">
        <v>79</v>
      </c>
      <c r="BM524">
        <v>1</v>
      </c>
      <c r="BN524">
        <v>2</v>
      </c>
      <c r="BO524">
        <v>3</v>
      </c>
      <c r="BP524" t="s">
        <v>80</v>
      </c>
      <c r="BR524">
        <v>0</v>
      </c>
      <c r="BS524">
        <v>6</v>
      </c>
      <c r="BU524" s="1">
        <v>451299</v>
      </c>
    </row>
    <row r="525" spans="1:73" x14ac:dyDescent="0.3">
      <c r="A525" t="s">
        <v>2142</v>
      </c>
      <c r="B525">
        <v>1</v>
      </c>
      <c r="C525">
        <v>405611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 s="1">
        <v>405611</v>
      </c>
      <c r="BD525" t="s">
        <v>74</v>
      </c>
      <c r="BE525" t="s">
        <v>2143</v>
      </c>
      <c r="BF525" t="s">
        <v>2144</v>
      </c>
      <c r="BH525" t="s">
        <v>77</v>
      </c>
      <c r="BI525" t="s">
        <v>88</v>
      </c>
      <c r="BJ525" t="s">
        <v>79</v>
      </c>
      <c r="BM525">
        <v>0</v>
      </c>
      <c r="BN525">
        <v>1</v>
      </c>
      <c r="BO525">
        <v>1</v>
      </c>
      <c r="BP525" t="s">
        <v>80</v>
      </c>
      <c r="BR525">
        <v>0</v>
      </c>
      <c r="BS525">
        <v>6</v>
      </c>
      <c r="BU525" s="1">
        <v>405611</v>
      </c>
    </row>
    <row r="526" spans="1:73" x14ac:dyDescent="0.3">
      <c r="A526" t="s">
        <v>2055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101102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3</v>
      </c>
      <c r="BC526" s="1">
        <v>101102</v>
      </c>
      <c r="BD526" t="s">
        <v>74</v>
      </c>
      <c r="BE526" t="s">
        <v>2056</v>
      </c>
      <c r="BF526" t="s">
        <v>2057</v>
      </c>
      <c r="BH526" t="s">
        <v>77</v>
      </c>
      <c r="BI526" t="s">
        <v>88</v>
      </c>
      <c r="BJ526" t="s">
        <v>79</v>
      </c>
      <c r="BM526">
        <v>0</v>
      </c>
      <c r="BN526">
        <v>1</v>
      </c>
      <c r="BO526">
        <v>1</v>
      </c>
      <c r="BP526" t="s">
        <v>80</v>
      </c>
      <c r="BR526">
        <v>0</v>
      </c>
      <c r="BS526">
        <v>6</v>
      </c>
      <c r="BU526" s="1">
        <v>101102</v>
      </c>
    </row>
    <row r="527" spans="1:73" x14ac:dyDescent="0.3">
      <c r="A527" t="s">
        <v>4134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73535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2</v>
      </c>
      <c r="BC527" s="1">
        <v>147070</v>
      </c>
      <c r="BD527" t="s">
        <v>74</v>
      </c>
      <c r="BE527" t="s">
        <v>4135</v>
      </c>
      <c r="BF527" t="s">
        <v>4136</v>
      </c>
      <c r="BH527" t="s">
        <v>77</v>
      </c>
      <c r="BI527" t="s">
        <v>574</v>
      </c>
      <c r="BJ527" t="s">
        <v>79</v>
      </c>
      <c r="BM527">
        <v>1</v>
      </c>
      <c r="BN527">
        <v>0</v>
      </c>
      <c r="BO527">
        <v>1</v>
      </c>
      <c r="BP527" t="s">
        <v>80</v>
      </c>
      <c r="BR527">
        <v>0</v>
      </c>
      <c r="BS527">
        <v>6</v>
      </c>
      <c r="BU527" s="1">
        <v>73535</v>
      </c>
    </row>
    <row r="528" spans="1:73" x14ac:dyDescent="0.3">
      <c r="A528" t="s">
        <v>1016</v>
      </c>
      <c r="B528">
        <v>0</v>
      </c>
      <c r="C528">
        <v>0</v>
      </c>
      <c r="D528">
        <v>2</v>
      </c>
      <c r="E528">
        <v>298036</v>
      </c>
      <c r="F528">
        <v>0</v>
      </c>
      <c r="G528">
        <v>0</v>
      </c>
      <c r="H528">
        <v>2</v>
      </c>
      <c r="I528">
        <v>148949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6</v>
      </c>
      <c r="BC528" s="1">
        <v>745021</v>
      </c>
      <c r="BD528" t="s">
        <v>74</v>
      </c>
      <c r="BE528" t="s">
        <v>1017</v>
      </c>
      <c r="BF528" t="s">
        <v>1018</v>
      </c>
      <c r="BH528" t="s">
        <v>77</v>
      </c>
      <c r="BI528" t="s">
        <v>204</v>
      </c>
      <c r="BJ528" t="s">
        <v>79</v>
      </c>
      <c r="BM528">
        <v>0</v>
      </c>
      <c r="BN528">
        <v>2</v>
      </c>
      <c r="BO528">
        <v>2</v>
      </c>
      <c r="BP528" t="s">
        <v>80</v>
      </c>
      <c r="BR528">
        <v>0</v>
      </c>
      <c r="BS528">
        <v>6</v>
      </c>
      <c r="BU528" s="1">
        <v>446985</v>
      </c>
    </row>
    <row r="529" spans="1:73" x14ac:dyDescent="0.3">
      <c r="A529" t="s">
        <v>4943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152120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3</v>
      </c>
      <c r="BC529" s="1">
        <v>225655</v>
      </c>
      <c r="BD529" t="s">
        <v>74</v>
      </c>
      <c r="BE529" t="s">
        <v>4944</v>
      </c>
      <c r="BF529" t="s">
        <v>4945</v>
      </c>
      <c r="BH529" t="s">
        <v>77</v>
      </c>
      <c r="BI529" t="s">
        <v>204</v>
      </c>
      <c r="BJ529" t="s">
        <v>79</v>
      </c>
      <c r="BM529">
        <v>1</v>
      </c>
      <c r="BN529">
        <v>0</v>
      </c>
      <c r="BO529">
        <v>1</v>
      </c>
      <c r="BP529" t="s">
        <v>80</v>
      </c>
      <c r="BR529">
        <v>0</v>
      </c>
      <c r="BS529">
        <v>6</v>
      </c>
      <c r="BU529" s="1">
        <v>152120</v>
      </c>
    </row>
    <row r="530" spans="1:73" x14ac:dyDescent="0.3">
      <c r="A530" t="s">
        <v>4705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73535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</v>
      </c>
      <c r="BC530" s="1">
        <v>147070</v>
      </c>
      <c r="BD530" t="s">
        <v>74</v>
      </c>
      <c r="BE530" t="s">
        <v>4706</v>
      </c>
      <c r="BF530" t="s">
        <v>4707</v>
      </c>
      <c r="BH530" t="s">
        <v>77</v>
      </c>
      <c r="BI530" t="s">
        <v>78</v>
      </c>
      <c r="BJ530" t="s">
        <v>79</v>
      </c>
      <c r="BM530">
        <v>1</v>
      </c>
      <c r="BN530">
        <v>0</v>
      </c>
      <c r="BO530">
        <v>1</v>
      </c>
      <c r="BP530" t="s">
        <v>80</v>
      </c>
      <c r="BR530">
        <v>0</v>
      </c>
      <c r="BS530">
        <v>6</v>
      </c>
      <c r="BU530" s="1">
        <v>73535</v>
      </c>
    </row>
    <row r="531" spans="1:73" x14ac:dyDescent="0.3">
      <c r="A531" t="s">
        <v>1340</v>
      </c>
      <c r="B531">
        <v>1</v>
      </c>
      <c r="C531">
        <v>419376</v>
      </c>
      <c r="D531">
        <v>0</v>
      </c>
      <c r="E531">
        <v>0</v>
      </c>
      <c r="F531">
        <v>0</v>
      </c>
      <c r="G531">
        <v>0</v>
      </c>
      <c r="H531">
        <v>2</v>
      </c>
      <c r="I531">
        <v>40000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3</v>
      </c>
      <c r="BC531" s="1">
        <v>459376</v>
      </c>
      <c r="BD531" t="s">
        <v>74</v>
      </c>
      <c r="BE531" t="s">
        <v>1341</v>
      </c>
      <c r="BF531" t="s">
        <v>1342</v>
      </c>
      <c r="BH531" t="s">
        <v>77</v>
      </c>
      <c r="BI531" t="s">
        <v>78</v>
      </c>
      <c r="BJ531" t="s">
        <v>79</v>
      </c>
      <c r="BM531">
        <v>0</v>
      </c>
      <c r="BN531">
        <v>2</v>
      </c>
      <c r="BO531">
        <v>2</v>
      </c>
      <c r="BP531" t="s">
        <v>80</v>
      </c>
      <c r="BR531">
        <v>0</v>
      </c>
      <c r="BS531">
        <v>6</v>
      </c>
      <c r="BU531" s="1">
        <v>459376</v>
      </c>
    </row>
    <row r="532" spans="1:73" x14ac:dyDescent="0.3">
      <c r="A532" t="s">
        <v>4781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73535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</v>
      </c>
      <c r="BC532" s="1">
        <v>73535</v>
      </c>
      <c r="BD532" t="s">
        <v>74</v>
      </c>
      <c r="BE532" t="s">
        <v>4782</v>
      </c>
      <c r="BF532" t="s">
        <v>4783</v>
      </c>
      <c r="BH532" t="s">
        <v>77</v>
      </c>
      <c r="BI532" t="s">
        <v>574</v>
      </c>
      <c r="BJ532" t="s">
        <v>79</v>
      </c>
      <c r="BM532">
        <v>1</v>
      </c>
      <c r="BN532">
        <v>0</v>
      </c>
      <c r="BO532">
        <v>1</v>
      </c>
      <c r="BP532" t="s">
        <v>80</v>
      </c>
      <c r="BR532">
        <v>0</v>
      </c>
      <c r="BS532">
        <v>0</v>
      </c>
      <c r="BU532" s="1">
        <v>73535</v>
      </c>
    </row>
    <row r="533" spans="1:73" x14ac:dyDescent="0.3">
      <c r="A533" t="s">
        <v>5826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73535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</v>
      </c>
      <c r="BC533" s="1">
        <v>147070</v>
      </c>
      <c r="BD533" t="s">
        <v>74</v>
      </c>
      <c r="BE533" t="s">
        <v>5827</v>
      </c>
      <c r="BF533" t="s">
        <v>4783</v>
      </c>
      <c r="BH533" t="s">
        <v>77</v>
      </c>
      <c r="BI533" t="s">
        <v>574</v>
      </c>
      <c r="BJ533" t="s">
        <v>79</v>
      </c>
      <c r="BM533">
        <v>1</v>
      </c>
      <c r="BN533">
        <v>0</v>
      </c>
      <c r="BO533">
        <v>1</v>
      </c>
      <c r="BP533" t="s">
        <v>80</v>
      </c>
      <c r="BR533">
        <v>0</v>
      </c>
      <c r="BS533">
        <v>6</v>
      </c>
      <c r="BU533" s="1">
        <v>73535</v>
      </c>
    </row>
    <row r="534" spans="1:73" x14ac:dyDescent="0.3">
      <c r="A534" t="s">
        <v>5385</v>
      </c>
      <c r="B534">
        <v>8</v>
      </c>
      <c r="C534">
        <v>2142362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33637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73535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19792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14</v>
      </c>
      <c r="BC534" s="1">
        <v>2362653</v>
      </c>
      <c r="BD534" t="s">
        <v>74</v>
      </c>
      <c r="BE534" t="s">
        <v>5386</v>
      </c>
      <c r="BF534" t="s">
        <v>5387</v>
      </c>
      <c r="BH534" t="s">
        <v>77</v>
      </c>
      <c r="BI534" t="s">
        <v>574</v>
      </c>
      <c r="BJ534" t="s">
        <v>79</v>
      </c>
      <c r="BM534">
        <v>2</v>
      </c>
      <c r="BN534">
        <v>2</v>
      </c>
      <c r="BO534">
        <v>4</v>
      </c>
      <c r="BP534" t="s">
        <v>80</v>
      </c>
      <c r="BR534">
        <v>0</v>
      </c>
      <c r="BS534">
        <v>6</v>
      </c>
      <c r="BU534" s="1">
        <v>2269326</v>
      </c>
    </row>
    <row r="535" spans="1:73" x14ac:dyDescent="0.3">
      <c r="A535" t="s">
        <v>5850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73535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2</v>
      </c>
      <c r="BC535" s="1">
        <v>147070</v>
      </c>
      <c r="BD535" t="s">
        <v>74</v>
      </c>
      <c r="BE535" t="s">
        <v>5851</v>
      </c>
      <c r="BF535" t="s">
        <v>5852</v>
      </c>
      <c r="BH535" t="s">
        <v>77</v>
      </c>
      <c r="BI535" t="s">
        <v>574</v>
      </c>
      <c r="BJ535" t="s">
        <v>79</v>
      </c>
      <c r="BM535">
        <v>1</v>
      </c>
      <c r="BN535">
        <v>0</v>
      </c>
      <c r="BO535">
        <v>1</v>
      </c>
      <c r="BP535" t="s">
        <v>80</v>
      </c>
      <c r="BR535">
        <v>0</v>
      </c>
      <c r="BS535">
        <v>6</v>
      </c>
      <c r="BU535" s="1">
        <v>73535</v>
      </c>
    </row>
    <row r="536" spans="1:73" x14ac:dyDescent="0.3">
      <c r="A536" t="s">
        <v>2580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43523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4394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</v>
      </c>
      <c r="BC536" s="1">
        <v>47917</v>
      </c>
      <c r="BD536" t="s">
        <v>74</v>
      </c>
      <c r="BE536" t="s">
        <v>2581</v>
      </c>
      <c r="BF536" t="s">
        <v>2582</v>
      </c>
      <c r="BH536" t="s">
        <v>77</v>
      </c>
      <c r="BI536" t="s">
        <v>78</v>
      </c>
      <c r="BJ536" t="s">
        <v>79</v>
      </c>
      <c r="BM536">
        <v>2</v>
      </c>
      <c r="BN536">
        <v>0</v>
      </c>
      <c r="BO536">
        <v>2</v>
      </c>
      <c r="BP536" t="s">
        <v>80</v>
      </c>
      <c r="BR536">
        <v>0</v>
      </c>
      <c r="BS536">
        <v>0</v>
      </c>
      <c r="BU536" s="1">
        <v>47917</v>
      </c>
    </row>
    <row r="537" spans="1:73" x14ac:dyDescent="0.3">
      <c r="A537" t="s">
        <v>5039</v>
      </c>
      <c r="B537">
        <v>0</v>
      </c>
      <c r="C537">
        <v>0</v>
      </c>
      <c r="D537">
        <v>1</v>
      </c>
      <c r="E537">
        <v>350000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</v>
      </c>
      <c r="BC537" s="1">
        <v>700000</v>
      </c>
      <c r="BD537" t="s">
        <v>74</v>
      </c>
      <c r="BE537" t="s">
        <v>5040</v>
      </c>
      <c r="BF537" t="s">
        <v>5041</v>
      </c>
      <c r="BH537" t="s">
        <v>77</v>
      </c>
      <c r="BI537" t="s">
        <v>593</v>
      </c>
      <c r="BJ537" t="s">
        <v>79</v>
      </c>
      <c r="BM537">
        <v>0</v>
      </c>
      <c r="BN537">
        <v>1</v>
      </c>
      <c r="BO537">
        <v>1</v>
      </c>
      <c r="BP537" t="s">
        <v>80</v>
      </c>
      <c r="BR537">
        <v>0</v>
      </c>
      <c r="BS537">
        <v>6</v>
      </c>
      <c r="BU537" s="1">
        <v>350000</v>
      </c>
    </row>
    <row r="538" spans="1:73" x14ac:dyDescent="0.3">
      <c r="A538" t="s">
        <v>3452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19792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2</v>
      </c>
      <c r="BC538" s="1">
        <v>39584</v>
      </c>
      <c r="BD538" t="s">
        <v>74</v>
      </c>
      <c r="BE538" t="s">
        <v>3453</v>
      </c>
      <c r="BF538" t="s">
        <v>3454</v>
      </c>
      <c r="BH538" t="s">
        <v>77</v>
      </c>
      <c r="BI538" t="s">
        <v>78</v>
      </c>
      <c r="BJ538" t="s">
        <v>79</v>
      </c>
      <c r="BM538">
        <v>1</v>
      </c>
      <c r="BN538">
        <v>0</v>
      </c>
      <c r="BO538">
        <v>1</v>
      </c>
      <c r="BP538" t="s">
        <v>80</v>
      </c>
      <c r="BR538">
        <v>0</v>
      </c>
      <c r="BS538">
        <v>6</v>
      </c>
      <c r="BU538" s="1">
        <v>19792</v>
      </c>
    </row>
    <row r="539" spans="1:73" x14ac:dyDescent="0.3">
      <c r="A539" t="s">
        <v>3160</v>
      </c>
      <c r="B539">
        <v>0</v>
      </c>
      <c r="C539">
        <v>0</v>
      </c>
      <c r="D539">
        <v>1</v>
      </c>
      <c r="E539">
        <v>190909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 s="1">
        <v>190909</v>
      </c>
      <c r="BD539" t="s">
        <v>74</v>
      </c>
      <c r="BE539" t="s">
        <v>3161</v>
      </c>
      <c r="BF539" t="s">
        <v>3162</v>
      </c>
      <c r="BH539" t="s">
        <v>77</v>
      </c>
      <c r="BI539" t="s">
        <v>574</v>
      </c>
      <c r="BJ539" t="s">
        <v>79</v>
      </c>
      <c r="BM539">
        <v>0</v>
      </c>
      <c r="BN539">
        <v>1</v>
      </c>
      <c r="BO539">
        <v>1</v>
      </c>
      <c r="BP539" t="s">
        <v>80</v>
      </c>
      <c r="BR539">
        <v>0</v>
      </c>
      <c r="BS539">
        <v>6</v>
      </c>
      <c r="BU539" s="1">
        <v>190909</v>
      </c>
    </row>
    <row r="540" spans="1:73" x14ac:dyDescent="0.3">
      <c r="A540" t="s">
        <v>225</v>
      </c>
      <c r="B540">
        <v>0</v>
      </c>
      <c r="C540">
        <v>0</v>
      </c>
      <c r="D540">
        <v>1</v>
      </c>
      <c r="E540">
        <v>192000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 s="1">
        <v>192000</v>
      </c>
      <c r="BD540" t="s">
        <v>74</v>
      </c>
      <c r="BE540" t="s">
        <v>226</v>
      </c>
      <c r="BF540" t="s">
        <v>227</v>
      </c>
      <c r="BH540" t="s">
        <v>77</v>
      </c>
      <c r="BI540" t="s">
        <v>228</v>
      </c>
      <c r="BJ540" t="s">
        <v>79</v>
      </c>
      <c r="BM540">
        <v>0</v>
      </c>
      <c r="BN540">
        <v>1</v>
      </c>
      <c r="BO540">
        <v>1</v>
      </c>
      <c r="BP540" t="s">
        <v>80</v>
      </c>
      <c r="BR540">
        <v>0</v>
      </c>
      <c r="BS540">
        <v>6</v>
      </c>
      <c r="BU540" s="1">
        <v>192000</v>
      </c>
    </row>
    <row r="541" spans="1:73" x14ac:dyDescent="0.3">
      <c r="A541" t="s">
        <v>2907</v>
      </c>
      <c r="B541">
        <v>0</v>
      </c>
      <c r="C541">
        <v>0</v>
      </c>
      <c r="D541">
        <v>1</v>
      </c>
      <c r="E541">
        <v>184000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</v>
      </c>
      <c r="BC541" s="1">
        <v>368000</v>
      </c>
      <c r="BD541" t="s">
        <v>74</v>
      </c>
      <c r="BE541" t="s">
        <v>2908</v>
      </c>
      <c r="BF541" t="s">
        <v>2909</v>
      </c>
      <c r="BH541" t="s">
        <v>77</v>
      </c>
      <c r="BI541" t="s">
        <v>78</v>
      </c>
      <c r="BJ541" t="s">
        <v>79</v>
      </c>
      <c r="BM541">
        <v>0</v>
      </c>
      <c r="BN541">
        <v>1</v>
      </c>
      <c r="BO541">
        <v>1</v>
      </c>
      <c r="BP541" t="s">
        <v>80</v>
      </c>
      <c r="BR541">
        <v>0</v>
      </c>
      <c r="BS541">
        <v>6</v>
      </c>
      <c r="BU541" s="1">
        <v>184000</v>
      </c>
    </row>
    <row r="542" spans="1:73" x14ac:dyDescent="0.3">
      <c r="A542" t="s">
        <v>3183</v>
      </c>
      <c r="B542">
        <v>1</v>
      </c>
      <c r="C542">
        <v>520237</v>
      </c>
      <c r="D542">
        <v>3</v>
      </c>
      <c r="E542">
        <v>271428</v>
      </c>
      <c r="F542">
        <v>0</v>
      </c>
      <c r="G542">
        <v>0</v>
      </c>
      <c r="H542">
        <v>4</v>
      </c>
      <c r="I542">
        <v>80000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7</v>
      </c>
      <c r="BC542" s="1">
        <v>1063093</v>
      </c>
      <c r="BD542" t="s">
        <v>74</v>
      </c>
      <c r="BE542" t="s">
        <v>3184</v>
      </c>
      <c r="BF542" t="s">
        <v>3185</v>
      </c>
      <c r="BH542" t="s">
        <v>175</v>
      </c>
      <c r="BI542" t="s">
        <v>646</v>
      </c>
      <c r="BJ542" t="s">
        <v>125</v>
      </c>
      <c r="BM542">
        <v>0</v>
      </c>
      <c r="BN542">
        <v>3</v>
      </c>
      <c r="BO542">
        <v>3</v>
      </c>
      <c r="BP542" t="s">
        <v>80</v>
      </c>
      <c r="BR542">
        <v>0</v>
      </c>
      <c r="BS542">
        <v>6</v>
      </c>
      <c r="BU542" s="1">
        <v>871665</v>
      </c>
    </row>
    <row r="543" spans="1:73" x14ac:dyDescent="0.3">
      <c r="A543" t="s">
        <v>3671</v>
      </c>
      <c r="B543">
        <v>1</v>
      </c>
      <c r="C543">
        <v>327389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57208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4</v>
      </c>
      <c r="BC543" s="1">
        <v>487382</v>
      </c>
      <c r="BD543" t="s">
        <v>74</v>
      </c>
      <c r="BE543" t="s">
        <v>3672</v>
      </c>
      <c r="BF543" t="s">
        <v>3673</v>
      </c>
      <c r="BH543" t="s">
        <v>77</v>
      </c>
      <c r="BI543" t="s">
        <v>720</v>
      </c>
      <c r="BJ543" t="s">
        <v>79</v>
      </c>
      <c r="BM543">
        <v>1</v>
      </c>
      <c r="BN543">
        <v>1</v>
      </c>
      <c r="BO543">
        <v>2</v>
      </c>
      <c r="BP543" t="s">
        <v>80</v>
      </c>
      <c r="BR543">
        <v>0</v>
      </c>
      <c r="BS543">
        <v>0</v>
      </c>
      <c r="BU543" s="1">
        <v>384597</v>
      </c>
    </row>
    <row r="544" spans="1:73" x14ac:dyDescent="0.3">
      <c r="A544" t="s">
        <v>1181</v>
      </c>
      <c r="B544">
        <v>3</v>
      </c>
      <c r="C544">
        <v>675680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</v>
      </c>
      <c r="BC544" s="1">
        <v>675680</v>
      </c>
      <c r="BD544" t="s">
        <v>74</v>
      </c>
      <c r="BE544" t="s">
        <v>1182</v>
      </c>
      <c r="BF544" t="s">
        <v>1183</v>
      </c>
      <c r="BH544" t="s">
        <v>77</v>
      </c>
      <c r="BI544" t="s">
        <v>228</v>
      </c>
      <c r="BJ544" t="s">
        <v>79</v>
      </c>
      <c r="BM544">
        <v>0</v>
      </c>
      <c r="BN544">
        <v>1</v>
      </c>
      <c r="BO544">
        <v>1</v>
      </c>
      <c r="BP544" t="s">
        <v>80</v>
      </c>
      <c r="BR544">
        <v>0</v>
      </c>
      <c r="BS544">
        <v>6</v>
      </c>
      <c r="BU544" s="1">
        <v>675680</v>
      </c>
    </row>
    <row r="545" spans="1:73" x14ac:dyDescent="0.3">
      <c r="A545" t="s">
        <v>909</v>
      </c>
      <c r="B545">
        <v>0</v>
      </c>
      <c r="C545">
        <v>0</v>
      </c>
      <c r="D545">
        <v>1</v>
      </c>
      <c r="E545">
        <v>160000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 s="1">
        <v>160000</v>
      </c>
      <c r="BD545" t="s">
        <v>74</v>
      </c>
      <c r="BE545" t="s">
        <v>910</v>
      </c>
      <c r="BF545" t="s">
        <v>911</v>
      </c>
      <c r="BH545" t="s">
        <v>77</v>
      </c>
      <c r="BI545" t="s">
        <v>92</v>
      </c>
      <c r="BJ545" t="s">
        <v>79</v>
      </c>
      <c r="BM545">
        <v>0</v>
      </c>
      <c r="BN545">
        <v>1</v>
      </c>
      <c r="BO545">
        <v>1</v>
      </c>
      <c r="BP545" t="s">
        <v>80</v>
      </c>
      <c r="BR545">
        <v>0</v>
      </c>
      <c r="BS545">
        <v>0</v>
      </c>
      <c r="BU545" s="1">
        <v>160000</v>
      </c>
    </row>
    <row r="546" spans="1:73" x14ac:dyDescent="0.3">
      <c r="A546" t="s">
        <v>3774</v>
      </c>
      <c r="B546">
        <v>0</v>
      </c>
      <c r="C546">
        <v>0</v>
      </c>
      <c r="D546">
        <v>1</v>
      </c>
      <c r="E546">
        <v>350000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</v>
      </c>
      <c r="BC546" s="1">
        <v>700000</v>
      </c>
      <c r="BD546" t="s">
        <v>74</v>
      </c>
      <c r="BE546" t="s">
        <v>3775</v>
      </c>
      <c r="BF546" t="s">
        <v>3776</v>
      </c>
      <c r="BH546" t="s">
        <v>77</v>
      </c>
      <c r="BI546" t="s">
        <v>228</v>
      </c>
      <c r="BJ546" t="s">
        <v>79</v>
      </c>
      <c r="BM546">
        <v>0</v>
      </c>
      <c r="BN546">
        <v>1</v>
      </c>
      <c r="BO546">
        <v>1</v>
      </c>
      <c r="BP546" t="s">
        <v>80</v>
      </c>
      <c r="BR546">
        <v>0</v>
      </c>
      <c r="BS546">
        <v>6</v>
      </c>
      <c r="BU546" s="1">
        <v>350000</v>
      </c>
    </row>
    <row r="547" spans="1:73" x14ac:dyDescent="0.3">
      <c r="A547" t="s">
        <v>4083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9697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</v>
      </c>
      <c r="BC547" s="1">
        <v>19394</v>
      </c>
      <c r="BD547" t="s">
        <v>74</v>
      </c>
      <c r="BE547" t="s">
        <v>4084</v>
      </c>
      <c r="BF547" t="s">
        <v>4085</v>
      </c>
      <c r="BH547" t="s">
        <v>77</v>
      </c>
      <c r="BI547" t="s">
        <v>78</v>
      </c>
      <c r="BJ547" t="s">
        <v>79</v>
      </c>
      <c r="BM547">
        <v>1</v>
      </c>
      <c r="BN547">
        <v>0</v>
      </c>
      <c r="BO547">
        <v>1</v>
      </c>
      <c r="BP547" t="s">
        <v>80</v>
      </c>
      <c r="BR547">
        <v>0</v>
      </c>
      <c r="BS547">
        <v>0</v>
      </c>
      <c r="BU547" s="1">
        <v>9697</v>
      </c>
    </row>
    <row r="548" spans="1:73" x14ac:dyDescent="0.3">
      <c r="A548" t="s">
        <v>1716</v>
      </c>
      <c r="B548">
        <v>1</v>
      </c>
      <c r="C548">
        <v>347009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45682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11526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5</v>
      </c>
      <c r="BC548" s="1">
        <v>461425</v>
      </c>
      <c r="BD548" t="s">
        <v>74</v>
      </c>
      <c r="BE548" t="s">
        <v>1717</v>
      </c>
      <c r="BF548" t="s">
        <v>1718</v>
      </c>
      <c r="BH548" t="s">
        <v>77</v>
      </c>
      <c r="BI548" t="s">
        <v>228</v>
      </c>
      <c r="BJ548" t="s">
        <v>79</v>
      </c>
      <c r="BM548">
        <v>2</v>
      </c>
      <c r="BN548">
        <v>1</v>
      </c>
      <c r="BO548">
        <v>3</v>
      </c>
      <c r="BP548" t="s">
        <v>80</v>
      </c>
      <c r="BR548">
        <v>0</v>
      </c>
      <c r="BS548">
        <v>6</v>
      </c>
      <c r="BU548" s="1">
        <v>404217</v>
      </c>
    </row>
    <row r="549" spans="1:73" x14ac:dyDescent="0.3">
      <c r="A549" t="s">
        <v>5141</v>
      </c>
      <c r="B549">
        <v>0</v>
      </c>
      <c r="C549">
        <v>0</v>
      </c>
      <c r="D549">
        <v>1</v>
      </c>
      <c r="E549">
        <v>240000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</v>
      </c>
      <c r="BC549" s="1">
        <v>480000</v>
      </c>
      <c r="BD549" t="s">
        <v>74</v>
      </c>
      <c r="BE549" t="s">
        <v>5142</v>
      </c>
      <c r="BF549" t="s">
        <v>5143</v>
      </c>
      <c r="BH549" t="s">
        <v>77</v>
      </c>
      <c r="BI549" t="s">
        <v>92</v>
      </c>
      <c r="BJ549" t="s">
        <v>79</v>
      </c>
      <c r="BM549">
        <v>0</v>
      </c>
      <c r="BN549">
        <v>1</v>
      </c>
      <c r="BO549">
        <v>1</v>
      </c>
      <c r="BP549" t="s">
        <v>80</v>
      </c>
      <c r="BR549">
        <v>0</v>
      </c>
      <c r="BS549">
        <v>6</v>
      </c>
      <c r="BU549" s="1">
        <v>240000</v>
      </c>
    </row>
    <row r="550" spans="1:73" x14ac:dyDescent="0.3">
      <c r="A550" t="s">
        <v>3119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73535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19792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3</v>
      </c>
      <c r="BC550" s="1">
        <v>171912</v>
      </c>
      <c r="BD550" t="s">
        <v>74</v>
      </c>
      <c r="BE550" t="s">
        <v>3120</v>
      </c>
      <c r="BF550" t="s">
        <v>3121</v>
      </c>
      <c r="BH550" t="s">
        <v>77</v>
      </c>
      <c r="BI550" t="s">
        <v>92</v>
      </c>
      <c r="BJ550" t="s">
        <v>79</v>
      </c>
      <c r="BM550">
        <v>2</v>
      </c>
      <c r="BN550">
        <v>0</v>
      </c>
      <c r="BO550">
        <v>2</v>
      </c>
      <c r="BP550" t="s">
        <v>80</v>
      </c>
      <c r="BR550">
        <v>0</v>
      </c>
      <c r="BS550">
        <v>6</v>
      </c>
      <c r="BU550" s="1">
        <v>93327</v>
      </c>
    </row>
    <row r="551" spans="1:73" x14ac:dyDescent="0.3">
      <c r="A551" t="s">
        <v>5717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47916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2</v>
      </c>
      <c r="BC551" s="1">
        <v>121451</v>
      </c>
      <c r="BD551" t="s">
        <v>74</v>
      </c>
      <c r="BE551" t="s">
        <v>5718</v>
      </c>
      <c r="BF551" t="s">
        <v>5719</v>
      </c>
      <c r="BH551" t="s">
        <v>77</v>
      </c>
      <c r="BI551" t="s">
        <v>92</v>
      </c>
      <c r="BJ551" t="s">
        <v>79</v>
      </c>
      <c r="BM551">
        <v>1</v>
      </c>
      <c r="BN551">
        <v>0</v>
      </c>
      <c r="BO551">
        <v>1</v>
      </c>
      <c r="BP551" t="s">
        <v>80</v>
      </c>
      <c r="BR551">
        <v>0</v>
      </c>
      <c r="BS551">
        <v>0</v>
      </c>
      <c r="BU551" s="1">
        <v>47916</v>
      </c>
    </row>
    <row r="552" spans="1:73" x14ac:dyDescent="0.3">
      <c r="A552" t="s">
        <v>2087</v>
      </c>
      <c r="B552">
        <v>3</v>
      </c>
      <c r="C552">
        <v>2402092</v>
      </c>
      <c r="D552">
        <v>4</v>
      </c>
      <c r="E552">
        <v>359782</v>
      </c>
      <c r="F552">
        <v>0</v>
      </c>
      <c r="G552">
        <v>0</v>
      </c>
      <c r="H552">
        <v>5</v>
      </c>
      <c r="I552">
        <v>169913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12</v>
      </c>
      <c r="BC552" s="1">
        <v>3030039</v>
      </c>
      <c r="BD552" t="s">
        <v>74</v>
      </c>
      <c r="BE552" t="s">
        <v>2088</v>
      </c>
      <c r="BF552" t="s">
        <v>2089</v>
      </c>
      <c r="BH552" t="s">
        <v>77</v>
      </c>
      <c r="BI552" t="s">
        <v>228</v>
      </c>
      <c r="BJ552" t="s">
        <v>79</v>
      </c>
      <c r="BM552">
        <v>0</v>
      </c>
      <c r="BN552">
        <v>3</v>
      </c>
      <c r="BO552">
        <v>3</v>
      </c>
      <c r="BP552" t="s">
        <v>80</v>
      </c>
      <c r="BR552">
        <v>0</v>
      </c>
      <c r="BS552">
        <v>6</v>
      </c>
      <c r="BU552" s="1">
        <v>2931787</v>
      </c>
    </row>
    <row r="553" spans="1:73" x14ac:dyDescent="0.3">
      <c r="A553" t="s">
        <v>4220</v>
      </c>
      <c r="B553">
        <v>5</v>
      </c>
      <c r="C553">
        <v>813305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6</v>
      </c>
      <c r="BC553" s="1">
        <v>1405306</v>
      </c>
      <c r="BD553" t="s">
        <v>74</v>
      </c>
      <c r="BE553" t="s">
        <v>4221</v>
      </c>
      <c r="BF553" t="s">
        <v>4222</v>
      </c>
      <c r="BH553" t="s">
        <v>123</v>
      </c>
      <c r="BI553" t="s">
        <v>325</v>
      </c>
      <c r="BJ553" t="s">
        <v>125</v>
      </c>
      <c r="BM553">
        <v>0</v>
      </c>
      <c r="BN553">
        <v>1</v>
      </c>
      <c r="BO553">
        <v>1</v>
      </c>
      <c r="BP553" t="s">
        <v>80</v>
      </c>
      <c r="BR553">
        <v>0</v>
      </c>
      <c r="BS553">
        <v>6</v>
      </c>
      <c r="BU553" s="1">
        <v>813305</v>
      </c>
    </row>
    <row r="554" spans="1:73" x14ac:dyDescent="0.3">
      <c r="A554" t="s">
        <v>4113</v>
      </c>
      <c r="B554">
        <v>0</v>
      </c>
      <c r="C554">
        <v>126764</v>
      </c>
      <c r="D554">
        <v>1</v>
      </c>
      <c r="E554">
        <v>164182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2</v>
      </c>
      <c r="BC554" s="1">
        <v>455128</v>
      </c>
      <c r="BD554" t="s">
        <v>74</v>
      </c>
      <c r="BE554" t="s">
        <v>4114</v>
      </c>
      <c r="BF554" t="s">
        <v>4115</v>
      </c>
      <c r="BH554" t="s">
        <v>77</v>
      </c>
      <c r="BI554" t="s">
        <v>228</v>
      </c>
      <c r="BJ554" t="s">
        <v>79</v>
      </c>
      <c r="BM554">
        <v>0</v>
      </c>
      <c r="BN554">
        <v>1</v>
      </c>
      <c r="BO554">
        <v>1</v>
      </c>
      <c r="BP554" t="s">
        <v>80</v>
      </c>
      <c r="BR554">
        <v>0</v>
      </c>
      <c r="BS554">
        <v>6</v>
      </c>
      <c r="BU554" s="1">
        <v>290946</v>
      </c>
    </row>
    <row r="555" spans="1:73" x14ac:dyDescent="0.3">
      <c r="A555" t="s">
        <v>467</v>
      </c>
      <c r="B555">
        <v>0</v>
      </c>
      <c r="C555">
        <v>0</v>
      </c>
      <c r="D555">
        <v>2</v>
      </c>
      <c r="E555">
        <v>308000</v>
      </c>
      <c r="F555">
        <v>0</v>
      </c>
      <c r="G555">
        <v>0</v>
      </c>
      <c r="H555">
        <v>2</v>
      </c>
      <c r="I555">
        <v>40000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4</v>
      </c>
      <c r="BC555" s="1">
        <v>616000</v>
      </c>
      <c r="BD555" t="s">
        <v>74</v>
      </c>
      <c r="BE555" t="s">
        <v>468</v>
      </c>
      <c r="BF555" t="s">
        <v>469</v>
      </c>
      <c r="BH555" t="s">
        <v>77</v>
      </c>
      <c r="BI555" t="s">
        <v>204</v>
      </c>
      <c r="BJ555" t="s">
        <v>79</v>
      </c>
      <c r="BM555">
        <v>0</v>
      </c>
      <c r="BN555">
        <v>2</v>
      </c>
      <c r="BO555">
        <v>2</v>
      </c>
      <c r="BP555" t="s">
        <v>80</v>
      </c>
      <c r="BR555">
        <v>0</v>
      </c>
      <c r="BS555">
        <v>6</v>
      </c>
      <c r="BU555" s="1">
        <v>348000</v>
      </c>
    </row>
    <row r="556" spans="1:73" x14ac:dyDescent="0.3">
      <c r="A556" t="s">
        <v>5347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90909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 s="1">
        <v>90909</v>
      </c>
      <c r="BD556" t="s">
        <v>74</v>
      </c>
      <c r="BE556" t="s">
        <v>5348</v>
      </c>
      <c r="BF556" t="s">
        <v>5349</v>
      </c>
      <c r="BH556" t="s">
        <v>77</v>
      </c>
      <c r="BI556" t="s">
        <v>88</v>
      </c>
      <c r="BJ556" t="s">
        <v>79</v>
      </c>
      <c r="BM556">
        <v>1</v>
      </c>
      <c r="BN556">
        <v>0</v>
      </c>
      <c r="BO556">
        <v>1</v>
      </c>
      <c r="BP556" t="s">
        <v>80</v>
      </c>
      <c r="BR556">
        <v>0</v>
      </c>
      <c r="BS556">
        <v>6</v>
      </c>
      <c r="BU556" s="1">
        <v>90909</v>
      </c>
    </row>
    <row r="557" spans="1:73" x14ac:dyDescent="0.3">
      <c r="A557" t="s">
        <v>3694</v>
      </c>
      <c r="B557">
        <v>3</v>
      </c>
      <c r="C557">
        <v>848096</v>
      </c>
      <c r="D557">
        <v>1</v>
      </c>
      <c r="E557">
        <v>116365</v>
      </c>
      <c r="F557">
        <v>0</v>
      </c>
      <c r="G557">
        <v>0</v>
      </c>
      <c r="H557">
        <v>2</v>
      </c>
      <c r="I557">
        <v>40000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96439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10</v>
      </c>
      <c r="BC557" s="1">
        <v>1333496</v>
      </c>
      <c r="BD557" t="s">
        <v>74</v>
      </c>
      <c r="BE557" t="s">
        <v>3695</v>
      </c>
      <c r="BF557" t="s">
        <v>3696</v>
      </c>
      <c r="BH557" t="s">
        <v>136</v>
      </c>
      <c r="BI557" t="s">
        <v>333</v>
      </c>
      <c r="BJ557" t="s">
        <v>125</v>
      </c>
      <c r="BM557">
        <v>1</v>
      </c>
      <c r="BN557">
        <v>3</v>
      </c>
      <c r="BO557">
        <v>4</v>
      </c>
      <c r="BP557" t="s">
        <v>80</v>
      </c>
      <c r="BR557">
        <v>0</v>
      </c>
      <c r="BS557">
        <v>6</v>
      </c>
      <c r="BU557" s="1">
        <v>1100900</v>
      </c>
    </row>
    <row r="558" spans="1:73" x14ac:dyDescent="0.3">
      <c r="A558" t="s">
        <v>4843</v>
      </c>
      <c r="B558">
        <v>0</v>
      </c>
      <c r="C558">
        <v>0</v>
      </c>
      <c r="D558">
        <v>12</v>
      </c>
      <c r="E558">
        <v>2484194</v>
      </c>
      <c r="F558">
        <v>0</v>
      </c>
      <c r="G558">
        <v>0</v>
      </c>
      <c r="H558">
        <v>22</v>
      </c>
      <c r="I558">
        <v>468388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73535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26</v>
      </c>
      <c r="BC558" s="1">
        <v>5115458</v>
      </c>
      <c r="BD558" t="s">
        <v>74</v>
      </c>
      <c r="BE558" t="s">
        <v>4844</v>
      </c>
      <c r="BF558" t="s">
        <v>4845</v>
      </c>
      <c r="BH558" t="s">
        <v>77</v>
      </c>
      <c r="BI558" t="s">
        <v>92</v>
      </c>
      <c r="BJ558" t="s">
        <v>79</v>
      </c>
      <c r="BM558">
        <v>1</v>
      </c>
      <c r="BN558">
        <v>2</v>
      </c>
      <c r="BO558">
        <v>3</v>
      </c>
      <c r="BP558" t="s">
        <v>80</v>
      </c>
      <c r="BR558">
        <v>0</v>
      </c>
      <c r="BS558">
        <v>6</v>
      </c>
      <c r="BU558" s="1">
        <v>3026117</v>
      </c>
    </row>
    <row r="559" spans="1:73" x14ac:dyDescent="0.3">
      <c r="A559" t="s">
        <v>5412</v>
      </c>
      <c r="B559">
        <v>0</v>
      </c>
      <c r="C559">
        <v>0</v>
      </c>
      <c r="D559">
        <v>2</v>
      </c>
      <c r="E559">
        <v>1310400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3</v>
      </c>
      <c r="BC559" s="1">
        <v>2390400</v>
      </c>
      <c r="BD559" t="s">
        <v>74</v>
      </c>
      <c r="BE559" t="s">
        <v>5413</v>
      </c>
      <c r="BF559" t="s">
        <v>5414</v>
      </c>
      <c r="BH559" t="s">
        <v>77</v>
      </c>
      <c r="BI559" t="s">
        <v>574</v>
      </c>
      <c r="BJ559" t="s">
        <v>79</v>
      </c>
      <c r="BM559">
        <v>0</v>
      </c>
      <c r="BN559">
        <v>1</v>
      </c>
      <c r="BO559">
        <v>1</v>
      </c>
      <c r="BP559" t="s">
        <v>80</v>
      </c>
      <c r="BR559">
        <v>0</v>
      </c>
      <c r="BS559">
        <v>6</v>
      </c>
      <c r="BU559" s="1">
        <v>1310400</v>
      </c>
    </row>
    <row r="560" spans="1:73" x14ac:dyDescent="0.3">
      <c r="A560" t="s">
        <v>3904</v>
      </c>
      <c r="B560">
        <v>0</v>
      </c>
      <c r="C560">
        <v>0</v>
      </c>
      <c r="D560">
        <v>1</v>
      </c>
      <c r="E560">
        <v>350000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80000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2</v>
      </c>
      <c r="BC560" s="1">
        <v>430000</v>
      </c>
      <c r="BD560" t="s">
        <v>74</v>
      </c>
      <c r="BE560" t="s">
        <v>3905</v>
      </c>
      <c r="BF560" t="s">
        <v>3906</v>
      </c>
      <c r="BH560" t="s">
        <v>77</v>
      </c>
      <c r="BI560" t="s">
        <v>204</v>
      </c>
      <c r="BJ560" t="s">
        <v>79</v>
      </c>
      <c r="BM560">
        <v>0</v>
      </c>
      <c r="BN560">
        <v>2</v>
      </c>
      <c r="BO560">
        <v>2</v>
      </c>
      <c r="BP560" t="s">
        <v>80</v>
      </c>
      <c r="BR560">
        <v>0</v>
      </c>
      <c r="BS560">
        <v>6</v>
      </c>
      <c r="BU560" s="1">
        <v>430000</v>
      </c>
    </row>
    <row r="561" spans="1:73" x14ac:dyDescent="0.3">
      <c r="A561" t="s">
        <v>5637</v>
      </c>
      <c r="B561">
        <v>0</v>
      </c>
      <c r="C561">
        <v>0</v>
      </c>
      <c r="D561">
        <v>1</v>
      </c>
      <c r="E561">
        <v>288000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73535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3</v>
      </c>
      <c r="BC561" s="1">
        <v>435070</v>
      </c>
      <c r="BD561" t="s">
        <v>74</v>
      </c>
      <c r="BE561" t="s">
        <v>5638</v>
      </c>
      <c r="BF561" t="s">
        <v>5639</v>
      </c>
      <c r="BH561" t="s">
        <v>77</v>
      </c>
      <c r="BI561" t="s">
        <v>78</v>
      </c>
      <c r="BJ561" t="s">
        <v>79</v>
      </c>
      <c r="BM561">
        <v>1</v>
      </c>
      <c r="BN561">
        <v>1</v>
      </c>
      <c r="BO561">
        <v>2</v>
      </c>
      <c r="BP561" t="s">
        <v>80</v>
      </c>
      <c r="BR561">
        <v>0</v>
      </c>
      <c r="BS561">
        <v>6</v>
      </c>
      <c r="BU561" s="1">
        <v>361535</v>
      </c>
    </row>
    <row r="562" spans="1:73" x14ac:dyDescent="0.3">
      <c r="A562" t="s">
        <v>4045</v>
      </c>
      <c r="B562">
        <v>0</v>
      </c>
      <c r="C562">
        <v>0</v>
      </c>
      <c r="D562">
        <v>3</v>
      </c>
      <c r="E562">
        <v>270400</v>
      </c>
      <c r="F562">
        <v>0</v>
      </c>
      <c r="G562">
        <v>0</v>
      </c>
      <c r="H562">
        <v>4</v>
      </c>
      <c r="I562">
        <v>80000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73535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19792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10</v>
      </c>
      <c r="BC562" s="1">
        <v>727454</v>
      </c>
      <c r="BD562" t="s">
        <v>74</v>
      </c>
      <c r="BE562" t="s">
        <v>4046</v>
      </c>
      <c r="BF562" t="s">
        <v>4047</v>
      </c>
      <c r="BH562" t="s">
        <v>77</v>
      </c>
      <c r="BI562" t="s">
        <v>92</v>
      </c>
      <c r="BJ562" t="s">
        <v>79</v>
      </c>
      <c r="BM562">
        <v>2</v>
      </c>
      <c r="BN562">
        <v>2</v>
      </c>
      <c r="BO562">
        <v>4</v>
      </c>
      <c r="BP562" t="s">
        <v>80</v>
      </c>
      <c r="BR562">
        <v>0</v>
      </c>
      <c r="BS562">
        <v>6</v>
      </c>
      <c r="BU562" s="1">
        <v>443727</v>
      </c>
    </row>
    <row r="563" spans="1:73" x14ac:dyDescent="0.3">
      <c r="A563" t="s">
        <v>2221</v>
      </c>
      <c r="B563">
        <v>0</v>
      </c>
      <c r="C563">
        <v>0</v>
      </c>
      <c r="D563">
        <v>2</v>
      </c>
      <c r="E563">
        <v>850000</v>
      </c>
      <c r="F563">
        <v>0</v>
      </c>
      <c r="G563">
        <v>0</v>
      </c>
      <c r="H563">
        <v>3</v>
      </c>
      <c r="I563">
        <v>65000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5</v>
      </c>
      <c r="BC563" s="1">
        <v>915000</v>
      </c>
      <c r="BD563" t="s">
        <v>74</v>
      </c>
      <c r="BE563" t="s">
        <v>2222</v>
      </c>
      <c r="BF563" t="s">
        <v>2223</v>
      </c>
      <c r="BH563" t="s">
        <v>77</v>
      </c>
      <c r="BI563" t="s">
        <v>88</v>
      </c>
      <c r="BJ563" t="s">
        <v>79</v>
      </c>
      <c r="BM563">
        <v>0</v>
      </c>
      <c r="BN563">
        <v>2</v>
      </c>
      <c r="BO563">
        <v>2</v>
      </c>
      <c r="BP563" t="s">
        <v>80</v>
      </c>
      <c r="BR563">
        <v>0</v>
      </c>
      <c r="BS563">
        <v>6</v>
      </c>
      <c r="BU563" s="1">
        <v>915000</v>
      </c>
    </row>
    <row r="564" spans="1:73" x14ac:dyDescent="0.3">
      <c r="A564" t="s">
        <v>1848</v>
      </c>
      <c r="B564">
        <v>1</v>
      </c>
      <c r="C564">
        <v>372042</v>
      </c>
      <c r="D564">
        <v>1</v>
      </c>
      <c r="E564">
        <v>650000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>
        <v>37500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5</v>
      </c>
      <c r="BC564" s="1">
        <v>1709542</v>
      </c>
      <c r="BD564" t="s">
        <v>74</v>
      </c>
      <c r="BE564" t="s">
        <v>1849</v>
      </c>
      <c r="BF564" t="s">
        <v>1850</v>
      </c>
      <c r="BH564" t="s">
        <v>77</v>
      </c>
      <c r="BI564" t="s">
        <v>88</v>
      </c>
      <c r="BJ564" t="s">
        <v>79</v>
      </c>
      <c r="BM564">
        <v>0</v>
      </c>
      <c r="BN564">
        <v>3</v>
      </c>
      <c r="BO564">
        <v>3</v>
      </c>
      <c r="BP564" t="s">
        <v>80</v>
      </c>
      <c r="BR564">
        <v>0</v>
      </c>
      <c r="BS564">
        <v>6</v>
      </c>
      <c r="BU564" s="1">
        <v>1059542</v>
      </c>
    </row>
    <row r="565" spans="1:73" x14ac:dyDescent="0.3">
      <c r="A565" t="s">
        <v>3498</v>
      </c>
      <c r="B565">
        <v>1</v>
      </c>
      <c r="C565">
        <v>462973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57208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</v>
      </c>
      <c r="BC565" s="1">
        <v>594422</v>
      </c>
      <c r="BD565" t="s">
        <v>74</v>
      </c>
      <c r="BE565" t="s">
        <v>3499</v>
      </c>
      <c r="BF565" t="s">
        <v>3500</v>
      </c>
      <c r="BH565" t="s">
        <v>77</v>
      </c>
      <c r="BI565" t="s">
        <v>88</v>
      </c>
      <c r="BJ565" t="s">
        <v>79</v>
      </c>
      <c r="BM565">
        <v>1</v>
      </c>
      <c r="BN565">
        <v>1</v>
      </c>
      <c r="BO565">
        <v>2</v>
      </c>
      <c r="BP565" t="s">
        <v>80</v>
      </c>
      <c r="BR565">
        <v>0</v>
      </c>
      <c r="BS565">
        <v>6</v>
      </c>
      <c r="BU565" s="1">
        <v>520181</v>
      </c>
    </row>
    <row r="566" spans="1:73" x14ac:dyDescent="0.3">
      <c r="A566" t="s">
        <v>3455</v>
      </c>
      <c r="B566">
        <v>0</v>
      </c>
      <c r="C566">
        <v>150908</v>
      </c>
      <c r="D566">
        <v>3</v>
      </c>
      <c r="E566">
        <v>235455</v>
      </c>
      <c r="F566">
        <v>0</v>
      </c>
      <c r="G566">
        <v>0</v>
      </c>
      <c r="H566">
        <v>4</v>
      </c>
      <c r="I566">
        <v>80000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67878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8000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9</v>
      </c>
      <c r="BC566" s="1">
        <v>765574</v>
      </c>
      <c r="BD566" t="s">
        <v>74</v>
      </c>
      <c r="BE566" t="s">
        <v>3456</v>
      </c>
      <c r="BF566" t="s">
        <v>3457</v>
      </c>
      <c r="BH566" t="s">
        <v>77</v>
      </c>
      <c r="BI566" t="s">
        <v>88</v>
      </c>
      <c r="BJ566" t="s">
        <v>79</v>
      </c>
      <c r="BM566">
        <v>2</v>
      </c>
      <c r="BN566">
        <v>2</v>
      </c>
      <c r="BO566">
        <v>4</v>
      </c>
      <c r="BP566" t="s">
        <v>80</v>
      </c>
      <c r="BR566">
        <v>0</v>
      </c>
      <c r="BS566">
        <v>6</v>
      </c>
      <c r="BU566" s="1">
        <v>542241</v>
      </c>
    </row>
    <row r="567" spans="1:73" x14ac:dyDescent="0.3">
      <c r="A567" t="s">
        <v>5239</v>
      </c>
      <c r="B567">
        <v>0</v>
      </c>
      <c r="C567">
        <v>0</v>
      </c>
      <c r="D567">
        <v>1</v>
      </c>
      <c r="E567">
        <v>175000</v>
      </c>
      <c r="F567">
        <v>0</v>
      </c>
      <c r="G567">
        <v>0</v>
      </c>
      <c r="H567">
        <v>1</v>
      </c>
      <c r="I567">
        <v>20000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3</v>
      </c>
      <c r="BC567" s="1">
        <v>214792</v>
      </c>
      <c r="BD567" t="s">
        <v>74</v>
      </c>
      <c r="BE567" t="s">
        <v>5240</v>
      </c>
      <c r="BF567" t="s">
        <v>5241</v>
      </c>
      <c r="BH567" t="s">
        <v>77</v>
      </c>
      <c r="BI567" t="s">
        <v>88</v>
      </c>
      <c r="BJ567" t="s">
        <v>79</v>
      </c>
      <c r="BM567">
        <v>0</v>
      </c>
      <c r="BN567">
        <v>2</v>
      </c>
      <c r="BO567">
        <v>2</v>
      </c>
      <c r="BP567" t="s">
        <v>80</v>
      </c>
      <c r="BR567">
        <v>0</v>
      </c>
      <c r="BS567">
        <v>6</v>
      </c>
      <c r="BU567" s="1">
        <v>195000</v>
      </c>
    </row>
    <row r="568" spans="1:73" x14ac:dyDescent="0.3">
      <c r="A568" t="s">
        <v>4212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73535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 s="1">
        <v>73535</v>
      </c>
      <c r="BD568" t="s">
        <v>74</v>
      </c>
      <c r="BE568" t="s">
        <v>4213</v>
      </c>
      <c r="BF568" t="s">
        <v>4214</v>
      </c>
      <c r="BH568" t="s">
        <v>77</v>
      </c>
      <c r="BI568" t="s">
        <v>204</v>
      </c>
      <c r="BJ568" t="s">
        <v>79</v>
      </c>
      <c r="BM568">
        <v>1</v>
      </c>
      <c r="BN568">
        <v>0</v>
      </c>
      <c r="BO568">
        <v>1</v>
      </c>
      <c r="BP568" t="s">
        <v>80</v>
      </c>
      <c r="BR568">
        <v>0</v>
      </c>
      <c r="BS568">
        <v>0</v>
      </c>
      <c r="BU568" s="1">
        <v>73535</v>
      </c>
    </row>
    <row r="569" spans="1:73" x14ac:dyDescent="0.3">
      <c r="A569" t="s">
        <v>5236</v>
      </c>
      <c r="B569">
        <v>0</v>
      </c>
      <c r="C569">
        <v>0</v>
      </c>
      <c r="D569">
        <v>3</v>
      </c>
      <c r="E569">
        <v>310000</v>
      </c>
      <c r="F569">
        <v>0</v>
      </c>
      <c r="G569">
        <v>0</v>
      </c>
      <c r="H569">
        <v>4</v>
      </c>
      <c r="I569">
        <v>80000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6</v>
      </c>
      <c r="BC569" s="1">
        <v>620000</v>
      </c>
      <c r="BD569" t="s">
        <v>74</v>
      </c>
      <c r="BE569" t="s">
        <v>5237</v>
      </c>
      <c r="BF569" t="s">
        <v>5238</v>
      </c>
      <c r="BH569" t="s">
        <v>77</v>
      </c>
      <c r="BI569" t="s">
        <v>281</v>
      </c>
      <c r="BJ569" t="s">
        <v>79</v>
      </c>
      <c r="BM569">
        <v>0</v>
      </c>
      <c r="BN569">
        <v>2</v>
      </c>
      <c r="BO569">
        <v>2</v>
      </c>
      <c r="BP569" t="s">
        <v>80</v>
      </c>
      <c r="BR569">
        <v>0</v>
      </c>
      <c r="BS569">
        <v>6</v>
      </c>
      <c r="BU569" s="1">
        <v>390000</v>
      </c>
    </row>
    <row r="570" spans="1:73" x14ac:dyDescent="0.3">
      <c r="A570" t="s">
        <v>5660</v>
      </c>
      <c r="B570">
        <v>0</v>
      </c>
      <c r="C570">
        <v>0</v>
      </c>
      <c r="D570">
        <v>3</v>
      </c>
      <c r="E570">
        <v>685455</v>
      </c>
      <c r="F570">
        <v>0</v>
      </c>
      <c r="G570">
        <v>0</v>
      </c>
      <c r="H570">
        <v>4</v>
      </c>
      <c r="I570">
        <v>80000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6</v>
      </c>
      <c r="BC570" s="1">
        <v>1370910</v>
      </c>
      <c r="BD570" t="s">
        <v>74</v>
      </c>
      <c r="BE570" t="s">
        <v>5661</v>
      </c>
      <c r="BF570" t="s">
        <v>5662</v>
      </c>
      <c r="BH570" t="s">
        <v>77</v>
      </c>
      <c r="BI570" t="s">
        <v>204</v>
      </c>
      <c r="BJ570" t="s">
        <v>79</v>
      </c>
      <c r="BM570">
        <v>0</v>
      </c>
      <c r="BN570">
        <v>2</v>
      </c>
      <c r="BO570">
        <v>2</v>
      </c>
      <c r="BP570" t="s">
        <v>80</v>
      </c>
      <c r="BR570">
        <v>0</v>
      </c>
      <c r="BS570">
        <v>6</v>
      </c>
      <c r="BU570" s="1">
        <v>765455</v>
      </c>
    </row>
    <row r="571" spans="1:73" x14ac:dyDescent="0.3">
      <c r="A571" t="s">
        <v>3247</v>
      </c>
      <c r="B571">
        <v>2</v>
      </c>
      <c r="C571">
        <v>630396</v>
      </c>
      <c r="D571">
        <v>3</v>
      </c>
      <c r="E571">
        <v>260629</v>
      </c>
      <c r="F571">
        <v>0</v>
      </c>
      <c r="G571">
        <v>0</v>
      </c>
      <c r="H571">
        <v>2</v>
      </c>
      <c r="I571">
        <v>62606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8</v>
      </c>
      <c r="BC571" s="1">
        <v>1151654</v>
      </c>
      <c r="BD571" t="s">
        <v>74</v>
      </c>
      <c r="BE571" t="s">
        <v>3248</v>
      </c>
      <c r="BF571" t="s">
        <v>3249</v>
      </c>
      <c r="BH571" t="s">
        <v>136</v>
      </c>
      <c r="BI571" t="s">
        <v>439</v>
      </c>
      <c r="BJ571" t="s">
        <v>125</v>
      </c>
      <c r="BM571">
        <v>0</v>
      </c>
      <c r="BN571">
        <v>3</v>
      </c>
      <c r="BO571">
        <v>3</v>
      </c>
      <c r="BP571" t="s">
        <v>80</v>
      </c>
      <c r="BR571">
        <v>0</v>
      </c>
      <c r="BS571">
        <v>6</v>
      </c>
      <c r="BU571" s="1">
        <v>953631</v>
      </c>
    </row>
    <row r="572" spans="1:73" x14ac:dyDescent="0.3">
      <c r="A572" t="s">
        <v>4489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77000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4</v>
      </c>
      <c r="BC572" s="1">
        <v>175377</v>
      </c>
      <c r="BD572" t="s">
        <v>74</v>
      </c>
      <c r="BE572" t="s">
        <v>4490</v>
      </c>
      <c r="BF572" t="s">
        <v>4491</v>
      </c>
      <c r="BH572" t="s">
        <v>77</v>
      </c>
      <c r="BI572" t="s">
        <v>574</v>
      </c>
      <c r="BJ572" t="s">
        <v>79</v>
      </c>
      <c r="BM572">
        <v>1</v>
      </c>
      <c r="BN572">
        <v>0</v>
      </c>
      <c r="BO572">
        <v>1</v>
      </c>
      <c r="BP572" t="s">
        <v>80</v>
      </c>
      <c r="BR572">
        <v>0</v>
      </c>
      <c r="BS572">
        <v>6</v>
      </c>
      <c r="BU572" s="1">
        <v>77000</v>
      </c>
    </row>
    <row r="573" spans="1:73" x14ac:dyDescent="0.3">
      <c r="A573" t="s">
        <v>2256</v>
      </c>
      <c r="B573">
        <v>0</v>
      </c>
      <c r="C573">
        <v>0</v>
      </c>
      <c r="D573">
        <v>3</v>
      </c>
      <c r="E573">
        <v>161737</v>
      </c>
      <c r="F573">
        <v>0</v>
      </c>
      <c r="G573">
        <v>0</v>
      </c>
      <c r="H573">
        <v>10</v>
      </c>
      <c r="I573">
        <v>213474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135000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13</v>
      </c>
      <c r="BC573" s="1">
        <v>603474</v>
      </c>
      <c r="BD573" t="s">
        <v>74</v>
      </c>
      <c r="BE573" t="s">
        <v>2257</v>
      </c>
      <c r="BF573" t="s">
        <v>2258</v>
      </c>
      <c r="BH573" t="s">
        <v>77</v>
      </c>
      <c r="BI573" t="s">
        <v>88</v>
      </c>
      <c r="BJ573" t="s">
        <v>79</v>
      </c>
      <c r="BM573">
        <v>0</v>
      </c>
      <c r="BN573">
        <v>3</v>
      </c>
      <c r="BO573">
        <v>3</v>
      </c>
      <c r="BP573" t="s">
        <v>80</v>
      </c>
      <c r="BR573">
        <v>0</v>
      </c>
      <c r="BS573">
        <v>6</v>
      </c>
      <c r="BU573" s="1">
        <v>510211</v>
      </c>
    </row>
    <row r="574" spans="1:73" x14ac:dyDescent="0.3">
      <c r="A574" t="s">
        <v>3270</v>
      </c>
      <c r="B574">
        <v>0</v>
      </c>
      <c r="C574">
        <v>0</v>
      </c>
      <c r="D574">
        <v>6</v>
      </c>
      <c r="E574">
        <v>1997659</v>
      </c>
      <c r="F574">
        <v>0</v>
      </c>
      <c r="G574">
        <v>0</v>
      </c>
      <c r="H574">
        <v>5</v>
      </c>
      <c r="I574">
        <v>253718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225655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16</v>
      </c>
      <c r="BC574" s="1">
        <v>3562639</v>
      </c>
      <c r="BD574" t="s">
        <v>74</v>
      </c>
      <c r="BE574" t="s">
        <v>3271</v>
      </c>
      <c r="BF574" t="s">
        <v>3272</v>
      </c>
      <c r="BH574" t="s">
        <v>77</v>
      </c>
      <c r="BI574" t="s">
        <v>593</v>
      </c>
      <c r="BJ574" t="s">
        <v>79</v>
      </c>
      <c r="BM574">
        <v>1</v>
      </c>
      <c r="BN574">
        <v>2</v>
      </c>
      <c r="BO574">
        <v>3</v>
      </c>
      <c r="BP574" t="s">
        <v>80</v>
      </c>
      <c r="BR574">
        <v>0</v>
      </c>
      <c r="BS574">
        <v>6</v>
      </c>
      <c r="BU574" s="1">
        <v>2477032</v>
      </c>
    </row>
    <row r="575" spans="1:73" x14ac:dyDescent="0.3">
      <c r="A575" t="s">
        <v>5525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20000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73535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3</v>
      </c>
      <c r="BC575" s="1">
        <v>121313</v>
      </c>
      <c r="BD575" t="s">
        <v>74</v>
      </c>
      <c r="BE575" t="s">
        <v>5526</v>
      </c>
      <c r="BF575" t="s">
        <v>5527</v>
      </c>
      <c r="BH575" t="s">
        <v>77</v>
      </c>
      <c r="BI575" t="s">
        <v>593</v>
      </c>
      <c r="BJ575" t="s">
        <v>79</v>
      </c>
      <c r="BM575">
        <v>1</v>
      </c>
      <c r="BN575">
        <v>1</v>
      </c>
      <c r="BO575">
        <v>2</v>
      </c>
      <c r="BP575" t="s">
        <v>80</v>
      </c>
      <c r="BR575">
        <v>0</v>
      </c>
      <c r="BS575">
        <v>6</v>
      </c>
      <c r="BU575" s="1">
        <v>93535</v>
      </c>
    </row>
    <row r="576" spans="1:73" x14ac:dyDescent="0.3">
      <c r="A576" t="s">
        <v>5549</v>
      </c>
      <c r="B576">
        <v>0</v>
      </c>
      <c r="C576">
        <v>0</v>
      </c>
      <c r="D576">
        <v>1</v>
      </c>
      <c r="E576">
        <v>150000</v>
      </c>
      <c r="F576">
        <v>0</v>
      </c>
      <c r="G576">
        <v>0</v>
      </c>
      <c r="H576">
        <v>4</v>
      </c>
      <c r="I576">
        <v>80000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80000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8</v>
      </c>
      <c r="BC576" s="1">
        <v>540000</v>
      </c>
      <c r="BD576" t="s">
        <v>74</v>
      </c>
      <c r="BE576" t="s">
        <v>5550</v>
      </c>
      <c r="BF576" t="s">
        <v>5551</v>
      </c>
      <c r="BH576" t="s">
        <v>77</v>
      </c>
      <c r="BI576" t="s">
        <v>88</v>
      </c>
      <c r="BJ576" t="s">
        <v>79</v>
      </c>
      <c r="BM576">
        <v>0</v>
      </c>
      <c r="BN576">
        <v>3</v>
      </c>
      <c r="BO576">
        <v>3</v>
      </c>
      <c r="BP576" t="s">
        <v>80</v>
      </c>
      <c r="BR576">
        <v>0</v>
      </c>
      <c r="BS576">
        <v>6</v>
      </c>
      <c r="BU576" s="1">
        <v>310000</v>
      </c>
    </row>
    <row r="577" spans="1:73" x14ac:dyDescent="0.3">
      <c r="A577" t="s">
        <v>2378</v>
      </c>
      <c r="B577">
        <v>0</v>
      </c>
      <c r="C577">
        <v>1054546</v>
      </c>
      <c r="D577">
        <v>7</v>
      </c>
      <c r="E577">
        <v>2077636</v>
      </c>
      <c r="F577">
        <v>0</v>
      </c>
      <c r="G577">
        <v>0</v>
      </c>
      <c r="H577">
        <v>6</v>
      </c>
      <c r="I577">
        <v>135454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152120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19792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20</v>
      </c>
      <c r="BC577" s="1">
        <v>5510315</v>
      </c>
      <c r="BD577" t="s">
        <v>74</v>
      </c>
      <c r="BE577" t="s">
        <v>2379</v>
      </c>
      <c r="BF577" t="s">
        <v>2380</v>
      </c>
      <c r="BH577" t="s">
        <v>77</v>
      </c>
      <c r="BI577" t="s">
        <v>92</v>
      </c>
      <c r="BJ577" t="s">
        <v>79</v>
      </c>
      <c r="BM577">
        <v>2</v>
      </c>
      <c r="BN577">
        <v>2</v>
      </c>
      <c r="BO577">
        <v>4</v>
      </c>
      <c r="BP577" t="s">
        <v>80</v>
      </c>
      <c r="BR577">
        <v>0</v>
      </c>
      <c r="BS577">
        <v>6</v>
      </c>
      <c r="BU577" s="1">
        <v>3439548</v>
      </c>
    </row>
    <row r="578" spans="1:73" x14ac:dyDescent="0.3">
      <c r="A578" t="s">
        <v>1291</v>
      </c>
      <c r="B578">
        <v>0</v>
      </c>
      <c r="C578">
        <v>0</v>
      </c>
      <c r="D578">
        <v>2</v>
      </c>
      <c r="E578">
        <v>375000</v>
      </c>
      <c r="F578">
        <v>0</v>
      </c>
      <c r="G578">
        <v>0</v>
      </c>
      <c r="H578">
        <v>3</v>
      </c>
      <c r="I578">
        <v>98659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6</v>
      </c>
      <c r="BC578" s="1">
        <v>552244</v>
      </c>
      <c r="BD578" t="s">
        <v>74</v>
      </c>
      <c r="BE578" t="s">
        <v>1292</v>
      </c>
      <c r="BF578" t="s">
        <v>1293</v>
      </c>
      <c r="BH578" t="s">
        <v>77</v>
      </c>
      <c r="BI578" t="s">
        <v>92</v>
      </c>
      <c r="BJ578" t="s">
        <v>79</v>
      </c>
      <c r="BM578">
        <v>0</v>
      </c>
      <c r="BN578">
        <v>2</v>
      </c>
      <c r="BO578">
        <v>2</v>
      </c>
      <c r="BP578" t="s">
        <v>80</v>
      </c>
      <c r="BR578">
        <v>0</v>
      </c>
      <c r="BS578">
        <v>6</v>
      </c>
      <c r="BU578" s="1">
        <v>473659</v>
      </c>
    </row>
    <row r="579" spans="1:73" x14ac:dyDescent="0.3">
      <c r="A579" t="s">
        <v>4232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96439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</v>
      </c>
      <c r="BC579" s="1">
        <v>339665</v>
      </c>
      <c r="BD579" t="s">
        <v>74</v>
      </c>
      <c r="BE579" t="s">
        <v>4233</v>
      </c>
      <c r="BF579" t="s">
        <v>4234</v>
      </c>
      <c r="BH579" t="s">
        <v>77</v>
      </c>
      <c r="BI579" t="s">
        <v>204</v>
      </c>
      <c r="BJ579" t="s">
        <v>79</v>
      </c>
      <c r="BM579">
        <v>1</v>
      </c>
      <c r="BN579">
        <v>0</v>
      </c>
      <c r="BO579">
        <v>1</v>
      </c>
      <c r="BP579" t="s">
        <v>80</v>
      </c>
      <c r="BR579">
        <v>0</v>
      </c>
      <c r="BS579">
        <v>6</v>
      </c>
      <c r="BU579" s="1">
        <v>96439</v>
      </c>
    </row>
    <row r="580" spans="1:73" x14ac:dyDescent="0.3">
      <c r="A580" t="s">
        <v>4451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78585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19792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3</v>
      </c>
      <c r="BC580" s="1">
        <v>118169</v>
      </c>
      <c r="BD580" t="s">
        <v>74</v>
      </c>
      <c r="BE580" t="s">
        <v>4452</v>
      </c>
      <c r="BF580" t="s">
        <v>4453</v>
      </c>
      <c r="BH580" t="s">
        <v>77</v>
      </c>
      <c r="BI580" t="s">
        <v>78</v>
      </c>
      <c r="BJ580" t="s">
        <v>79</v>
      </c>
      <c r="BM580">
        <v>2</v>
      </c>
      <c r="BN580">
        <v>0</v>
      </c>
      <c r="BO580">
        <v>2</v>
      </c>
      <c r="BP580" t="s">
        <v>80</v>
      </c>
      <c r="BR580">
        <v>0</v>
      </c>
      <c r="BS580">
        <v>6</v>
      </c>
      <c r="BU580" s="1">
        <v>98377</v>
      </c>
    </row>
    <row r="581" spans="1:73" x14ac:dyDescent="0.3">
      <c r="A581" t="s">
        <v>846</v>
      </c>
      <c r="B581">
        <v>1</v>
      </c>
      <c r="C581">
        <v>199361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 s="1">
        <v>199361</v>
      </c>
      <c r="BD581" t="s">
        <v>74</v>
      </c>
      <c r="BE581" t="s">
        <v>847</v>
      </c>
      <c r="BF581" t="s">
        <v>848</v>
      </c>
      <c r="BH581" t="s">
        <v>849</v>
      </c>
      <c r="BI581" t="s">
        <v>850</v>
      </c>
      <c r="BJ581" t="s">
        <v>79</v>
      </c>
      <c r="BM581">
        <v>0</v>
      </c>
      <c r="BN581">
        <v>1</v>
      </c>
      <c r="BO581">
        <v>1</v>
      </c>
      <c r="BP581" t="s">
        <v>80</v>
      </c>
      <c r="BR581">
        <v>0</v>
      </c>
      <c r="BS581">
        <v>6</v>
      </c>
      <c r="BU581" s="1">
        <v>199361</v>
      </c>
    </row>
    <row r="582" spans="1:73" x14ac:dyDescent="0.3">
      <c r="A582" t="s">
        <v>2125</v>
      </c>
      <c r="B582">
        <v>0</v>
      </c>
      <c r="C582">
        <v>705460</v>
      </c>
      <c r="D582">
        <v>2</v>
      </c>
      <c r="E582">
        <v>227270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</v>
      </c>
      <c r="BC582" s="1">
        <v>1096363</v>
      </c>
      <c r="BD582" t="s">
        <v>74</v>
      </c>
      <c r="BE582" t="s">
        <v>2126</v>
      </c>
      <c r="BF582" t="s">
        <v>2127</v>
      </c>
      <c r="BH582" t="s">
        <v>77</v>
      </c>
      <c r="BI582" t="s">
        <v>593</v>
      </c>
      <c r="BJ582" t="s">
        <v>79</v>
      </c>
      <c r="BM582">
        <v>0</v>
      </c>
      <c r="BN582">
        <v>1</v>
      </c>
      <c r="BO582">
        <v>1</v>
      </c>
      <c r="BP582" t="s">
        <v>80</v>
      </c>
      <c r="BR582">
        <v>0</v>
      </c>
      <c r="BS582">
        <v>6</v>
      </c>
      <c r="BU582" s="1">
        <v>932730</v>
      </c>
    </row>
    <row r="583" spans="1:73" x14ac:dyDescent="0.3">
      <c r="A583" t="s">
        <v>4586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73535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 s="1">
        <v>73535</v>
      </c>
      <c r="BD583" t="s">
        <v>74</v>
      </c>
      <c r="BE583" t="s">
        <v>4587</v>
      </c>
      <c r="BF583" t="s">
        <v>4588</v>
      </c>
      <c r="BH583" t="s">
        <v>77</v>
      </c>
      <c r="BI583" t="s">
        <v>204</v>
      </c>
      <c r="BJ583" t="s">
        <v>79</v>
      </c>
      <c r="BM583">
        <v>1</v>
      </c>
      <c r="BN583">
        <v>0</v>
      </c>
      <c r="BO583">
        <v>1</v>
      </c>
      <c r="BP583" t="s">
        <v>80</v>
      </c>
      <c r="BR583">
        <v>0</v>
      </c>
      <c r="BS583">
        <v>0</v>
      </c>
      <c r="BU583" s="1">
        <v>73535</v>
      </c>
    </row>
    <row r="584" spans="1:73" x14ac:dyDescent="0.3">
      <c r="A584" t="s">
        <v>1869</v>
      </c>
      <c r="B584">
        <v>3</v>
      </c>
      <c r="C584">
        <v>760160</v>
      </c>
      <c r="D584">
        <v>1</v>
      </c>
      <c r="E584">
        <v>33486</v>
      </c>
      <c r="F584">
        <v>0</v>
      </c>
      <c r="G584">
        <v>0</v>
      </c>
      <c r="H584">
        <v>4</v>
      </c>
      <c r="I584">
        <v>93486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73535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13</v>
      </c>
      <c r="BC584" s="1">
        <v>1597807</v>
      </c>
      <c r="BD584" t="s">
        <v>74</v>
      </c>
      <c r="BE584" t="s">
        <v>1870</v>
      </c>
      <c r="BF584" t="s">
        <v>1871</v>
      </c>
      <c r="BH584" t="s">
        <v>77</v>
      </c>
      <c r="BI584" t="s">
        <v>92</v>
      </c>
      <c r="BJ584" t="s">
        <v>79</v>
      </c>
      <c r="BM584">
        <v>1</v>
      </c>
      <c r="BN584">
        <v>3</v>
      </c>
      <c r="BO584">
        <v>4</v>
      </c>
      <c r="BP584" t="s">
        <v>80</v>
      </c>
      <c r="BR584">
        <v>0</v>
      </c>
      <c r="BS584">
        <v>6</v>
      </c>
      <c r="BU584" s="1">
        <v>960667</v>
      </c>
    </row>
    <row r="585" spans="1:73" x14ac:dyDescent="0.3">
      <c r="A585" t="s">
        <v>1932</v>
      </c>
      <c r="B585">
        <v>4</v>
      </c>
      <c r="C585">
        <v>909950</v>
      </c>
      <c r="D585">
        <v>1</v>
      </c>
      <c r="E585">
        <v>350000</v>
      </c>
      <c r="F585">
        <v>0</v>
      </c>
      <c r="G585">
        <v>0</v>
      </c>
      <c r="H585">
        <v>4</v>
      </c>
      <c r="I585">
        <v>80000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19455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12</v>
      </c>
      <c r="BC585" s="1">
        <v>1728860</v>
      </c>
      <c r="BD585" t="s">
        <v>74</v>
      </c>
      <c r="BE585" t="s">
        <v>1933</v>
      </c>
      <c r="BF585" t="s">
        <v>1934</v>
      </c>
      <c r="BH585" t="s">
        <v>175</v>
      </c>
      <c r="BI585" t="s">
        <v>255</v>
      </c>
      <c r="BJ585" t="s">
        <v>125</v>
      </c>
      <c r="BM585">
        <v>0</v>
      </c>
      <c r="BN585">
        <v>4</v>
      </c>
      <c r="BO585">
        <v>4</v>
      </c>
      <c r="BP585" t="s">
        <v>80</v>
      </c>
      <c r="BR585">
        <v>0</v>
      </c>
      <c r="BS585">
        <v>6</v>
      </c>
      <c r="BU585" s="1">
        <v>1359405</v>
      </c>
    </row>
    <row r="586" spans="1:73" x14ac:dyDescent="0.3">
      <c r="A586" t="s">
        <v>5188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73535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</v>
      </c>
      <c r="BC586" s="1">
        <v>81451</v>
      </c>
      <c r="BD586" t="s">
        <v>74</v>
      </c>
      <c r="BE586" t="s">
        <v>5189</v>
      </c>
      <c r="BF586" t="s">
        <v>5190</v>
      </c>
      <c r="BH586" t="s">
        <v>77</v>
      </c>
      <c r="BI586" t="s">
        <v>92</v>
      </c>
      <c r="BJ586" t="s">
        <v>79</v>
      </c>
      <c r="BM586">
        <v>1</v>
      </c>
      <c r="BN586">
        <v>0</v>
      </c>
      <c r="BO586">
        <v>1</v>
      </c>
      <c r="BP586" t="s">
        <v>80</v>
      </c>
      <c r="BR586">
        <v>0</v>
      </c>
      <c r="BS586">
        <v>6</v>
      </c>
      <c r="BU586" s="1">
        <v>73535</v>
      </c>
    </row>
    <row r="587" spans="1:73" x14ac:dyDescent="0.3">
      <c r="A587" t="s">
        <v>3867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96439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 s="1">
        <v>96439</v>
      </c>
      <c r="BD587" t="s">
        <v>74</v>
      </c>
      <c r="BE587" t="s">
        <v>3868</v>
      </c>
      <c r="BF587" t="s">
        <v>3869</v>
      </c>
      <c r="BH587" t="s">
        <v>77</v>
      </c>
      <c r="BI587" t="s">
        <v>88</v>
      </c>
      <c r="BJ587" t="s">
        <v>79</v>
      </c>
      <c r="BM587">
        <v>1</v>
      </c>
      <c r="BN587">
        <v>0</v>
      </c>
      <c r="BO587">
        <v>1</v>
      </c>
      <c r="BP587" t="s">
        <v>80</v>
      </c>
      <c r="BR587">
        <v>0</v>
      </c>
      <c r="BS587">
        <v>6</v>
      </c>
      <c r="BU587" s="1">
        <v>96439</v>
      </c>
    </row>
    <row r="588" spans="1:73" x14ac:dyDescent="0.3">
      <c r="A588" t="s">
        <v>1756</v>
      </c>
      <c r="B588">
        <v>0</v>
      </c>
      <c r="C588">
        <v>0</v>
      </c>
      <c r="D588">
        <v>1</v>
      </c>
      <c r="E588">
        <v>150000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2</v>
      </c>
      <c r="BC588" s="1">
        <v>300000</v>
      </c>
      <c r="BD588" t="s">
        <v>74</v>
      </c>
      <c r="BE588" t="s">
        <v>1757</v>
      </c>
      <c r="BF588" t="s">
        <v>1758</v>
      </c>
      <c r="BH588" t="s">
        <v>77</v>
      </c>
      <c r="BI588" t="s">
        <v>88</v>
      </c>
      <c r="BJ588" t="s">
        <v>79</v>
      </c>
      <c r="BM588">
        <v>0</v>
      </c>
      <c r="BN588">
        <v>1</v>
      </c>
      <c r="BO588">
        <v>1</v>
      </c>
      <c r="BP588" t="s">
        <v>80</v>
      </c>
      <c r="BR588">
        <v>0</v>
      </c>
      <c r="BS588">
        <v>6</v>
      </c>
      <c r="BU588" s="1">
        <v>150000</v>
      </c>
    </row>
    <row r="589" spans="1:73" x14ac:dyDescent="0.3">
      <c r="A589" t="s">
        <v>3256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19792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</v>
      </c>
      <c r="BC589" s="1">
        <v>39584</v>
      </c>
      <c r="BD589" t="s">
        <v>74</v>
      </c>
      <c r="BE589" t="s">
        <v>3257</v>
      </c>
      <c r="BF589" t="s">
        <v>3258</v>
      </c>
      <c r="BH589" t="s">
        <v>77</v>
      </c>
      <c r="BI589" t="s">
        <v>88</v>
      </c>
      <c r="BJ589" t="s">
        <v>79</v>
      </c>
      <c r="BM589">
        <v>1</v>
      </c>
      <c r="BN589">
        <v>0</v>
      </c>
      <c r="BO589">
        <v>1</v>
      </c>
      <c r="BP589" t="s">
        <v>80</v>
      </c>
      <c r="BR589">
        <v>0</v>
      </c>
      <c r="BS589">
        <v>6</v>
      </c>
      <c r="BU589" s="1">
        <v>19792</v>
      </c>
    </row>
    <row r="590" spans="1:73" x14ac:dyDescent="0.3">
      <c r="A590" t="s">
        <v>5484</v>
      </c>
      <c r="B590">
        <v>2</v>
      </c>
      <c r="C590">
        <v>468569</v>
      </c>
      <c r="D590">
        <v>1</v>
      </c>
      <c r="E590">
        <v>150000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4</v>
      </c>
      <c r="BC590" s="1">
        <v>768569</v>
      </c>
      <c r="BD590" t="s">
        <v>74</v>
      </c>
      <c r="BE590" t="s">
        <v>5485</v>
      </c>
      <c r="BF590" t="s">
        <v>5486</v>
      </c>
      <c r="BH590" t="s">
        <v>175</v>
      </c>
      <c r="BI590" t="s">
        <v>176</v>
      </c>
      <c r="BJ590" t="s">
        <v>125</v>
      </c>
      <c r="BM590">
        <v>0</v>
      </c>
      <c r="BN590">
        <v>2</v>
      </c>
      <c r="BO590">
        <v>2</v>
      </c>
      <c r="BP590" t="s">
        <v>80</v>
      </c>
      <c r="BR590">
        <v>0</v>
      </c>
      <c r="BS590">
        <v>6</v>
      </c>
      <c r="BU590" s="1">
        <v>618569</v>
      </c>
    </row>
    <row r="591" spans="1:73" x14ac:dyDescent="0.3">
      <c r="A591" t="s">
        <v>5099</v>
      </c>
      <c r="B591">
        <v>4</v>
      </c>
      <c r="C591">
        <v>862192</v>
      </c>
      <c r="D591">
        <v>3</v>
      </c>
      <c r="E591">
        <v>464502</v>
      </c>
      <c r="F591">
        <v>0</v>
      </c>
      <c r="G591">
        <v>0</v>
      </c>
      <c r="H591">
        <v>2</v>
      </c>
      <c r="I591">
        <v>50908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10</v>
      </c>
      <c r="BC591" s="1">
        <v>1791196</v>
      </c>
      <c r="BD591" t="s">
        <v>74</v>
      </c>
      <c r="BE591" t="s">
        <v>5100</v>
      </c>
      <c r="BF591" t="s">
        <v>5101</v>
      </c>
      <c r="BH591" t="s">
        <v>77</v>
      </c>
      <c r="BI591" t="s">
        <v>92</v>
      </c>
      <c r="BJ591" t="s">
        <v>79</v>
      </c>
      <c r="BM591">
        <v>0</v>
      </c>
      <c r="BN591">
        <v>3</v>
      </c>
      <c r="BO591">
        <v>3</v>
      </c>
      <c r="BP591" t="s">
        <v>80</v>
      </c>
      <c r="BR591">
        <v>0</v>
      </c>
      <c r="BS591">
        <v>6</v>
      </c>
      <c r="BU591" s="1">
        <v>1377602</v>
      </c>
    </row>
    <row r="592" spans="1:73" x14ac:dyDescent="0.3">
      <c r="A592" t="s">
        <v>5624</v>
      </c>
      <c r="B592">
        <v>0</v>
      </c>
      <c r="C592">
        <v>0</v>
      </c>
      <c r="D592">
        <v>1</v>
      </c>
      <c r="E592">
        <v>170000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 s="1">
        <v>170000</v>
      </c>
      <c r="BD592" t="s">
        <v>74</v>
      </c>
      <c r="BE592" t="s">
        <v>5625</v>
      </c>
      <c r="BF592" t="s">
        <v>5626</v>
      </c>
      <c r="BH592" t="s">
        <v>77</v>
      </c>
      <c r="BI592" t="s">
        <v>88</v>
      </c>
      <c r="BJ592" t="s">
        <v>79</v>
      </c>
      <c r="BM592">
        <v>0</v>
      </c>
      <c r="BN592">
        <v>1</v>
      </c>
      <c r="BO592">
        <v>1</v>
      </c>
      <c r="BP592" t="s">
        <v>80</v>
      </c>
      <c r="BR592">
        <v>0</v>
      </c>
      <c r="BS592">
        <v>6</v>
      </c>
      <c r="BU592" s="1">
        <v>170000</v>
      </c>
    </row>
    <row r="593" spans="1:73" x14ac:dyDescent="0.3">
      <c r="A593" t="s">
        <v>841</v>
      </c>
      <c r="B593">
        <v>1</v>
      </c>
      <c r="C593">
        <v>163090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 s="1">
        <v>163090</v>
      </c>
      <c r="BD593" t="s">
        <v>74</v>
      </c>
      <c r="BE593" t="s">
        <v>842</v>
      </c>
      <c r="BF593" t="s">
        <v>843</v>
      </c>
      <c r="BH593" t="s">
        <v>77</v>
      </c>
      <c r="BI593" t="s">
        <v>88</v>
      </c>
      <c r="BJ593" t="s">
        <v>79</v>
      </c>
      <c r="BM593">
        <v>0</v>
      </c>
      <c r="BN593">
        <v>1</v>
      </c>
      <c r="BO593">
        <v>1</v>
      </c>
      <c r="BP593" t="s">
        <v>80</v>
      </c>
      <c r="BR593">
        <v>0</v>
      </c>
      <c r="BS593">
        <v>6</v>
      </c>
      <c r="BU593" s="1">
        <v>163090</v>
      </c>
    </row>
    <row r="594" spans="1:73" x14ac:dyDescent="0.3">
      <c r="A594" t="s">
        <v>3487</v>
      </c>
      <c r="B594">
        <v>4</v>
      </c>
      <c r="C594">
        <v>1318713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19792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</v>
      </c>
      <c r="BC594" s="1">
        <v>1338505</v>
      </c>
      <c r="BD594" t="s">
        <v>74</v>
      </c>
      <c r="BE594" t="s">
        <v>3488</v>
      </c>
      <c r="BF594" t="s">
        <v>3489</v>
      </c>
      <c r="BH594" t="s">
        <v>77</v>
      </c>
      <c r="BI594" t="s">
        <v>84</v>
      </c>
      <c r="BJ594" t="s">
        <v>79</v>
      </c>
      <c r="BM594">
        <v>1</v>
      </c>
      <c r="BN594">
        <v>1</v>
      </c>
      <c r="BO594">
        <v>2</v>
      </c>
      <c r="BP594" t="s">
        <v>80</v>
      </c>
      <c r="BR594">
        <v>0</v>
      </c>
      <c r="BS594">
        <v>6</v>
      </c>
      <c r="BU594" s="1">
        <v>1338505</v>
      </c>
    </row>
    <row r="595" spans="1:73" x14ac:dyDescent="0.3">
      <c r="A595" t="s">
        <v>4066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19792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 s="1">
        <v>19792</v>
      </c>
      <c r="BD595" t="s">
        <v>74</v>
      </c>
      <c r="BE595" t="s">
        <v>4067</v>
      </c>
      <c r="BF595" t="s">
        <v>4068</v>
      </c>
      <c r="BH595" t="s">
        <v>77</v>
      </c>
      <c r="BI595" t="s">
        <v>593</v>
      </c>
      <c r="BJ595" t="s">
        <v>79</v>
      </c>
      <c r="BM595">
        <v>1</v>
      </c>
      <c r="BN595">
        <v>0</v>
      </c>
      <c r="BO595">
        <v>1</v>
      </c>
      <c r="BP595" t="s">
        <v>80</v>
      </c>
      <c r="BR595">
        <v>0</v>
      </c>
      <c r="BS595">
        <v>0</v>
      </c>
      <c r="BU595" s="1">
        <v>19792</v>
      </c>
    </row>
    <row r="596" spans="1:73" x14ac:dyDescent="0.3">
      <c r="A596" t="s">
        <v>2722</v>
      </c>
      <c r="B596">
        <v>0</v>
      </c>
      <c r="C596">
        <v>0</v>
      </c>
      <c r="D596">
        <v>2</v>
      </c>
      <c r="E596">
        <v>364000</v>
      </c>
      <c r="F596">
        <v>0</v>
      </c>
      <c r="G596">
        <v>0</v>
      </c>
      <c r="H596">
        <v>2</v>
      </c>
      <c r="I596">
        <v>50000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73535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8</v>
      </c>
      <c r="BC596" s="1">
        <v>925070</v>
      </c>
      <c r="BD596" t="s">
        <v>74</v>
      </c>
      <c r="BE596" t="s">
        <v>2723</v>
      </c>
      <c r="BF596" t="s">
        <v>2724</v>
      </c>
      <c r="BH596" t="s">
        <v>77</v>
      </c>
      <c r="BI596" t="s">
        <v>593</v>
      </c>
      <c r="BJ596" t="s">
        <v>79</v>
      </c>
      <c r="BM596">
        <v>1</v>
      </c>
      <c r="BN596">
        <v>2</v>
      </c>
      <c r="BO596">
        <v>3</v>
      </c>
      <c r="BP596" t="s">
        <v>80</v>
      </c>
      <c r="BR596">
        <v>0</v>
      </c>
      <c r="BS596">
        <v>6</v>
      </c>
      <c r="BU596" s="1">
        <v>487535</v>
      </c>
    </row>
    <row r="597" spans="1:73" x14ac:dyDescent="0.3">
      <c r="A597" t="s">
        <v>3430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19792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2</v>
      </c>
      <c r="BC597" s="1">
        <v>39584</v>
      </c>
      <c r="BD597" t="s">
        <v>74</v>
      </c>
      <c r="BE597" t="s">
        <v>3431</v>
      </c>
      <c r="BF597" t="s">
        <v>3432</v>
      </c>
      <c r="BH597" t="s">
        <v>77</v>
      </c>
      <c r="BI597" t="s">
        <v>88</v>
      </c>
      <c r="BJ597" t="s">
        <v>79</v>
      </c>
      <c r="BM597">
        <v>1</v>
      </c>
      <c r="BN597">
        <v>0</v>
      </c>
      <c r="BO597">
        <v>1</v>
      </c>
      <c r="BP597" t="s">
        <v>80</v>
      </c>
      <c r="BR597">
        <v>0</v>
      </c>
      <c r="BS597">
        <v>0</v>
      </c>
      <c r="BU597" s="1">
        <v>19792</v>
      </c>
    </row>
    <row r="598" spans="1:73" x14ac:dyDescent="0.3">
      <c r="A598" t="s">
        <v>3782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73535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 s="1">
        <v>73535</v>
      </c>
      <c r="BD598" t="s">
        <v>74</v>
      </c>
      <c r="BE598" t="s">
        <v>3783</v>
      </c>
      <c r="BF598" t="s">
        <v>3784</v>
      </c>
      <c r="BH598" t="s">
        <v>77</v>
      </c>
      <c r="BI598" t="s">
        <v>281</v>
      </c>
      <c r="BJ598" t="s">
        <v>79</v>
      </c>
      <c r="BM598">
        <v>1</v>
      </c>
      <c r="BN598">
        <v>0</v>
      </c>
      <c r="BO598">
        <v>1</v>
      </c>
      <c r="BP598" t="s">
        <v>80</v>
      </c>
      <c r="BR598">
        <v>0</v>
      </c>
      <c r="BS598">
        <v>0</v>
      </c>
      <c r="BU598" s="1">
        <v>73535</v>
      </c>
    </row>
    <row r="599" spans="1:73" x14ac:dyDescent="0.3">
      <c r="A599" t="s">
        <v>3970</v>
      </c>
      <c r="B599">
        <v>0</v>
      </c>
      <c r="C599">
        <v>0</v>
      </c>
      <c r="D599">
        <v>1</v>
      </c>
      <c r="E599">
        <v>231428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 s="1">
        <v>231428</v>
      </c>
      <c r="BD599" t="s">
        <v>74</v>
      </c>
      <c r="BE599" t="s">
        <v>3971</v>
      </c>
      <c r="BF599" t="s">
        <v>3972</v>
      </c>
      <c r="BH599" t="s">
        <v>77</v>
      </c>
      <c r="BI599" t="s">
        <v>92</v>
      </c>
      <c r="BJ599" t="s">
        <v>79</v>
      </c>
      <c r="BM599">
        <v>0</v>
      </c>
      <c r="BN599">
        <v>1</v>
      </c>
      <c r="BO599">
        <v>1</v>
      </c>
      <c r="BP599" t="s">
        <v>80</v>
      </c>
      <c r="BR599">
        <v>0</v>
      </c>
      <c r="BS599">
        <v>6</v>
      </c>
      <c r="BU599" s="1">
        <v>231428</v>
      </c>
    </row>
    <row r="600" spans="1:73" x14ac:dyDescent="0.3">
      <c r="A600" t="s">
        <v>1959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73535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20000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3</v>
      </c>
      <c r="BC600" s="1">
        <v>113535</v>
      </c>
      <c r="BD600" t="s">
        <v>74</v>
      </c>
      <c r="BE600" t="s">
        <v>1960</v>
      </c>
      <c r="BF600" t="s">
        <v>1961</v>
      </c>
      <c r="BH600" t="s">
        <v>77</v>
      </c>
      <c r="BI600" t="s">
        <v>92</v>
      </c>
      <c r="BJ600" t="s">
        <v>79</v>
      </c>
      <c r="BM600">
        <v>2</v>
      </c>
      <c r="BN600">
        <v>0</v>
      </c>
      <c r="BO600">
        <v>2</v>
      </c>
      <c r="BP600" t="s">
        <v>80</v>
      </c>
      <c r="BR600">
        <v>0</v>
      </c>
      <c r="BS600">
        <v>0</v>
      </c>
      <c r="BU600" s="1">
        <v>93535</v>
      </c>
    </row>
    <row r="601" spans="1:73" x14ac:dyDescent="0.3">
      <c r="A601" t="s">
        <v>4983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19792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 s="1">
        <v>19792</v>
      </c>
      <c r="BD601" t="s">
        <v>74</v>
      </c>
      <c r="BE601" t="s">
        <v>4984</v>
      </c>
      <c r="BF601" t="s">
        <v>4985</v>
      </c>
      <c r="BH601" t="s">
        <v>77</v>
      </c>
      <c r="BI601" t="s">
        <v>84</v>
      </c>
      <c r="BJ601" t="s">
        <v>79</v>
      </c>
      <c r="BM601">
        <v>1</v>
      </c>
      <c r="BN601">
        <v>0</v>
      </c>
      <c r="BO601">
        <v>1</v>
      </c>
      <c r="BP601" t="s">
        <v>80</v>
      </c>
      <c r="BR601">
        <v>0</v>
      </c>
      <c r="BS601">
        <v>0</v>
      </c>
      <c r="BU601" s="1">
        <v>19792</v>
      </c>
    </row>
    <row r="602" spans="1:73" x14ac:dyDescent="0.3">
      <c r="A602" t="s">
        <v>4492</v>
      </c>
      <c r="B602">
        <v>0</v>
      </c>
      <c r="C602">
        <v>0</v>
      </c>
      <c r="D602">
        <v>1</v>
      </c>
      <c r="E602">
        <v>432000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</v>
      </c>
      <c r="BC602" s="1">
        <v>864000</v>
      </c>
      <c r="BD602" t="s">
        <v>74</v>
      </c>
      <c r="BE602" t="s">
        <v>4493</v>
      </c>
      <c r="BF602" t="s">
        <v>4494</v>
      </c>
      <c r="BH602" t="s">
        <v>77</v>
      </c>
      <c r="BI602" t="s">
        <v>92</v>
      </c>
      <c r="BJ602" t="s">
        <v>79</v>
      </c>
      <c r="BM602">
        <v>0</v>
      </c>
      <c r="BN602">
        <v>1</v>
      </c>
      <c r="BO602">
        <v>1</v>
      </c>
      <c r="BP602" t="s">
        <v>80</v>
      </c>
      <c r="BR602">
        <v>0</v>
      </c>
      <c r="BS602">
        <v>6</v>
      </c>
      <c r="BU602" s="1">
        <v>432000</v>
      </c>
    </row>
    <row r="603" spans="1:73" x14ac:dyDescent="0.3">
      <c r="A603" t="s">
        <v>2783</v>
      </c>
      <c r="B603">
        <v>0</v>
      </c>
      <c r="C603">
        <v>0</v>
      </c>
      <c r="D603">
        <v>2</v>
      </c>
      <c r="E603">
        <v>48737</v>
      </c>
      <c r="F603">
        <v>0</v>
      </c>
      <c r="G603">
        <v>0</v>
      </c>
      <c r="H603">
        <v>5</v>
      </c>
      <c r="I603">
        <v>122474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5</v>
      </c>
      <c r="BC603" s="1">
        <v>122474</v>
      </c>
      <c r="BD603" t="s">
        <v>74</v>
      </c>
      <c r="BE603" t="s">
        <v>2784</v>
      </c>
      <c r="BF603" t="s">
        <v>2785</v>
      </c>
      <c r="BH603" t="s">
        <v>77</v>
      </c>
      <c r="BI603" t="s">
        <v>204</v>
      </c>
      <c r="BJ603" t="s">
        <v>79</v>
      </c>
      <c r="BM603">
        <v>0</v>
      </c>
      <c r="BN603">
        <v>2</v>
      </c>
      <c r="BO603">
        <v>2</v>
      </c>
      <c r="BP603" t="s">
        <v>80</v>
      </c>
      <c r="BR603">
        <v>0</v>
      </c>
      <c r="BS603">
        <v>6</v>
      </c>
      <c r="BU603" s="1">
        <v>171211</v>
      </c>
    </row>
    <row r="604" spans="1:73" x14ac:dyDescent="0.3">
      <c r="A604" t="s">
        <v>805</v>
      </c>
      <c r="B604">
        <v>2</v>
      </c>
      <c r="C604">
        <v>1475093</v>
      </c>
      <c r="D604">
        <v>6</v>
      </c>
      <c r="E604">
        <v>1400000</v>
      </c>
      <c r="F604">
        <v>0</v>
      </c>
      <c r="G604">
        <v>0</v>
      </c>
      <c r="H604">
        <v>7</v>
      </c>
      <c r="I604">
        <v>140000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135000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</v>
      </c>
      <c r="Z604">
        <v>147070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20000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22</v>
      </c>
      <c r="BC604" s="1">
        <v>4404283</v>
      </c>
      <c r="BD604" t="s">
        <v>74</v>
      </c>
      <c r="BE604" t="s">
        <v>806</v>
      </c>
      <c r="BF604" t="s">
        <v>807</v>
      </c>
      <c r="BH604" t="s">
        <v>77</v>
      </c>
      <c r="BI604" t="s">
        <v>281</v>
      </c>
      <c r="BJ604" t="s">
        <v>79</v>
      </c>
      <c r="BM604">
        <v>2</v>
      </c>
      <c r="BN604">
        <v>4</v>
      </c>
      <c r="BO604">
        <v>6</v>
      </c>
      <c r="BP604" t="s">
        <v>80</v>
      </c>
      <c r="BR604">
        <v>0</v>
      </c>
      <c r="BS604">
        <v>6</v>
      </c>
      <c r="BU604" s="1">
        <v>3317163</v>
      </c>
    </row>
    <row r="605" spans="1:73" x14ac:dyDescent="0.3">
      <c r="A605" t="s">
        <v>4420</v>
      </c>
      <c r="B605">
        <v>0</v>
      </c>
      <c r="C605">
        <v>0</v>
      </c>
      <c r="D605">
        <v>1</v>
      </c>
      <c r="E605">
        <v>136800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 s="1">
        <v>136800</v>
      </c>
      <c r="BD605" t="s">
        <v>74</v>
      </c>
      <c r="BE605" t="s">
        <v>4421</v>
      </c>
      <c r="BF605" t="s">
        <v>4422</v>
      </c>
      <c r="BH605" t="s">
        <v>77</v>
      </c>
      <c r="BI605" t="s">
        <v>84</v>
      </c>
      <c r="BJ605" t="s">
        <v>79</v>
      </c>
      <c r="BM605">
        <v>0</v>
      </c>
      <c r="BN605">
        <v>1</v>
      </c>
      <c r="BO605">
        <v>1</v>
      </c>
      <c r="BP605" t="s">
        <v>80</v>
      </c>
      <c r="BR605">
        <v>0</v>
      </c>
      <c r="BS605">
        <v>6</v>
      </c>
      <c r="BU605" s="1">
        <v>136800</v>
      </c>
    </row>
    <row r="606" spans="1:73" x14ac:dyDescent="0.3">
      <c r="A606" t="s">
        <v>4738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78585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2</v>
      </c>
      <c r="BC606" s="1">
        <v>157170</v>
      </c>
      <c r="BD606" t="s">
        <v>74</v>
      </c>
      <c r="BE606" t="s">
        <v>4739</v>
      </c>
      <c r="BF606" t="s">
        <v>4740</v>
      </c>
      <c r="BH606" t="s">
        <v>77</v>
      </c>
      <c r="BI606" t="s">
        <v>88</v>
      </c>
      <c r="BJ606" t="s">
        <v>79</v>
      </c>
      <c r="BM606">
        <v>1</v>
      </c>
      <c r="BN606">
        <v>0</v>
      </c>
      <c r="BO606">
        <v>1</v>
      </c>
      <c r="BP606" t="s">
        <v>80</v>
      </c>
      <c r="BR606">
        <v>0</v>
      </c>
      <c r="BS606">
        <v>6</v>
      </c>
      <c r="BU606" s="1">
        <v>78585</v>
      </c>
    </row>
    <row r="607" spans="1:73" x14ac:dyDescent="0.3">
      <c r="A607" t="s">
        <v>2150</v>
      </c>
      <c r="B607">
        <v>0</v>
      </c>
      <c r="C607">
        <v>114546</v>
      </c>
      <c r="D607">
        <v>1</v>
      </c>
      <c r="E607">
        <v>152727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2</v>
      </c>
      <c r="BC607" s="1">
        <v>420000</v>
      </c>
      <c r="BD607" t="s">
        <v>74</v>
      </c>
      <c r="BE607" t="s">
        <v>2151</v>
      </c>
      <c r="BF607" t="s">
        <v>2152</v>
      </c>
      <c r="BH607" t="s">
        <v>77</v>
      </c>
      <c r="BI607" t="s">
        <v>281</v>
      </c>
      <c r="BJ607" t="s">
        <v>79</v>
      </c>
      <c r="BM607">
        <v>0</v>
      </c>
      <c r="BN607">
        <v>1</v>
      </c>
      <c r="BO607">
        <v>1</v>
      </c>
      <c r="BP607" t="s">
        <v>80</v>
      </c>
      <c r="BR607">
        <v>0</v>
      </c>
      <c r="BS607">
        <v>6</v>
      </c>
      <c r="BU607" s="1">
        <v>267273</v>
      </c>
    </row>
    <row r="608" spans="1:73" x14ac:dyDescent="0.3">
      <c r="A608" t="s">
        <v>1367</v>
      </c>
      <c r="B608">
        <v>0</v>
      </c>
      <c r="C608">
        <v>0</v>
      </c>
      <c r="D608">
        <v>11</v>
      </c>
      <c r="E608">
        <v>3882097</v>
      </c>
      <c r="F608">
        <v>0</v>
      </c>
      <c r="G608">
        <v>0</v>
      </c>
      <c r="H608">
        <v>12</v>
      </c>
      <c r="I608">
        <v>431749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24</v>
      </c>
      <c r="BC608" s="1">
        <v>4853846</v>
      </c>
      <c r="BD608" t="s">
        <v>74</v>
      </c>
      <c r="BE608" t="s">
        <v>1368</v>
      </c>
      <c r="BF608" t="s">
        <v>1369</v>
      </c>
      <c r="BH608" t="s">
        <v>77</v>
      </c>
      <c r="BI608" t="s">
        <v>204</v>
      </c>
      <c r="BJ608" t="s">
        <v>79</v>
      </c>
      <c r="BM608">
        <v>0</v>
      </c>
      <c r="BN608">
        <v>2</v>
      </c>
      <c r="BO608">
        <v>2</v>
      </c>
      <c r="BP608" t="s">
        <v>80</v>
      </c>
      <c r="BR608">
        <v>0</v>
      </c>
      <c r="BS608">
        <v>6</v>
      </c>
      <c r="BU608" s="1">
        <v>4313846</v>
      </c>
    </row>
    <row r="609" spans="1:73" x14ac:dyDescent="0.3">
      <c r="A609" t="s">
        <v>3797</v>
      </c>
      <c r="B609">
        <v>0</v>
      </c>
      <c r="C609">
        <v>0</v>
      </c>
      <c r="D609">
        <v>2</v>
      </c>
      <c r="E609">
        <v>210909</v>
      </c>
      <c r="F609">
        <v>0</v>
      </c>
      <c r="G609">
        <v>0</v>
      </c>
      <c r="H609">
        <v>2</v>
      </c>
      <c r="I609">
        <v>40000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4</v>
      </c>
      <c r="BC609" s="1">
        <v>421818</v>
      </c>
      <c r="BD609" t="s">
        <v>74</v>
      </c>
      <c r="BE609" t="s">
        <v>3798</v>
      </c>
      <c r="BF609" t="s">
        <v>3799</v>
      </c>
      <c r="BH609" t="s">
        <v>77</v>
      </c>
      <c r="BI609" t="s">
        <v>720</v>
      </c>
      <c r="BJ609" t="s">
        <v>79</v>
      </c>
      <c r="BM609">
        <v>0</v>
      </c>
      <c r="BN609">
        <v>2</v>
      </c>
      <c r="BO609">
        <v>2</v>
      </c>
      <c r="BP609" t="s">
        <v>80</v>
      </c>
      <c r="BR609">
        <v>0</v>
      </c>
      <c r="BS609">
        <v>6</v>
      </c>
      <c r="BU609" s="1">
        <v>250909</v>
      </c>
    </row>
    <row r="610" spans="1:73" x14ac:dyDescent="0.3">
      <c r="A610" t="s">
        <v>3822</v>
      </c>
      <c r="B610">
        <v>0</v>
      </c>
      <c r="C610">
        <v>0</v>
      </c>
      <c r="D610">
        <v>2</v>
      </c>
      <c r="E610">
        <v>360000</v>
      </c>
      <c r="F610">
        <v>0</v>
      </c>
      <c r="G610">
        <v>0</v>
      </c>
      <c r="H610">
        <v>2</v>
      </c>
      <c r="I610">
        <v>40000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4</v>
      </c>
      <c r="BC610" s="1">
        <v>720000</v>
      </c>
      <c r="BD610" t="s">
        <v>74</v>
      </c>
      <c r="BE610" t="s">
        <v>3823</v>
      </c>
      <c r="BF610" t="s">
        <v>3824</v>
      </c>
      <c r="BH610" t="s">
        <v>77</v>
      </c>
      <c r="BI610" t="s">
        <v>593</v>
      </c>
      <c r="BJ610" t="s">
        <v>79</v>
      </c>
      <c r="BM610">
        <v>0</v>
      </c>
      <c r="BN610">
        <v>2</v>
      </c>
      <c r="BO610">
        <v>2</v>
      </c>
      <c r="BP610" t="s">
        <v>80</v>
      </c>
      <c r="BR610">
        <v>0</v>
      </c>
      <c r="BS610">
        <v>6</v>
      </c>
      <c r="BU610" s="1">
        <v>400000</v>
      </c>
    </row>
    <row r="611" spans="1:73" x14ac:dyDescent="0.3">
      <c r="A611" t="s">
        <v>5448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73535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</v>
      </c>
      <c r="BC611" s="1">
        <v>152120</v>
      </c>
      <c r="BD611" t="s">
        <v>74</v>
      </c>
      <c r="BE611" t="s">
        <v>5449</v>
      </c>
      <c r="BF611" t="s">
        <v>3824</v>
      </c>
      <c r="BH611" t="s">
        <v>77</v>
      </c>
      <c r="BI611" t="s">
        <v>593</v>
      </c>
      <c r="BJ611" t="s">
        <v>79</v>
      </c>
      <c r="BM611">
        <v>1</v>
      </c>
      <c r="BN611">
        <v>0</v>
      </c>
      <c r="BO611">
        <v>1</v>
      </c>
      <c r="BP611" t="s">
        <v>80</v>
      </c>
      <c r="BR611">
        <v>0</v>
      </c>
      <c r="BS611">
        <v>0</v>
      </c>
      <c r="BU611" s="1">
        <v>73535</v>
      </c>
    </row>
    <row r="612" spans="1:73" x14ac:dyDescent="0.3">
      <c r="A612" t="s">
        <v>4273</v>
      </c>
      <c r="B612">
        <v>1</v>
      </c>
      <c r="C612">
        <v>783073</v>
      </c>
      <c r="D612">
        <v>1</v>
      </c>
      <c r="E612">
        <v>163636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2</v>
      </c>
      <c r="BC612" s="1">
        <v>946709</v>
      </c>
      <c r="BD612" t="s">
        <v>74</v>
      </c>
      <c r="BE612" t="s">
        <v>4274</v>
      </c>
      <c r="BF612" t="s">
        <v>4275</v>
      </c>
      <c r="BH612" t="s">
        <v>77</v>
      </c>
      <c r="BI612" t="s">
        <v>92</v>
      </c>
      <c r="BJ612" t="s">
        <v>79</v>
      </c>
      <c r="BM612">
        <v>0</v>
      </c>
      <c r="BN612">
        <v>2</v>
      </c>
      <c r="BO612">
        <v>2</v>
      </c>
      <c r="BP612" t="s">
        <v>80</v>
      </c>
      <c r="BR612">
        <v>0</v>
      </c>
      <c r="BS612">
        <v>6</v>
      </c>
      <c r="BU612" s="1">
        <v>946709</v>
      </c>
    </row>
    <row r="613" spans="1:73" x14ac:dyDescent="0.3">
      <c r="A613" t="s">
        <v>3745</v>
      </c>
      <c r="B613">
        <v>0</v>
      </c>
      <c r="C613">
        <v>0</v>
      </c>
      <c r="D613">
        <v>4</v>
      </c>
      <c r="E613">
        <v>1124374</v>
      </c>
      <c r="F613">
        <v>0</v>
      </c>
      <c r="G613">
        <v>0</v>
      </c>
      <c r="H613">
        <v>4</v>
      </c>
      <c r="I613">
        <v>80000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24243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9</v>
      </c>
      <c r="BC613" s="1">
        <v>1837494</v>
      </c>
      <c r="BD613" t="s">
        <v>74</v>
      </c>
      <c r="BE613" t="s">
        <v>3746</v>
      </c>
      <c r="BF613" t="s">
        <v>3747</v>
      </c>
      <c r="BH613" t="s">
        <v>77</v>
      </c>
      <c r="BI613" t="s">
        <v>84</v>
      </c>
      <c r="BJ613" t="s">
        <v>79</v>
      </c>
      <c r="BM613">
        <v>1</v>
      </c>
      <c r="BN613">
        <v>2</v>
      </c>
      <c r="BO613">
        <v>3</v>
      </c>
      <c r="BP613" t="s">
        <v>80</v>
      </c>
      <c r="BR613">
        <v>0</v>
      </c>
      <c r="BS613">
        <v>6</v>
      </c>
      <c r="BU613" s="1">
        <v>1228617</v>
      </c>
    </row>
    <row r="614" spans="1:73" x14ac:dyDescent="0.3">
      <c r="A614" t="s">
        <v>885</v>
      </c>
      <c r="B614">
        <v>0</v>
      </c>
      <c r="C614">
        <v>136364</v>
      </c>
      <c r="D614">
        <v>3</v>
      </c>
      <c r="E614">
        <v>235454</v>
      </c>
      <c r="F614">
        <v>0</v>
      </c>
      <c r="G614">
        <v>0</v>
      </c>
      <c r="H614">
        <v>4</v>
      </c>
      <c r="I614">
        <v>107272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6</v>
      </c>
      <c r="BC614" s="1">
        <v>607272</v>
      </c>
      <c r="BD614" t="s">
        <v>74</v>
      </c>
      <c r="BE614" t="s">
        <v>886</v>
      </c>
      <c r="BF614" t="s">
        <v>887</v>
      </c>
      <c r="BH614" t="s">
        <v>77</v>
      </c>
      <c r="BI614" t="s">
        <v>204</v>
      </c>
      <c r="BJ614" t="s">
        <v>79</v>
      </c>
      <c r="BM614">
        <v>0</v>
      </c>
      <c r="BN614">
        <v>2</v>
      </c>
      <c r="BO614">
        <v>2</v>
      </c>
      <c r="BP614" t="s">
        <v>80</v>
      </c>
      <c r="BR614">
        <v>0</v>
      </c>
      <c r="BS614">
        <v>6</v>
      </c>
      <c r="BU614" s="1">
        <v>479090</v>
      </c>
    </row>
    <row r="615" spans="1:73" x14ac:dyDescent="0.3">
      <c r="A615" t="s">
        <v>4161</v>
      </c>
      <c r="B615">
        <v>0</v>
      </c>
      <c r="C615">
        <v>0</v>
      </c>
      <c r="D615">
        <v>1</v>
      </c>
      <c r="E615">
        <v>230400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 s="1">
        <v>460800</v>
      </c>
      <c r="BD615" t="s">
        <v>74</v>
      </c>
      <c r="BE615" t="s">
        <v>4162</v>
      </c>
      <c r="BF615" t="s">
        <v>4163</v>
      </c>
      <c r="BH615" t="s">
        <v>77</v>
      </c>
      <c r="BI615" t="s">
        <v>88</v>
      </c>
      <c r="BJ615" t="s">
        <v>79</v>
      </c>
      <c r="BM615">
        <v>0</v>
      </c>
      <c r="BN615">
        <v>1</v>
      </c>
      <c r="BO615">
        <v>1</v>
      </c>
      <c r="BP615" t="s">
        <v>80</v>
      </c>
      <c r="BR615">
        <v>0</v>
      </c>
      <c r="BS615">
        <v>6</v>
      </c>
      <c r="BU615" s="1">
        <v>230400</v>
      </c>
    </row>
    <row r="616" spans="1:73" x14ac:dyDescent="0.3">
      <c r="A616" t="s">
        <v>3051</v>
      </c>
      <c r="B616">
        <v>0</v>
      </c>
      <c r="C616">
        <v>63382</v>
      </c>
      <c r="D616">
        <v>1</v>
      </c>
      <c r="E616">
        <v>164182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 s="1">
        <v>227564</v>
      </c>
      <c r="BD616" t="s">
        <v>74</v>
      </c>
      <c r="BE616" t="s">
        <v>3052</v>
      </c>
      <c r="BF616" t="s">
        <v>3053</v>
      </c>
      <c r="BH616" t="s">
        <v>77</v>
      </c>
      <c r="BI616" t="s">
        <v>92</v>
      </c>
      <c r="BJ616" t="s">
        <v>79</v>
      </c>
      <c r="BM616">
        <v>0</v>
      </c>
      <c r="BN616">
        <v>1</v>
      </c>
      <c r="BO616">
        <v>1</v>
      </c>
      <c r="BP616" t="s">
        <v>80</v>
      </c>
      <c r="BR616">
        <v>0</v>
      </c>
      <c r="BS616">
        <v>6</v>
      </c>
      <c r="BU616" s="1">
        <v>227564</v>
      </c>
    </row>
    <row r="617" spans="1:73" x14ac:dyDescent="0.3">
      <c r="A617" t="s">
        <v>4146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57208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</v>
      </c>
      <c r="BC617" s="1">
        <v>140201</v>
      </c>
      <c r="BD617" t="s">
        <v>74</v>
      </c>
      <c r="BE617" t="s">
        <v>4147</v>
      </c>
      <c r="BF617" t="s">
        <v>4148</v>
      </c>
      <c r="BH617" t="s">
        <v>77</v>
      </c>
      <c r="BI617" t="s">
        <v>88</v>
      </c>
      <c r="BJ617" t="s">
        <v>79</v>
      </c>
      <c r="BM617">
        <v>1</v>
      </c>
      <c r="BN617">
        <v>0</v>
      </c>
      <c r="BO617">
        <v>1</v>
      </c>
      <c r="BP617" t="s">
        <v>80</v>
      </c>
      <c r="BR617">
        <v>0</v>
      </c>
      <c r="BS617">
        <v>0</v>
      </c>
      <c r="BU617" s="1">
        <v>57208</v>
      </c>
    </row>
    <row r="618" spans="1:73" x14ac:dyDescent="0.3">
      <c r="A618" t="s">
        <v>876</v>
      </c>
      <c r="B618">
        <v>1</v>
      </c>
      <c r="C618">
        <v>231920</v>
      </c>
      <c r="D618">
        <v>1</v>
      </c>
      <c r="E618">
        <v>222857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57208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5</v>
      </c>
      <c r="BC618" s="1">
        <v>817835</v>
      </c>
      <c r="BD618" t="s">
        <v>74</v>
      </c>
      <c r="BE618" t="s">
        <v>877</v>
      </c>
      <c r="BF618" t="s">
        <v>878</v>
      </c>
      <c r="BH618" t="s">
        <v>77</v>
      </c>
      <c r="BI618" t="s">
        <v>88</v>
      </c>
      <c r="BJ618" t="s">
        <v>79</v>
      </c>
      <c r="BM618">
        <v>1</v>
      </c>
      <c r="BN618">
        <v>2</v>
      </c>
      <c r="BO618">
        <v>3</v>
      </c>
      <c r="BP618" t="s">
        <v>80</v>
      </c>
      <c r="BR618">
        <v>0</v>
      </c>
      <c r="BS618">
        <v>6</v>
      </c>
      <c r="BU618" s="1">
        <v>511985</v>
      </c>
    </row>
    <row r="619" spans="1:73" x14ac:dyDescent="0.3">
      <c r="A619" t="s">
        <v>5336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48486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</v>
      </c>
      <c r="BC619" s="1">
        <v>48486</v>
      </c>
      <c r="BD619" t="s">
        <v>74</v>
      </c>
      <c r="BE619" t="s">
        <v>5337</v>
      </c>
      <c r="BF619" t="s">
        <v>5338</v>
      </c>
      <c r="BH619" t="s">
        <v>77</v>
      </c>
      <c r="BI619" t="s">
        <v>204</v>
      </c>
      <c r="BJ619" t="s">
        <v>79</v>
      </c>
      <c r="BM619">
        <v>1</v>
      </c>
      <c r="BN619">
        <v>0</v>
      </c>
      <c r="BO619">
        <v>1</v>
      </c>
      <c r="BP619" t="s">
        <v>80</v>
      </c>
      <c r="BR619">
        <v>0</v>
      </c>
      <c r="BS619">
        <v>0</v>
      </c>
      <c r="BU619" s="1">
        <v>48486</v>
      </c>
    </row>
    <row r="620" spans="1:73" x14ac:dyDescent="0.3">
      <c r="A620" t="s">
        <v>359</v>
      </c>
      <c r="B620">
        <v>0</v>
      </c>
      <c r="C620">
        <v>0</v>
      </c>
      <c r="D620">
        <v>2</v>
      </c>
      <c r="E620">
        <v>338533</v>
      </c>
      <c r="F620">
        <v>0</v>
      </c>
      <c r="G620">
        <v>0</v>
      </c>
      <c r="H620">
        <v>2</v>
      </c>
      <c r="I620">
        <v>137066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5</v>
      </c>
      <c r="BC620" s="1">
        <v>750601</v>
      </c>
      <c r="BD620" t="s">
        <v>74</v>
      </c>
      <c r="BE620" t="s">
        <v>360</v>
      </c>
      <c r="BF620" t="s">
        <v>361</v>
      </c>
      <c r="BH620" t="s">
        <v>136</v>
      </c>
      <c r="BI620" t="s">
        <v>191</v>
      </c>
      <c r="BJ620" t="s">
        <v>125</v>
      </c>
      <c r="BM620">
        <v>0</v>
      </c>
      <c r="BN620">
        <v>2</v>
      </c>
      <c r="BO620">
        <v>2</v>
      </c>
      <c r="BP620" t="s">
        <v>80</v>
      </c>
      <c r="BR620">
        <v>0</v>
      </c>
      <c r="BS620">
        <v>6</v>
      </c>
      <c r="BU620" s="1">
        <v>475599</v>
      </c>
    </row>
    <row r="621" spans="1:73" x14ac:dyDescent="0.3">
      <c r="A621" t="s">
        <v>501</v>
      </c>
      <c r="B621">
        <v>1</v>
      </c>
      <c r="C621">
        <v>331371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 s="1">
        <v>331371</v>
      </c>
      <c r="BD621" t="s">
        <v>74</v>
      </c>
      <c r="BE621" t="s">
        <v>502</v>
      </c>
      <c r="BF621" t="s">
        <v>503</v>
      </c>
      <c r="BH621" t="s">
        <v>77</v>
      </c>
      <c r="BI621" t="s">
        <v>78</v>
      </c>
      <c r="BJ621" t="s">
        <v>79</v>
      </c>
      <c r="BM621">
        <v>0</v>
      </c>
      <c r="BN621">
        <v>1</v>
      </c>
      <c r="BO621">
        <v>1</v>
      </c>
      <c r="BP621" t="s">
        <v>80</v>
      </c>
      <c r="BR621">
        <v>0</v>
      </c>
      <c r="BS621">
        <v>6</v>
      </c>
      <c r="BU621" s="1">
        <v>331371</v>
      </c>
    </row>
    <row r="622" spans="1:73" x14ac:dyDescent="0.3">
      <c r="A622" t="s">
        <v>1835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31722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 s="1">
        <v>31722</v>
      </c>
      <c r="BD622" t="s">
        <v>74</v>
      </c>
      <c r="BE622" t="s">
        <v>1836</v>
      </c>
      <c r="BF622" t="s">
        <v>1837</v>
      </c>
      <c r="BH622" t="s">
        <v>77</v>
      </c>
      <c r="BI622" t="s">
        <v>574</v>
      </c>
      <c r="BJ622" t="s">
        <v>79</v>
      </c>
      <c r="BM622">
        <v>0</v>
      </c>
      <c r="BN622">
        <v>1</v>
      </c>
      <c r="BO622">
        <v>1</v>
      </c>
      <c r="BP622" t="s">
        <v>80</v>
      </c>
      <c r="BR622">
        <v>0</v>
      </c>
      <c r="BS622">
        <v>6</v>
      </c>
      <c r="BU622" s="1">
        <v>31722</v>
      </c>
    </row>
    <row r="623" spans="1:73" x14ac:dyDescent="0.3">
      <c r="A623" t="s">
        <v>1699</v>
      </c>
      <c r="B623">
        <v>0</v>
      </c>
      <c r="C623">
        <v>0</v>
      </c>
      <c r="D623">
        <v>1</v>
      </c>
      <c r="E623">
        <v>230000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3</v>
      </c>
      <c r="BC623" s="1">
        <v>500909</v>
      </c>
      <c r="BD623" t="s">
        <v>74</v>
      </c>
      <c r="BE623" t="s">
        <v>1700</v>
      </c>
      <c r="BF623" t="s">
        <v>1701</v>
      </c>
      <c r="BH623" t="s">
        <v>77</v>
      </c>
      <c r="BI623" t="s">
        <v>739</v>
      </c>
      <c r="BJ623" t="s">
        <v>79</v>
      </c>
      <c r="BM623">
        <v>0</v>
      </c>
      <c r="BN623">
        <v>1</v>
      </c>
      <c r="BO623">
        <v>1</v>
      </c>
      <c r="BP623" t="s">
        <v>80</v>
      </c>
      <c r="BR623">
        <v>0</v>
      </c>
      <c r="BS623">
        <v>6</v>
      </c>
      <c r="BU623" s="1">
        <v>230000</v>
      </c>
    </row>
    <row r="624" spans="1:73" x14ac:dyDescent="0.3">
      <c r="A624" t="s">
        <v>2545</v>
      </c>
      <c r="B624">
        <v>1</v>
      </c>
      <c r="C624">
        <v>162548</v>
      </c>
      <c r="D624">
        <v>1</v>
      </c>
      <c r="E624">
        <v>390000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</v>
      </c>
      <c r="BC624" s="1">
        <v>942548</v>
      </c>
      <c r="BD624" t="s">
        <v>74</v>
      </c>
      <c r="BE624" t="s">
        <v>2546</v>
      </c>
      <c r="BF624" t="s">
        <v>2547</v>
      </c>
      <c r="BH624" t="s">
        <v>175</v>
      </c>
      <c r="BI624" t="s">
        <v>857</v>
      </c>
      <c r="BJ624" t="s">
        <v>125</v>
      </c>
      <c r="BM624">
        <v>0</v>
      </c>
      <c r="BN624">
        <v>2</v>
      </c>
      <c r="BO624">
        <v>2</v>
      </c>
      <c r="BP624" t="s">
        <v>80</v>
      </c>
      <c r="BR624">
        <v>0</v>
      </c>
      <c r="BS624">
        <v>6</v>
      </c>
      <c r="BU624" s="1">
        <v>552548</v>
      </c>
    </row>
    <row r="625" spans="1:73" x14ac:dyDescent="0.3">
      <c r="A625" t="s">
        <v>4345</v>
      </c>
      <c r="B625">
        <v>1</v>
      </c>
      <c r="C625">
        <v>372671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43523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4394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</v>
      </c>
      <c r="BC625" s="1">
        <v>420588</v>
      </c>
      <c r="BD625" t="s">
        <v>74</v>
      </c>
      <c r="BE625" t="s">
        <v>4346</v>
      </c>
      <c r="BF625" t="s">
        <v>4347</v>
      </c>
      <c r="BH625" t="s">
        <v>77</v>
      </c>
      <c r="BI625" t="s">
        <v>593</v>
      </c>
      <c r="BJ625" t="s">
        <v>79</v>
      </c>
      <c r="BM625">
        <v>2</v>
      </c>
      <c r="BN625">
        <v>1</v>
      </c>
      <c r="BO625">
        <v>3</v>
      </c>
      <c r="BP625" t="s">
        <v>80</v>
      </c>
      <c r="BR625">
        <v>0</v>
      </c>
      <c r="BS625">
        <v>6</v>
      </c>
      <c r="BU625" s="1">
        <v>420588</v>
      </c>
    </row>
    <row r="626" spans="1:73" x14ac:dyDescent="0.3">
      <c r="A626" t="s">
        <v>3439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73535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19792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3</v>
      </c>
      <c r="BC626" s="1">
        <v>166862</v>
      </c>
      <c r="BD626" t="s">
        <v>74</v>
      </c>
      <c r="BE626" t="s">
        <v>3440</v>
      </c>
      <c r="BF626" t="s">
        <v>3441</v>
      </c>
      <c r="BH626" t="s">
        <v>77</v>
      </c>
      <c r="BI626" t="s">
        <v>524</v>
      </c>
      <c r="BJ626" t="s">
        <v>79</v>
      </c>
      <c r="BM626">
        <v>2</v>
      </c>
      <c r="BN626">
        <v>0</v>
      </c>
      <c r="BO626">
        <v>2</v>
      </c>
      <c r="BP626" t="s">
        <v>80</v>
      </c>
      <c r="BR626">
        <v>0</v>
      </c>
      <c r="BS626">
        <v>6</v>
      </c>
      <c r="BU626" s="1">
        <v>93327</v>
      </c>
    </row>
    <row r="627" spans="1:73" x14ac:dyDescent="0.3">
      <c r="A627" t="s">
        <v>5322</v>
      </c>
      <c r="B627">
        <v>0</v>
      </c>
      <c r="C627">
        <v>0</v>
      </c>
      <c r="D627">
        <v>1</v>
      </c>
      <c r="E627">
        <v>153000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 s="1">
        <v>153000</v>
      </c>
      <c r="BD627" t="s">
        <v>74</v>
      </c>
      <c r="BE627" t="s">
        <v>5323</v>
      </c>
      <c r="BF627" t="s">
        <v>5324</v>
      </c>
      <c r="BH627" t="s">
        <v>77</v>
      </c>
      <c r="BI627" t="s">
        <v>593</v>
      </c>
      <c r="BJ627" t="s">
        <v>79</v>
      </c>
      <c r="BM627">
        <v>0</v>
      </c>
      <c r="BN627">
        <v>1</v>
      </c>
      <c r="BO627">
        <v>1</v>
      </c>
      <c r="BP627" t="s">
        <v>80</v>
      </c>
      <c r="BR627">
        <v>0</v>
      </c>
      <c r="BS627">
        <v>6</v>
      </c>
      <c r="BU627" s="1">
        <v>153000</v>
      </c>
    </row>
    <row r="628" spans="1:73" x14ac:dyDescent="0.3">
      <c r="A628" t="s">
        <v>5433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20000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 s="1">
        <v>20000</v>
      </c>
      <c r="BD628" t="s">
        <v>74</v>
      </c>
      <c r="BE628" t="s">
        <v>5434</v>
      </c>
      <c r="BF628" t="s">
        <v>5435</v>
      </c>
      <c r="BH628" t="s">
        <v>77</v>
      </c>
      <c r="BI628" t="s">
        <v>78</v>
      </c>
      <c r="BJ628" t="s">
        <v>79</v>
      </c>
      <c r="BM628">
        <v>0</v>
      </c>
      <c r="BN628">
        <v>1</v>
      </c>
      <c r="BO628">
        <v>1</v>
      </c>
      <c r="BP628" t="s">
        <v>80</v>
      </c>
      <c r="BR628">
        <v>0</v>
      </c>
      <c r="BS628">
        <v>6</v>
      </c>
      <c r="BU628" s="1">
        <v>20000</v>
      </c>
    </row>
    <row r="629" spans="1:73" x14ac:dyDescent="0.3">
      <c r="A629" t="s">
        <v>4360</v>
      </c>
      <c r="B629">
        <v>0</v>
      </c>
      <c r="C629">
        <v>0</v>
      </c>
      <c r="D629">
        <v>1</v>
      </c>
      <c r="E629">
        <v>261291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2</v>
      </c>
      <c r="BC629" s="1">
        <v>522582</v>
      </c>
      <c r="BD629" t="s">
        <v>74</v>
      </c>
      <c r="BE629" t="s">
        <v>4361</v>
      </c>
      <c r="BF629" t="s">
        <v>4362</v>
      </c>
      <c r="BH629" t="s">
        <v>77</v>
      </c>
      <c r="BI629" t="s">
        <v>574</v>
      </c>
      <c r="BJ629" t="s">
        <v>79</v>
      </c>
      <c r="BM629">
        <v>0</v>
      </c>
      <c r="BN629">
        <v>1</v>
      </c>
      <c r="BO629">
        <v>1</v>
      </c>
      <c r="BP629" t="s">
        <v>80</v>
      </c>
      <c r="BR629">
        <v>0</v>
      </c>
      <c r="BS629">
        <v>6</v>
      </c>
      <c r="BU629" s="1">
        <v>261291</v>
      </c>
    </row>
    <row r="630" spans="1:73" x14ac:dyDescent="0.3">
      <c r="A630" t="s">
        <v>3346</v>
      </c>
      <c r="B630">
        <v>3</v>
      </c>
      <c r="C630">
        <v>537825</v>
      </c>
      <c r="D630">
        <v>3</v>
      </c>
      <c r="E630">
        <v>367273</v>
      </c>
      <c r="F630">
        <v>0</v>
      </c>
      <c r="G630">
        <v>0</v>
      </c>
      <c r="H630">
        <v>4</v>
      </c>
      <c r="I630">
        <v>80000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19792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12</v>
      </c>
      <c r="BC630" s="1">
        <v>1857410</v>
      </c>
      <c r="BD630" t="s">
        <v>74</v>
      </c>
      <c r="BE630" t="s">
        <v>3347</v>
      </c>
      <c r="BF630" t="s">
        <v>3348</v>
      </c>
      <c r="BH630" t="s">
        <v>136</v>
      </c>
      <c r="BI630" t="s">
        <v>191</v>
      </c>
      <c r="BJ630" t="s">
        <v>125</v>
      </c>
      <c r="BM630">
        <v>1</v>
      </c>
      <c r="BN630">
        <v>3</v>
      </c>
      <c r="BO630">
        <v>4</v>
      </c>
      <c r="BP630" t="s">
        <v>80</v>
      </c>
      <c r="BR630">
        <v>0</v>
      </c>
      <c r="BS630">
        <v>6</v>
      </c>
      <c r="BU630" s="1">
        <v>1004890</v>
      </c>
    </row>
    <row r="631" spans="1:73" x14ac:dyDescent="0.3">
      <c r="A631" t="s">
        <v>4770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47916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 s="1">
        <v>47916</v>
      </c>
      <c r="BD631" t="s">
        <v>74</v>
      </c>
      <c r="BE631" t="s">
        <v>4771</v>
      </c>
      <c r="BF631" t="s">
        <v>4772</v>
      </c>
      <c r="BH631" t="s">
        <v>77</v>
      </c>
      <c r="BI631" t="s">
        <v>574</v>
      </c>
      <c r="BJ631" t="s">
        <v>79</v>
      </c>
      <c r="BM631">
        <v>1</v>
      </c>
      <c r="BN631">
        <v>0</v>
      </c>
      <c r="BO631">
        <v>1</v>
      </c>
      <c r="BP631" t="s">
        <v>80</v>
      </c>
      <c r="BR631">
        <v>0</v>
      </c>
      <c r="BS631">
        <v>0</v>
      </c>
      <c r="BU631" s="1">
        <v>47916</v>
      </c>
    </row>
    <row r="632" spans="1:73" x14ac:dyDescent="0.3">
      <c r="A632" t="s">
        <v>3636</v>
      </c>
      <c r="B632">
        <v>2</v>
      </c>
      <c r="C632">
        <v>762927</v>
      </c>
      <c r="D632">
        <v>7</v>
      </c>
      <c r="E632">
        <v>902128</v>
      </c>
      <c r="F632">
        <v>0</v>
      </c>
      <c r="G632">
        <v>0</v>
      </c>
      <c r="H632">
        <v>10</v>
      </c>
      <c r="I632">
        <v>236256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490201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150000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21</v>
      </c>
      <c r="BC632" s="1">
        <v>3774050</v>
      </c>
      <c r="BD632" t="s">
        <v>74</v>
      </c>
      <c r="BE632" t="s">
        <v>3637</v>
      </c>
      <c r="BF632" t="s">
        <v>3638</v>
      </c>
      <c r="BH632" t="s">
        <v>1464</v>
      </c>
      <c r="BI632" t="s">
        <v>1465</v>
      </c>
      <c r="BJ632" t="s">
        <v>125</v>
      </c>
      <c r="BM632">
        <v>1</v>
      </c>
      <c r="BN632">
        <v>3</v>
      </c>
      <c r="BO632">
        <v>4</v>
      </c>
      <c r="BP632" t="s">
        <v>80</v>
      </c>
      <c r="BR632">
        <v>0</v>
      </c>
      <c r="BS632">
        <v>6</v>
      </c>
      <c r="BU632" s="1">
        <v>2541512</v>
      </c>
    </row>
    <row r="633" spans="1:73" x14ac:dyDescent="0.3">
      <c r="A633" t="s">
        <v>2964</v>
      </c>
      <c r="B633">
        <v>0</v>
      </c>
      <c r="C633">
        <v>0</v>
      </c>
      <c r="D633">
        <v>2</v>
      </c>
      <c r="E633">
        <v>370000</v>
      </c>
      <c r="F633">
        <v>0</v>
      </c>
      <c r="G633">
        <v>0</v>
      </c>
      <c r="H633">
        <v>2</v>
      </c>
      <c r="I633">
        <v>40000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3</v>
      </c>
      <c r="BC633" s="1">
        <v>390000</v>
      </c>
      <c r="BD633" t="s">
        <v>74</v>
      </c>
      <c r="BE633" t="s">
        <v>2965</v>
      </c>
      <c r="BF633" t="s">
        <v>2966</v>
      </c>
      <c r="BH633" t="s">
        <v>77</v>
      </c>
      <c r="BI633" t="s">
        <v>593</v>
      </c>
      <c r="BJ633" t="s">
        <v>79</v>
      </c>
      <c r="BM633">
        <v>0</v>
      </c>
      <c r="BN633">
        <v>2</v>
      </c>
      <c r="BO633">
        <v>2</v>
      </c>
      <c r="BP633" t="s">
        <v>80</v>
      </c>
      <c r="BR633">
        <v>0</v>
      </c>
      <c r="BS633">
        <v>6</v>
      </c>
      <c r="BU633" s="1">
        <v>410000</v>
      </c>
    </row>
    <row r="634" spans="1:73" x14ac:dyDescent="0.3">
      <c r="A634" t="s">
        <v>3805</v>
      </c>
      <c r="B634">
        <v>5</v>
      </c>
      <c r="C634">
        <v>1260494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5</v>
      </c>
      <c r="BC634" s="1">
        <v>1260494</v>
      </c>
      <c r="BD634" t="s">
        <v>74</v>
      </c>
      <c r="BE634" t="s">
        <v>3806</v>
      </c>
      <c r="BF634" t="s">
        <v>3807</v>
      </c>
      <c r="BH634" t="s">
        <v>77</v>
      </c>
      <c r="BI634" t="s">
        <v>204</v>
      </c>
      <c r="BJ634" t="s">
        <v>79</v>
      </c>
      <c r="BM634">
        <v>0</v>
      </c>
      <c r="BN634">
        <v>1</v>
      </c>
      <c r="BO634">
        <v>1</v>
      </c>
      <c r="BP634" t="s">
        <v>80</v>
      </c>
      <c r="BR634">
        <v>0</v>
      </c>
      <c r="BS634">
        <v>6</v>
      </c>
      <c r="BU634" s="1">
        <v>1260494</v>
      </c>
    </row>
    <row r="635" spans="1:73" x14ac:dyDescent="0.3">
      <c r="A635" t="s">
        <v>2407</v>
      </c>
      <c r="B635">
        <v>2</v>
      </c>
      <c r="C635">
        <v>1071963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</v>
      </c>
      <c r="BC635" s="1">
        <v>1071963</v>
      </c>
      <c r="BD635" t="s">
        <v>74</v>
      </c>
      <c r="BE635" t="s">
        <v>2408</v>
      </c>
      <c r="BF635" t="s">
        <v>2409</v>
      </c>
      <c r="BH635" t="s">
        <v>77</v>
      </c>
      <c r="BI635" t="s">
        <v>593</v>
      </c>
      <c r="BJ635" t="s">
        <v>79</v>
      </c>
      <c r="BM635">
        <v>0</v>
      </c>
      <c r="BN635">
        <v>1</v>
      </c>
      <c r="BO635">
        <v>1</v>
      </c>
      <c r="BP635" t="s">
        <v>80</v>
      </c>
      <c r="BR635">
        <v>0</v>
      </c>
      <c r="BS635">
        <v>6</v>
      </c>
      <c r="BU635" s="1">
        <v>1071963</v>
      </c>
    </row>
    <row r="636" spans="1:73" x14ac:dyDescent="0.3">
      <c r="A636" t="s">
        <v>3192</v>
      </c>
      <c r="B636">
        <v>2</v>
      </c>
      <c r="C636">
        <v>939075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2</v>
      </c>
      <c r="BC636" s="1">
        <v>939075</v>
      </c>
      <c r="BD636" t="s">
        <v>74</v>
      </c>
      <c r="BE636" t="s">
        <v>2408</v>
      </c>
      <c r="BF636" t="s">
        <v>2409</v>
      </c>
      <c r="BH636" t="s">
        <v>77</v>
      </c>
      <c r="BI636" t="s">
        <v>92</v>
      </c>
      <c r="BJ636" t="s">
        <v>79</v>
      </c>
      <c r="BM636">
        <v>0</v>
      </c>
      <c r="BN636">
        <v>1</v>
      </c>
      <c r="BO636">
        <v>1</v>
      </c>
      <c r="BP636" t="s">
        <v>80</v>
      </c>
      <c r="BR636">
        <v>0</v>
      </c>
      <c r="BS636">
        <v>6</v>
      </c>
      <c r="BU636" s="1">
        <v>939075</v>
      </c>
    </row>
    <row r="637" spans="1:73" x14ac:dyDescent="0.3">
      <c r="A637" t="s">
        <v>5784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73535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2</v>
      </c>
      <c r="BC637" s="1">
        <v>147070</v>
      </c>
      <c r="BD637" t="s">
        <v>74</v>
      </c>
      <c r="BE637" t="s">
        <v>5785</v>
      </c>
      <c r="BF637" t="s">
        <v>5786</v>
      </c>
      <c r="BH637" t="s">
        <v>77</v>
      </c>
      <c r="BI637" t="s">
        <v>92</v>
      </c>
      <c r="BJ637" t="s">
        <v>79</v>
      </c>
      <c r="BM637">
        <v>1</v>
      </c>
      <c r="BN637">
        <v>0</v>
      </c>
      <c r="BO637">
        <v>1</v>
      </c>
      <c r="BP637" t="s">
        <v>80</v>
      </c>
      <c r="BR637">
        <v>0</v>
      </c>
      <c r="BS637">
        <v>6</v>
      </c>
      <c r="BU637" s="1">
        <v>73535</v>
      </c>
    </row>
    <row r="638" spans="1:73" x14ac:dyDescent="0.3">
      <c r="A638" t="s">
        <v>4714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78585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</v>
      </c>
      <c r="BC638" s="1">
        <v>157170</v>
      </c>
      <c r="BD638" t="s">
        <v>74</v>
      </c>
      <c r="BE638" t="s">
        <v>4715</v>
      </c>
      <c r="BF638" t="s">
        <v>4716</v>
      </c>
      <c r="BH638" t="s">
        <v>77</v>
      </c>
      <c r="BI638" t="s">
        <v>574</v>
      </c>
      <c r="BJ638" t="s">
        <v>79</v>
      </c>
      <c r="BM638">
        <v>1</v>
      </c>
      <c r="BN638">
        <v>0</v>
      </c>
      <c r="BO638">
        <v>1</v>
      </c>
      <c r="BP638" t="s">
        <v>80</v>
      </c>
      <c r="BR638">
        <v>0</v>
      </c>
      <c r="BS638">
        <v>6</v>
      </c>
      <c r="BU638" s="1">
        <v>78585</v>
      </c>
    </row>
    <row r="639" spans="1:73" x14ac:dyDescent="0.3">
      <c r="A639" t="s">
        <v>4170</v>
      </c>
      <c r="B639">
        <v>0</v>
      </c>
      <c r="C639">
        <v>0</v>
      </c>
      <c r="D639">
        <v>3</v>
      </c>
      <c r="E639">
        <v>823536</v>
      </c>
      <c r="F639">
        <v>0</v>
      </c>
      <c r="G639">
        <v>0</v>
      </c>
      <c r="H639">
        <v>2</v>
      </c>
      <c r="I639">
        <v>45936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5</v>
      </c>
      <c r="BC639" s="1">
        <v>2099058</v>
      </c>
      <c r="BD639" t="s">
        <v>74</v>
      </c>
      <c r="BE639" t="s">
        <v>4171</v>
      </c>
      <c r="BF639" t="s">
        <v>4172</v>
      </c>
      <c r="BH639" t="s">
        <v>77</v>
      </c>
      <c r="BI639" t="s">
        <v>593</v>
      </c>
      <c r="BJ639" t="s">
        <v>79</v>
      </c>
      <c r="BM639">
        <v>0</v>
      </c>
      <c r="BN639">
        <v>2</v>
      </c>
      <c r="BO639">
        <v>2</v>
      </c>
      <c r="BP639" t="s">
        <v>80</v>
      </c>
      <c r="BR639">
        <v>0</v>
      </c>
      <c r="BS639">
        <v>6</v>
      </c>
      <c r="BU639" s="1">
        <v>869472</v>
      </c>
    </row>
    <row r="640" spans="1:73" x14ac:dyDescent="0.3">
      <c r="A640" t="s">
        <v>5268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390000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 s="1">
        <v>390000</v>
      </c>
      <c r="BD640" t="s">
        <v>74</v>
      </c>
      <c r="BE640" t="s">
        <v>5269</v>
      </c>
      <c r="BF640" t="s">
        <v>5270</v>
      </c>
      <c r="BH640" t="s">
        <v>77</v>
      </c>
      <c r="BI640" t="s">
        <v>92</v>
      </c>
      <c r="BJ640" t="s">
        <v>79</v>
      </c>
      <c r="BM640">
        <v>1</v>
      </c>
      <c r="BN640">
        <v>0</v>
      </c>
      <c r="BO640">
        <v>1</v>
      </c>
      <c r="BP640" t="s">
        <v>80</v>
      </c>
      <c r="BR640">
        <v>0</v>
      </c>
      <c r="BS640">
        <v>0</v>
      </c>
      <c r="BU640" s="1">
        <v>390000</v>
      </c>
    </row>
    <row r="641" spans="1:73" x14ac:dyDescent="0.3">
      <c r="A641" t="s">
        <v>5281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50000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</v>
      </c>
      <c r="BC641" s="1">
        <v>50000</v>
      </c>
      <c r="BD641" t="s">
        <v>74</v>
      </c>
      <c r="BE641" t="s">
        <v>5282</v>
      </c>
      <c r="BF641" t="s">
        <v>5283</v>
      </c>
      <c r="BH641" t="s">
        <v>77</v>
      </c>
      <c r="BI641" t="s">
        <v>593</v>
      </c>
      <c r="BJ641" t="s">
        <v>79</v>
      </c>
      <c r="BM641">
        <v>0</v>
      </c>
      <c r="BN641">
        <v>1</v>
      </c>
      <c r="BO641">
        <v>1</v>
      </c>
      <c r="BP641" t="s">
        <v>80</v>
      </c>
      <c r="BR641">
        <v>0</v>
      </c>
      <c r="BS641">
        <v>6</v>
      </c>
      <c r="BU641" s="1">
        <v>50000</v>
      </c>
    </row>
    <row r="642" spans="1:73" x14ac:dyDescent="0.3">
      <c r="A642" t="s">
        <v>5466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147070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3</v>
      </c>
      <c r="BC642" s="1">
        <v>220605</v>
      </c>
      <c r="BD642" t="s">
        <v>74</v>
      </c>
      <c r="BE642" t="s">
        <v>5467</v>
      </c>
      <c r="BF642" t="s">
        <v>5468</v>
      </c>
      <c r="BH642" t="s">
        <v>77</v>
      </c>
      <c r="BI642" t="s">
        <v>88</v>
      </c>
      <c r="BJ642" t="s">
        <v>79</v>
      </c>
      <c r="BM642">
        <v>1</v>
      </c>
      <c r="BN642">
        <v>0</v>
      </c>
      <c r="BO642">
        <v>1</v>
      </c>
      <c r="BP642" t="s">
        <v>80</v>
      </c>
      <c r="BR642">
        <v>0</v>
      </c>
      <c r="BS642">
        <v>0</v>
      </c>
      <c r="BU642" s="1">
        <v>147070</v>
      </c>
    </row>
    <row r="643" spans="1:73" x14ac:dyDescent="0.3">
      <c r="A643" t="s">
        <v>3913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19792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 s="1">
        <v>19792</v>
      </c>
      <c r="BD643" t="s">
        <v>74</v>
      </c>
      <c r="BE643" t="s">
        <v>3914</v>
      </c>
      <c r="BF643" t="s">
        <v>3915</v>
      </c>
      <c r="BH643" t="s">
        <v>77</v>
      </c>
      <c r="BI643" t="s">
        <v>204</v>
      </c>
      <c r="BJ643" t="s">
        <v>79</v>
      </c>
      <c r="BM643">
        <v>1</v>
      </c>
      <c r="BN643">
        <v>0</v>
      </c>
      <c r="BO643">
        <v>1</v>
      </c>
      <c r="BP643" t="s">
        <v>80</v>
      </c>
      <c r="BR643">
        <v>0</v>
      </c>
      <c r="BS643">
        <v>0</v>
      </c>
      <c r="BU643" s="1">
        <v>19792</v>
      </c>
    </row>
    <row r="644" spans="1:73" x14ac:dyDescent="0.3">
      <c r="A644" t="s">
        <v>1696</v>
      </c>
      <c r="B644">
        <v>2</v>
      </c>
      <c r="C644">
        <v>469017</v>
      </c>
      <c r="D644">
        <v>2</v>
      </c>
      <c r="E644">
        <v>152632</v>
      </c>
      <c r="F644">
        <v>0</v>
      </c>
      <c r="G644">
        <v>0</v>
      </c>
      <c r="H644">
        <v>2</v>
      </c>
      <c r="I644">
        <v>40986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27300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78585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19792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9</v>
      </c>
      <c r="BC644" s="1">
        <v>846404</v>
      </c>
      <c r="BD644" t="s">
        <v>74</v>
      </c>
      <c r="BE644" t="s">
        <v>1697</v>
      </c>
      <c r="BF644" t="s">
        <v>1698</v>
      </c>
      <c r="BH644" t="s">
        <v>77</v>
      </c>
      <c r="BI644" t="s">
        <v>88</v>
      </c>
      <c r="BJ644" t="s">
        <v>79</v>
      </c>
      <c r="BM644">
        <v>2</v>
      </c>
      <c r="BN644">
        <v>4</v>
      </c>
      <c r="BO644">
        <v>6</v>
      </c>
      <c r="BP644" t="s">
        <v>80</v>
      </c>
      <c r="BR644">
        <v>0</v>
      </c>
      <c r="BS644">
        <v>6</v>
      </c>
      <c r="BU644" s="1">
        <v>788312</v>
      </c>
    </row>
    <row r="645" spans="1:73" x14ac:dyDescent="0.3">
      <c r="A645" t="s">
        <v>3522</v>
      </c>
      <c r="B645">
        <v>0</v>
      </c>
      <c r="C645">
        <v>0</v>
      </c>
      <c r="D645">
        <v>1</v>
      </c>
      <c r="E645">
        <v>175000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C645" s="1">
        <v>175000</v>
      </c>
      <c r="BD645" t="s">
        <v>74</v>
      </c>
      <c r="BE645" t="s">
        <v>3523</v>
      </c>
      <c r="BF645" t="s">
        <v>3524</v>
      </c>
      <c r="BH645" t="s">
        <v>77</v>
      </c>
      <c r="BI645" t="s">
        <v>88</v>
      </c>
      <c r="BJ645" t="s">
        <v>79</v>
      </c>
      <c r="BM645">
        <v>0</v>
      </c>
      <c r="BN645">
        <v>1</v>
      </c>
      <c r="BO645">
        <v>1</v>
      </c>
      <c r="BP645" t="s">
        <v>80</v>
      </c>
      <c r="BR645">
        <v>0</v>
      </c>
      <c r="BS645">
        <v>6</v>
      </c>
      <c r="BU645" s="1">
        <v>175000</v>
      </c>
    </row>
    <row r="646" spans="1:73" x14ac:dyDescent="0.3">
      <c r="A646" t="s">
        <v>643</v>
      </c>
      <c r="B646">
        <v>12</v>
      </c>
      <c r="C646">
        <v>3296516</v>
      </c>
      <c r="D646">
        <v>8</v>
      </c>
      <c r="E646">
        <v>3540205</v>
      </c>
      <c r="F646">
        <v>0</v>
      </c>
      <c r="G646">
        <v>0</v>
      </c>
      <c r="H646">
        <v>12</v>
      </c>
      <c r="I646">
        <v>320410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290000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34</v>
      </c>
      <c r="BC646" s="1">
        <v>10896926</v>
      </c>
      <c r="BD646" t="s">
        <v>74</v>
      </c>
      <c r="BE646" t="s">
        <v>644</v>
      </c>
      <c r="BF646" t="s">
        <v>645</v>
      </c>
      <c r="BH646" t="s">
        <v>175</v>
      </c>
      <c r="BI646" t="s">
        <v>646</v>
      </c>
      <c r="BJ646" t="s">
        <v>125</v>
      </c>
      <c r="BM646">
        <v>1</v>
      </c>
      <c r="BN646">
        <v>3</v>
      </c>
      <c r="BO646">
        <v>4</v>
      </c>
      <c r="BP646" t="s">
        <v>80</v>
      </c>
      <c r="BR646">
        <v>0</v>
      </c>
      <c r="BS646">
        <v>5</v>
      </c>
      <c r="BU646" s="1">
        <v>7447131</v>
      </c>
    </row>
    <row r="647" spans="1:73" x14ac:dyDescent="0.3">
      <c r="A647" t="s">
        <v>2752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25000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 s="1">
        <v>25000</v>
      </c>
      <c r="BD647" t="s">
        <v>74</v>
      </c>
      <c r="BE647" t="s">
        <v>2753</v>
      </c>
      <c r="BF647" t="s">
        <v>2754</v>
      </c>
      <c r="BH647" t="s">
        <v>77</v>
      </c>
      <c r="BI647" t="s">
        <v>574</v>
      </c>
      <c r="BJ647" t="s">
        <v>79</v>
      </c>
      <c r="BM647">
        <v>0</v>
      </c>
      <c r="BN647">
        <v>1</v>
      </c>
      <c r="BO647">
        <v>1</v>
      </c>
      <c r="BP647" t="s">
        <v>80</v>
      </c>
      <c r="BR647">
        <v>0</v>
      </c>
      <c r="BS647">
        <v>6</v>
      </c>
      <c r="BU647" s="1">
        <v>25000</v>
      </c>
    </row>
    <row r="648" spans="1:73" x14ac:dyDescent="0.3">
      <c r="A648" t="s">
        <v>3134</v>
      </c>
      <c r="B648">
        <v>0</v>
      </c>
      <c r="C648">
        <v>0</v>
      </c>
      <c r="D648">
        <v>1</v>
      </c>
      <c r="E648">
        <v>270000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 s="1">
        <v>270000</v>
      </c>
      <c r="BD648" t="s">
        <v>74</v>
      </c>
      <c r="BE648" t="s">
        <v>3135</v>
      </c>
      <c r="BF648" t="s">
        <v>3136</v>
      </c>
      <c r="BH648" t="s">
        <v>77</v>
      </c>
      <c r="BI648" t="s">
        <v>84</v>
      </c>
      <c r="BJ648" t="s">
        <v>79</v>
      </c>
      <c r="BM648">
        <v>0</v>
      </c>
      <c r="BN648">
        <v>1</v>
      </c>
      <c r="BO648">
        <v>1</v>
      </c>
      <c r="BP648" t="s">
        <v>80</v>
      </c>
      <c r="BR648">
        <v>0</v>
      </c>
      <c r="BS648">
        <v>6</v>
      </c>
      <c r="BU648" s="1">
        <v>270000</v>
      </c>
    </row>
    <row r="649" spans="1:73" x14ac:dyDescent="0.3">
      <c r="A649" t="s">
        <v>3292</v>
      </c>
      <c r="B649">
        <v>1</v>
      </c>
      <c r="C649">
        <v>211595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 s="1">
        <v>211595</v>
      </c>
      <c r="BD649" t="s">
        <v>74</v>
      </c>
      <c r="BE649" t="s">
        <v>3293</v>
      </c>
      <c r="BF649" t="s">
        <v>3294</v>
      </c>
      <c r="BH649" t="s">
        <v>77</v>
      </c>
      <c r="BI649" t="s">
        <v>88</v>
      </c>
      <c r="BJ649" t="s">
        <v>79</v>
      </c>
      <c r="BM649">
        <v>0</v>
      </c>
      <c r="BN649">
        <v>1</v>
      </c>
      <c r="BO649">
        <v>1</v>
      </c>
      <c r="BP649" t="s">
        <v>80</v>
      </c>
      <c r="BR649">
        <v>0</v>
      </c>
      <c r="BS649">
        <v>6</v>
      </c>
      <c r="BU649" s="1">
        <v>211595</v>
      </c>
    </row>
    <row r="650" spans="1:73" x14ac:dyDescent="0.3">
      <c r="A650" t="s">
        <v>2571</v>
      </c>
      <c r="B650">
        <v>0</v>
      </c>
      <c r="C650">
        <v>0</v>
      </c>
      <c r="D650">
        <v>3</v>
      </c>
      <c r="E650">
        <v>940000</v>
      </c>
      <c r="F650">
        <v>0</v>
      </c>
      <c r="G650">
        <v>0</v>
      </c>
      <c r="H650">
        <v>4</v>
      </c>
      <c r="I650">
        <v>80000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6</v>
      </c>
      <c r="BC650" s="1">
        <v>1880000</v>
      </c>
      <c r="BD650" t="s">
        <v>74</v>
      </c>
      <c r="BE650" t="s">
        <v>2572</v>
      </c>
      <c r="BF650" t="s">
        <v>2573</v>
      </c>
      <c r="BH650" t="s">
        <v>77</v>
      </c>
      <c r="BI650" t="s">
        <v>281</v>
      </c>
      <c r="BJ650" t="s">
        <v>79</v>
      </c>
      <c r="BM650">
        <v>0</v>
      </c>
      <c r="BN650">
        <v>2</v>
      </c>
      <c r="BO650">
        <v>2</v>
      </c>
      <c r="BP650" t="s">
        <v>80</v>
      </c>
      <c r="BR650">
        <v>0</v>
      </c>
      <c r="BS650">
        <v>6</v>
      </c>
      <c r="BU650" s="1">
        <v>1020000</v>
      </c>
    </row>
    <row r="651" spans="1:73" x14ac:dyDescent="0.3">
      <c r="A651" t="s">
        <v>4003</v>
      </c>
      <c r="B651">
        <v>3</v>
      </c>
      <c r="C651">
        <v>883840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3</v>
      </c>
      <c r="BC651" s="1">
        <v>883840</v>
      </c>
      <c r="BD651" t="s">
        <v>74</v>
      </c>
      <c r="BE651" t="s">
        <v>4004</v>
      </c>
      <c r="BF651" t="s">
        <v>4005</v>
      </c>
      <c r="BH651" t="s">
        <v>77</v>
      </c>
      <c r="BI651" t="s">
        <v>574</v>
      </c>
      <c r="BJ651" t="s">
        <v>79</v>
      </c>
      <c r="BM651">
        <v>0</v>
      </c>
      <c r="BN651">
        <v>1</v>
      </c>
      <c r="BO651">
        <v>1</v>
      </c>
      <c r="BP651" t="s">
        <v>80</v>
      </c>
      <c r="BR651">
        <v>0</v>
      </c>
      <c r="BS651">
        <v>6</v>
      </c>
      <c r="BU651" s="1">
        <v>883840</v>
      </c>
    </row>
    <row r="652" spans="1:73" x14ac:dyDescent="0.3">
      <c r="A652" t="s">
        <v>5939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78585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2</v>
      </c>
      <c r="BC652" s="1">
        <v>157170</v>
      </c>
      <c r="BD652" t="s">
        <v>74</v>
      </c>
      <c r="BE652" t="s">
        <v>5940</v>
      </c>
      <c r="BF652" t="s">
        <v>5941</v>
      </c>
      <c r="BH652" t="s">
        <v>77</v>
      </c>
      <c r="BI652" t="s">
        <v>204</v>
      </c>
      <c r="BJ652" t="s">
        <v>79</v>
      </c>
      <c r="BM652">
        <v>1</v>
      </c>
      <c r="BN652">
        <v>0</v>
      </c>
      <c r="BO652">
        <v>1</v>
      </c>
      <c r="BP652" t="s">
        <v>80</v>
      </c>
      <c r="BR652">
        <v>0</v>
      </c>
      <c r="BS652">
        <v>6</v>
      </c>
      <c r="BU652" s="1">
        <v>78585</v>
      </c>
    </row>
    <row r="653" spans="1:73" x14ac:dyDescent="0.3">
      <c r="A653" t="s">
        <v>5679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19792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 s="1">
        <v>19792</v>
      </c>
      <c r="BD653" t="s">
        <v>74</v>
      </c>
      <c r="BE653" t="s">
        <v>5680</v>
      </c>
      <c r="BF653" t="s">
        <v>5681</v>
      </c>
      <c r="BH653" t="s">
        <v>77</v>
      </c>
      <c r="BI653" t="s">
        <v>574</v>
      </c>
      <c r="BJ653" t="s">
        <v>79</v>
      </c>
      <c r="BM653">
        <v>1</v>
      </c>
      <c r="BN653">
        <v>0</v>
      </c>
      <c r="BO653">
        <v>1</v>
      </c>
      <c r="BP653" t="s">
        <v>80</v>
      </c>
      <c r="BR653">
        <v>0</v>
      </c>
      <c r="BS653">
        <v>0</v>
      </c>
      <c r="BU653" s="1">
        <v>19792</v>
      </c>
    </row>
    <row r="654" spans="1:73" x14ac:dyDescent="0.3">
      <c r="A654" t="s">
        <v>4057</v>
      </c>
      <c r="B654">
        <v>1</v>
      </c>
      <c r="C654">
        <v>520815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 s="1">
        <v>520815</v>
      </c>
      <c r="BD654" t="s">
        <v>74</v>
      </c>
      <c r="BE654" t="s">
        <v>4058</v>
      </c>
      <c r="BF654" t="s">
        <v>4059</v>
      </c>
      <c r="BH654" t="s">
        <v>77</v>
      </c>
      <c r="BI654" t="s">
        <v>88</v>
      </c>
      <c r="BJ654" t="s">
        <v>79</v>
      </c>
      <c r="BM654">
        <v>0</v>
      </c>
      <c r="BN654">
        <v>1</v>
      </c>
      <c r="BO654">
        <v>1</v>
      </c>
      <c r="BP654" t="s">
        <v>80</v>
      </c>
      <c r="BR654">
        <v>0</v>
      </c>
      <c r="BS654">
        <v>6</v>
      </c>
      <c r="BU654" s="1">
        <v>520815</v>
      </c>
    </row>
    <row r="655" spans="1:73" x14ac:dyDescent="0.3">
      <c r="A655" t="s">
        <v>4873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73535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19792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</v>
      </c>
      <c r="BC655" s="1">
        <v>186654</v>
      </c>
      <c r="BD655" t="s">
        <v>74</v>
      </c>
      <c r="BE655" t="s">
        <v>4874</v>
      </c>
      <c r="BF655" t="s">
        <v>4875</v>
      </c>
      <c r="BH655" t="s">
        <v>77</v>
      </c>
      <c r="BI655" t="s">
        <v>574</v>
      </c>
      <c r="BJ655" t="s">
        <v>79</v>
      </c>
      <c r="BM655">
        <v>2</v>
      </c>
      <c r="BN655">
        <v>0</v>
      </c>
      <c r="BO655">
        <v>2</v>
      </c>
      <c r="BP655" t="s">
        <v>80</v>
      </c>
      <c r="BR655">
        <v>0</v>
      </c>
      <c r="BS655">
        <v>6</v>
      </c>
      <c r="BU655" s="1">
        <v>93327</v>
      </c>
    </row>
    <row r="656" spans="1:73" x14ac:dyDescent="0.3">
      <c r="A656" t="s">
        <v>3445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152120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27778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5</v>
      </c>
      <c r="BC656" s="1">
        <v>281211</v>
      </c>
      <c r="BD656" t="s">
        <v>74</v>
      </c>
      <c r="BE656" t="s">
        <v>3446</v>
      </c>
      <c r="BF656" t="s">
        <v>3447</v>
      </c>
      <c r="BH656" t="s">
        <v>77</v>
      </c>
      <c r="BI656" t="s">
        <v>129</v>
      </c>
      <c r="BJ656" t="s">
        <v>79</v>
      </c>
      <c r="BM656">
        <v>2</v>
      </c>
      <c r="BN656">
        <v>0</v>
      </c>
      <c r="BO656">
        <v>2</v>
      </c>
      <c r="BP656" t="s">
        <v>80</v>
      </c>
      <c r="BR656">
        <v>0</v>
      </c>
      <c r="BS656">
        <v>6</v>
      </c>
      <c r="BU656" s="1">
        <v>179898</v>
      </c>
    </row>
    <row r="657" spans="1:73" x14ac:dyDescent="0.3">
      <c r="A657" t="s">
        <v>4750</v>
      </c>
      <c r="B657">
        <v>2</v>
      </c>
      <c r="C657">
        <v>445454</v>
      </c>
      <c r="D657">
        <v>3</v>
      </c>
      <c r="E657">
        <v>540000</v>
      </c>
      <c r="F657">
        <v>0</v>
      </c>
      <c r="G657">
        <v>0</v>
      </c>
      <c r="H657">
        <v>4</v>
      </c>
      <c r="I657">
        <v>80000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73535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11</v>
      </c>
      <c r="BC657" s="1">
        <v>1746059</v>
      </c>
      <c r="BD657" t="s">
        <v>74</v>
      </c>
      <c r="BE657" t="s">
        <v>4751</v>
      </c>
      <c r="BF657" t="s">
        <v>4752</v>
      </c>
      <c r="BH657" t="s">
        <v>1464</v>
      </c>
      <c r="BI657" t="s">
        <v>4753</v>
      </c>
      <c r="BJ657" t="s">
        <v>125</v>
      </c>
      <c r="BM657">
        <v>1</v>
      </c>
      <c r="BN657">
        <v>3</v>
      </c>
      <c r="BO657">
        <v>4</v>
      </c>
      <c r="BP657" t="s">
        <v>80</v>
      </c>
      <c r="BR657">
        <v>0</v>
      </c>
      <c r="BS657">
        <v>6</v>
      </c>
      <c r="BU657" s="1">
        <v>1138989</v>
      </c>
    </row>
    <row r="658" spans="1:73" x14ac:dyDescent="0.3">
      <c r="A658" t="s">
        <v>3754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73535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 s="1">
        <v>73535</v>
      </c>
      <c r="BD658" t="s">
        <v>74</v>
      </c>
      <c r="BE658" t="s">
        <v>3755</v>
      </c>
      <c r="BF658" t="s">
        <v>3756</v>
      </c>
      <c r="BH658" t="s">
        <v>77</v>
      </c>
      <c r="BI658" t="s">
        <v>574</v>
      </c>
      <c r="BJ658" t="s">
        <v>79</v>
      </c>
      <c r="BM658">
        <v>1</v>
      </c>
      <c r="BN658">
        <v>0</v>
      </c>
      <c r="BO658">
        <v>1</v>
      </c>
      <c r="BP658" t="s">
        <v>80</v>
      </c>
      <c r="BR658">
        <v>0</v>
      </c>
      <c r="BS658">
        <v>0</v>
      </c>
      <c r="BU658" s="1">
        <v>73535</v>
      </c>
    </row>
    <row r="659" spans="1:73" x14ac:dyDescent="0.3">
      <c r="A659" t="s">
        <v>1081</v>
      </c>
      <c r="B659">
        <v>0</v>
      </c>
      <c r="C659">
        <v>0</v>
      </c>
      <c r="D659">
        <v>1</v>
      </c>
      <c r="E659">
        <v>340000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 s="1">
        <v>340000</v>
      </c>
      <c r="BD659" t="s">
        <v>74</v>
      </c>
      <c r="BE659" t="s">
        <v>1082</v>
      </c>
      <c r="BF659" t="s">
        <v>1083</v>
      </c>
      <c r="BH659" t="s">
        <v>77</v>
      </c>
      <c r="BI659" t="s">
        <v>204</v>
      </c>
      <c r="BJ659" t="s">
        <v>79</v>
      </c>
      <c r="BM659">
        <v>0</v>
      </c>
      <c r="BN659">
        <v>1</v>
      </c>
      <c r="BO659">
        <v>1</v>
      </c>
      <c r="BP659" t="s">
        <v>80</v>
      </c>
      <c r="BR659">
        <v>0</v>
      </c>
      <c r="BS659">
        <v>6</v>
      </c>
      <c r="BU659" s="1">
        <v>340000</v>
      </c>
    </row>
    <row r="660" spans="1:73" x14ac:dyDescent="0.3">
      <c r="A660" t="s">
        <v>3641</v>
      </c>
      <c r="B660">
        <v>0</v>
      </c>
      <c r="C660">
        <v>0</v>
      </c>
      <c r="D660">
        <v>2</v>
      </c>
      <c r="E660">
        <v>219091</v>
      </c>
      <c r="F660">
        <v>0</v>
      </c>
      <c r="G660">
        <v>0</v>
      </c>
      <c r="H660">
        <v>2</v>
      </c>
      <c r="I660">
        <v>40000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4</v>
      </c>
      <c r="BC660" s="1">
        <v>438182</v>
      </c>
      <c r="BD660" t="s">
        <v>74</v>
      </c>
      <c r="BE660" t="s">
        <v>3642</v>
      </c>
      <c r="BF660" t="s">
        <v>3643</v>
      </c>
      <c r="BH660" t="s">
        <v>77</v>
      </c>
      <c r="BI660" t="s">
        <v>228</v>
      </c>
      <c r="BJ660" t="s">
        <v>79</v>
      </c>
      <c r="BM660">
        <v>0</v>
      </c>
      <c r="BN660">
        <v>2</v>
      </c>
      <c r="BO660">
        <v>2</v>
      </c>
      <c r="BP660" t="s">
        <v>80</v>
      </c>
      <c r="BR660">
        <v>0</v>
      </c>
      <c r="BS660">
        <v>6</v>
      </c>
      <c r="BU660" s="1">
        <v>259091</v>
      </c>
    </row>
    <row r="661" spans="1:73" x14ac:dyDescent="0.3">
      <c r="A661" t="s">
        <v>1622</v>
      </c>
      <c r="B661">
        <v>0</v>
      </c>
      <c r="C661">
        <v>0</v>
      </c>
      <c r="D661">
        <v>1</v>
      </c>
      <c r="E661">
        <v>230000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 s="1">
        <v>230000</v>
      </c>
      <c r="BD661" t="s">
        <v>74</v>
      </c>
      <c r="BE661" t="s">
        <v>1623</v>
      </c>
      <c r="BF661" t="s">
        <v>1624</v>
      </c>
      <c r="BH661" t="s">
        <v>77</v>
      </c>
      <c r="BI661" t="s">
        <v>593</v>
      </c>
      <c r="BJ661" t="s">
        <v>79</v>
      </c>
      <c r="BM661">
        <v>0</v>
      </c>
      <c r="BN661">
        <v>1</v>
      </c>
      <c r="BO661">
        <v>1</v>
      </c>
      <c r="BP661" t="s">
        <v>80</v>
      </c>
      <c r="BR661">
        <v>0</v>
      </c>
      <c r="BS661">
        <v>6</v>
      </c>
      <c r="BU661" s="1">
        <v>230000</v>
      </c>
    </row>
    <row r="662" spans="1:73" x14ac:dyDescent="0.3">
      <c r="A662" t="s">
        <v>2728</v>
      </c>
      <c r="B662">
        <v>2</v>
      </c>
      <c r="C662">
        <v>1828881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</v>
      </c>
      <c r="BC662" s="1">
        <v>1828881</v>
      </c>
      <c r="BD662" t="s">
        <v>74</v>
      </c>
      <c r="BE662" t="s">
        <v>2729</v>
      </c>
      <c r="BF662" t="s">
        <v>2730</v>
      </c>
      <c r="BH662" t="s">
        <v>114</v>
      </c>
      <c r="BI662" t="s">
        <v>2731</v>
      </c>
      <c r="BJ662" t="s">
        <v>79</v>
      </c>
      <c r="BM662">
        <v>0</v>
      </c>
      <c r="BN662">
        <v>1</v>
      </c>
      <c r="BO662">
        <v>1</v>
      </c>
      <c r="BP662" t="s">
        <v>80</v>
      </c>
      <c r="BR662">
        <v>0</v>
      </c>
      <c r="BS662">
        <v>6</v>
      </c>
      <c r="BU662" s="1">
        <v>1828881</v>
      </c>
    </row>
    <row r="663" spans="1:73" x14ac:dyDescent="0.3">
      <c r="A663" t="s">
        <v>2061</v>
      </c>
      <c r="B663">
        <v>0</v>
      </c>
      <c r="C663">
        <v>0</v>
      </c>
      <c r="D663">
        <v>1</v>
      </c>
      <c r="E663">
        <v>500000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 s="1">
        <v>500000</v>
      </c>
      <c r="BD663" t="s">
        <v>74</v>
      </c>
      <c r="BE663" t="s">
        <v>2062</v>
      </c>
      <c r="BF663" t="s">
        <v>2063</v>
      </c>
      <c r="BH663" t="s">
        <v>77</v>
      </c>
      <c r="BI663" t="s">
        <v>593</v>
      </c>
      <c r="BJ663" t="s">
        <v>79</v>
      </c>
      <c r="BM663">
        <v>0</v>
      </c>
      <c r="BN663">
        <v>1</v>
      </c>
      <c r="BO663">
        <v>1</v>
      </c>
      <c r="BP663" t="s">
        <v>80</v>
      </c>
      <c r="BR663">
        <v>0</v>
      </c>
      <c r="BS663">
        <v>6</v>
      </c>
      <c r="BU663" s="1">
        <v>500000</v>
      </c>
    </row>
    <row r="664" spans="1:73" x14ac:dyDescent="0.3">
      <c r="A664" t="s">
        <v>4583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73535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2</v>
      </c>
      <c r="BC664" s="1">
        <v>152120</v>
      </c>
      <c r="BD664" t="s">
        <v>74</v>
      </c>
      <c r="BE664" t="s">
        <v>4584</v>
      </c>
      <c r="BF664" t="s">
        <v>4585</v>
      </c>
      <c r="BH664" t="s">
        <v>77</v>
      </c>
      <c r="BI664" t="s">
        <v>593</v>
      </c>
      <c r="BJ664" t="s">
        <v>79</v>
      </c>
      <c r="BM664">
        <v>1</v>
      </c>
      <c r="BN664">
        <v>0</v>
      </c>
      <c r="BO664">
        <v>1</v>
      </c>
      <c r="BP664" t="s">
        <v>80</v>
      </c>
      <c r="BR664">
        <v>0</v>
      </c>
      <c r="BS664">
        <v>0</v>
      </c>
      <c r="BU664" s="1">
        <v>73535</v>
      </c>
    </row>
    <row r="665" spans="1:73" x14ac:dyDescent="0.3">
      <c r="A665" t="s">
        <v>3298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19792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C665" s="1">
        <v>19792</v>
      </c>
      <c r="BD665" t="s">
        <v>74</v>
      </c>
      <c r="BE665" t="s">
        <v>3299</v>
      </c>
      <c r="BF665" t="s">
        <v>3300</v>
      </c>
      <c r="BH665" t="s">
        <v>77</v>
      </c>
      <c r="BI665" t="s">
        <v>92</v>
      </c>
      <c r="BJ665" t="s">
        <v>79</v>
      </c>
      <c r="BM665">
        <v>1</v>
      </c>
      <c r="BN665">
        <v>0</v>
      </c>
      <c r="BO665">
        <v>1</v>
      </c>
      <c r="BP665" t="s">
        <v>80</v>
      </c>
      <c r="BR665">
        <v>0</v>
      </c>
      <c r="BS665">
        <v>0</v>
      </c>
      <c r="BU665" s="1">
        <v>19792</v>
      </c>
    </row>
    <row r="666" spans="1:73" x14ac:dyDescent="0.3">
      <c r="A666" t="s">
        <v>3560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19792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 s="1">
        <v>19792</v>
      </c>
      <c r="BD666" t="s">
        <v>74</v>
      </c>
      <c r="BE666" t="s">
        <v>3561</v>
      </c>
      <c r="BF666" t="s">
        <v>3562</v>
      </c>
      <c r="BH666" t="s">
        <v>77</v>
      </c>
      <c r="BI666" t="s">
        <v>593</v>
      </c>
      <c r="BJ666" t="s">
        <v>79</v>
      </c>
      <c r="BM666">
        <v>1</v>
      </c>
      <c r="BN666">
        <v>0</v>
      </c>
      <c r="BO666">
        <v>1</v>
      </c>
      <c r="BP666" t="s">
        <v>80</v>
      </c>
      <c r="BR666">
        <v>0</v>
      </c>
      <c r="BS666">
        <v>0</v>
      </c>
      <c r="BU666" s="1">
        <v>19792</v>
      </c>
    </row>
    <row r="667" spans="1:73" x14ac:dyDescent="0.3">
      <c r="A667" t="s">
        <v>1625</v>
      </c>
      <c r="B667">
        <v>3</v>
      </c>
      <c r="C667">
        <v>780896</v>
      </c>
      <c r="D667">
        <v>3</v>
      </c>
      <c r="E667">
        <v>235455</v>
      </c>
      <c r="F667">
        <v>0</v>
      </c>
      <c r="G667">
        <v>0</v>
      </c>
      <c r="H667">
        <v>6</v>
      </c>
      <c r="I667">
        <v>130000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73535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14</v>
      </c>
      <c r="BC667" s="1">
        <v>1798876</v>
      </c>
      <c r="BD667" t="s">
        <v>74</v>
      </c>
      <c r="BE667" t="s">
        <v>1626</v>
      </c>
      <c r="BF667" t="s">
        <v>1627</v>
      </c>
      <c r="BH667" t="s">
        <v>77</v>
      </c>
      <c r="BI667" t="s">
        <v>88</v>
      </c>
      <c r="BJ667" t="s">
        <v>79</v>
      </c>
      <c r="BM667">
        <v>1</v>
      </c>
      <c r="BN667">
        <v>3</v>
      </c>
      <c r="BO667">
        <v>4</v>
      </c>
      <c r="BP667" t="s">
        <v>80</v>
      </c>
      <c r="BR667">
        <v>0</v>
      </c>
      <c r="BS667">
        <v>6</v>
      </c>
      <c r="BU667" s="1">
        <v>1219886</v>
      </c>
    </row>
    <row r="668" spans="1:73" x14ac:dyDescent="0.3">
      <c r="A668" t="s">
        <v>2262</v>
      </c>
      <c r="B668">
        <v>0</v>
      </c>
      <c r="C668">
        <v>0</v>
      </c>
      <c r="D668">
        <v>15</v>
      </c>
      <c r="E668">
        <v>6229032</v>
      </c>
      <c r="F668">
        <v>0</v>
      </c>
      <c r="G668">
        <v>0</v>
      </c>
      <c r="H668">
        <v>17</v>
      </c>
      <c r="I668">
        <v>375702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60000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35</v>
      </c>
      <c r="BC668" s="1">
        <v>11413064</v>
      </c>
      <c r="BD668" t="s">
        <v>74</v>
      </c>
      <c r="BE668" t="s">
        <v>2263</v>
      </c>
      <c r="BF668" t="s">
        <v>2264</v>
      </c>
      <c r="BH668" t="s">
        <v>77</v>
      </c>
      <c r="BI668" t="s">
        <v>593</v>
      </c>
      <c r="BJ668" t="s">
        <v>79</v>
      </c>
      <c r="BM668">
        <v>0</v>
      </c>
      <c r="BN668">
        <v>3</v>
      </c>
      <c r="BO668">
        <v>3</v>
      </c>
      <c r="BP668" t="s">
        <v>80</v>
      </c>
      <c r="BR668">
        <v>0</v>
      </c>
      <c r="BS668">
        <v>5</v>
      </c>
      <c r="BU668" s="1">
        <v>6664734</v>
      </c>
    </row>
    <row r="669" spans="1:73" x14ac:dyDescent="0.3">
      <c r="A669" t="s">
        <v>3436</v>
      </c>
      <c r="B669">
        <v>5</v>
      </c>
      <c r="C669">
        <v>793426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5</v>
      </c>
      <c r="BC669" s="1">
        <v>793426</v>
      </c>
      <c r="BD669" t="s">
        <v>74</v>
      </c>
      <c r="BE669" t="s">
        <v>3437</v>
      </c>
      <c r="BF669" t="s">
        <v>3438</v>
      </c>
      <c r="BH669" t="s">
        <v>77</v>
      </c>
      <c r="BI669" t="s">
        <v>204</v>
      </c>
      <c r="BJ669" t="s">
        <v>79</v>
      </c>
      <c r="BM669">
        <v>0</v>
      </c>
      <c r="BN669">
        <v>1</v>
      </c>
      <c r="BO669">
        <v>1</v>
      </c>
      <c r="BP669" t="s">
        <v>80</v>
      </c>
      <c r="BR669">
        <v>0</v>
      </c>
      <c r="BS669">
        <v>6</v>
      </c>
      <c r="BU669" s="1">
        <v>793426</v>
      </c>
    </row>
    <row r="670" spans="1:73" x14ac:dyDescent="0.3">
      <c r="A670" t="s">
        <v>5391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19792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2</v>
      </c>
      <c r="BC670" s="1">
        <v>39584</v>
      </c>
      <c r="BD670" t="s">
        <v>74</v>
      </c>
      <c r="BE670" t="s">
        <v>5392</v>
      </c>
      <c r="BF670" t="s">
        <v>5393</v>
      </c>
      <c r="BH670" t="s">
        <v>77</v>
      </c>
      <c r="BI670" t="s">
        <v>92</v>
      </c>
      <c r="BJ670" t="s">
        <v>79</v>
      </c>
      <c r="BM670">
        <v>1</v>
      </c>
      <c r="BN670">
        <v>0</v>
      </c>
      <c r="BO670">
        <v>1</v>
      </c>
      <c r="BP670" t="s">
        <v>80</v>
      </c>
      <c r="BR670">
        <v>0</v>
      </c>
      <c r="BS670">
        <v>6</v>
      </c>
      <c r="BU670" s="1">
        <v>19792</v>
      </c>
    </row>
    <row r="671" spans="1:73" x14ac:dyDescent="0.3">
      <c r="A671" t="s">
        <v>3816</v>
      </c>
      <c r="B671">
        <v>0</v>
      </c>
      <c r="C671">
        <v>0</v>
      </c>
      <c r="D671">
        <v>2</v>
      </c>
      <c r="E671">
        <v>84087</v>
      </c>
      <c r="F671">
        <v>0</v>
      </c>
      <c r="G671">
        <v>0</v>
      </c>
      <c r="H671">
        <v>1</v>
      </c>
      <c r="I671">
        <v>6667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3</v>
      </c>
      <c r="BC671" s="1">
        <v>161507</v>
      </c>
      <c r="BD671" t="s">
        <v>74</v>
      </c>
      <c r="BE671" t="s">
        <v>3817</v>
      </c>
      <c r="BF671" t="s">
        <v>3818</v>
      </c>
      <c r="BH671" t="s">
        <v>77</v>
      </c>
      <c r="BI671" t="s">
        <v>204</v>
      </c>
      <c r="BJ671" t="s">
        <v>79</v>
      </c>
      <c r="BM671">
        <v>0</v>
      </c>
      <c r="BN671">
        <v>2</v>
      </c>
      <c r="BO671">
        <v>2</v>
      </c>
      <c r="BP671" t="s">
        <v>80</v>
      </c>
      <c r="BR671">
        <v>0</v>
      </c>
      <c r="BS671">
        <v>6</v>
      </c>
      <c r="BU671" s="1">
        <v>90754</v>
      </c>
    </row>
    <row r="672" spans="1:73" x14ac:dyDescent="0.3">
      <c r="A672" t="s">
        <v>4255</v>
      </c>
      <c r="B672">
        <v>1</v>
      </c>
      <c r="C672">
        <v>483481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 s="1">
        <v>483481</v>
      </c>
      <c r="BD672" t="s">
        <v>74</v>
      </c>
      <c r="BE672" t="s">
        <v>4256</v>
      </c>
      <c r="BF672" t="s">
        <v>4257</v>
      </c>
      <c r="BH672" t="s">
        <v>77</v>
      </c>
      <c r="BI672" t="s">
        <v>281</v>
      </c>
      <c r="BJ672" t="s">
        <v>79</v>
      </c>
      <c r="BM672">
        <v>0</v>
      </c>
      <c r="BN672">
        <v>1</v>
      </c>
      <c r="BO672">
        <v>1</v>
      </c>
      <c r="BP672" t="s">
        <v>80</v>
      </c>
      <c r="BR672">
        <v>0</v>
      </c>
      <c r="BS672">
        <v>6</v>
      </c>
      <c r="BU672" s="1">
        <v>483481</v>
      </c>
    </row>
    <row r="673" spans="1:73" x14ac:dyDescent="0.3">
      <c r="A673" t="s">
        <v>4252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96439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</v>
      </c>
      <c r="BC673" s="1">
        <v>192878</v>
      </c>
      <c r="BD673" t="s">
        <v>74</v>
      </c>
      <c r="BE673" t="s">
        <v>4253</v>
      </c>
      <c r="BF673" t="s">
        <v>4254</v>
      </c>
      <c r="BH673" t="s">
        <v>77</v>
      </c>
      <c r="BI673" t="s">
        <v>92</v>
      </c>
      <c r="BJ673" t="s">
        <v>79</v>
      </c>
      <c r="BM673">
        <v>1</v>
      </c>
      <c r="BN673">
        <v>0</v>
      </c>
      <c r="BO673">
        <v>1</v>
      </c>
      <c r="BP673" t="s">
        <v>80</v>
      </c>
      <c r="BR673">
        <v>0</v>
      </c>
      <c r="BS673">
        <v>6</v>
      </c>
      <c r="BU673" s="1">
        <v>96439</v>
      </c>
    </row>
    <row r="674" spans="1:73" x14ac:dyDescent="0.3">
      <c r="A674" t="s">
        <v>4322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73535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 s="1">
        <v>73535</v>
      </c>
      <c r="BD674" t="s">
        <v>74</v>
      </c>
      <c r="BE674" t="s">
        <v>4323</v>
      </c>
      <c r="BF674" t="s">
        <v>4324</v>
      </c>
      <c r="BH674" t="s">
        <v>77</v>
      </c>
      <c r="BI674" t="s">
        <v>204</v>
      </c>
      <c r="BJ674" t="s">
        <v>79</v>
      </c>
      <c r="BM674">
        <v>1</v>
      </c>
      <c r="BN674">
        <v>0</v>
      </c>
      <c r="BO674">
        <v>1</v>
      </c>
      <c r="BP674" t="s">
        <v>80</v>
      </c>
      <c r="BR674">
        <v>0</v>
      </c>
      <c r="BS674">
        <v>6</v>
      </c>
      <c r="BU674" s="1">
        <v>73535</v>
      </c>
    </row>
    <row r="675" spans="1:73" x14ac:dyDescent="0.3">
      <c r="A675" t="s">
        <v>5153</v>
      </c>
      <c r="B675">
        <v>0</v>
      </c>
      <c r="C675">
        <v>0</v>
      </c>
      <c r="D675">
        <v>2</v>
      </c>
      <c r="E675">
        <v>292000</v>
      </c>
      <c r="F675">
        <v>0</v>
      </c>
      <c r="G675">
        <v>0</v>
      </c>
      <c r="H675">
        <v>2</v>
      </c>
      <c r="I675">
        <v>40000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45682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11526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6</v>
      </c>
      <c r="BC675" s="1">
        <v>641208</v>
      </c>
      <c r="BD675" t="s">
        <v>74</v>
      </c>
      <c r="BE675" t="s">
        <v>5154</v>
      </c>
      <c r="BF675" t="s">
        <v>5155</v>
      </c>
      <c r="BH675" t="s">
        <v>77</v>
      </c>
      <c r="BI675" t="s">
        <v>204</v>
      </c>
      <c r="BJ675" t="s">
        <v>79</v>
      </c>
      <c r="BM675">
        <v>2</v>
      </c>
      <c r="BN675">
        <v>2</v>
      </c>
      <c r="BO675">
        <v>4</v>
      </c>
      <c r="BP675" t="s">
        <v>80</v>
      </c>
      <c r="BR675">
        <v>0</v>
      </c>
      <c r="BS675">
        <v>6</v>
      </c>
      <c r="BU675" s="1">
        <v>389208</v>
      </c>
    </row>
    <row r="676" spans="1:73" x14ac:dyDescent="0.3">
      <c r="A676" t="s">
        <v>5108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59747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6919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</v>
      </c>
      <c r="BC676" s="1">
        <v>66666</v>
      </c>
      <c r="BD676" t="s">
        <v>74</v>
      </c>
      <c r="BE676" t="s">
        <v>5109</v>
      </c>
      <c r="BF676" t="s">
        <v>5110</v>
      </c>
      <c r="BH676" t="s">
        <v>77</v>
      </c>
      <c r="BI676" t="s">
        <v>204</v>
      </c>
      <c r="BJ676" t="s">
        <v>79</v>
      </c>
      <c r="BM676">
        <v>2</v>
      </c>
      <c r="BN676">
        <v>0</v>
      </c>
      <c r="BO676">
        <v>2</v>
      </c>
      <c r="BP676" t="s">
        <v>80</v>
      </c>
      <c r="BR676">
        <v>0</v>
      </c>
      <c r="BS676">
        <v>6</v>
      </c>
      <c r="BU676" s="1">
        <v>66666</v>
      </c>
    </row>
    <row r="677" spans="1:73" x14ac:dyDescent="0.3">
      <c r="A677" t="s">
        <v>3709</v>
      </c>
      <c r="B677">
        <v>0</v>
      </c>
      <c r="C677">
        <v>0</v>
      </c>
      <c r="D677">
        <v>1</v>
      </c>
      <c r="E677">
        <v>7742</v>
      </c>
      <c r="F677">
        <v>0</v>
      </c>
      <c r="G677">
        <v>0</v>
      </c>
      <c r="H677">
        <v>2</v>
      </c>
      <c r="I677">
        <v>40000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4</v>
      </c>
      <c r="BC677" s="1">
        <v>55484</v>
      </c>
      <c r="BD677" t="s">
        <v>74</v>
      </c>
      <c r="BE677" t="s">
        <v>3710</v>
      </c>
      <c r="BF677" t="s">
        <v>3711</v>
      </c>
      <c r="BH677" t="s">
        <v>77</v>
      </c>
      <c r="BI677" t="s">
        <v>92</v>
      </c>
      <c r="BJ677" t="s">
        <v>79</v>
      </c>
      <c r="BM677">
        <v>0</v>
      </c>
      <c r="BN677">
        <v>2</v>
      </c>
      <c r="BO677">
        <v>2</v>
      </c>
      <c r="BP677" t="s">
        <v>80</v>
      </c>
      <c r="BR677">
        <v>0</v>
      </c>
      <c r="BS677">
        <v>6</v>
      </c>
      <c r="BU677" s="1">
        <v>47742</v>
      </c>
    </row>
    <row r="678" spans="1:73" x14ac:dyDescent="0.3">
      <c r="A678" t="s">
        <v>4454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20876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73535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</v>
      </c>
      <c r="BC678" s="1">
        <v>94411</v>
      </c>
      <c r="BD678" t="s">
        <v>74</v>
      </c>
      <c r="BE678" t="s">
        <v>4455</v>
      </c>
      <c r="BF678" t="s">
        <v>4456</v>
      </c>
      <c r="BH678" t="s">
        <v>77</v>
      </c>
      <c r="BI678" t="s">
        <v>92</v>
      </c>
      <c r="BJ678" t="s">
        <v>79</v>
      </c>
      <c r="BM678">
        <v>1</v>
      </c>
      <c r="BN678">
        <v>1</v>
      </c>
      <c r="BO678">
        <v>2</v>
      </c>
      <c r="BP678" t="s">
        <v>80</v>
      </c>
      <c r="BR678">
        <v>0</v>
      </c>
      <c r="BS678">
        <v>0</v>
      </c>
      <c r="BU678" s="1">
        <v>94411</v>
      </c>
    </row>
    <row r="679" spans="1:73" x14ac:dyDescent="0.3">
      <c r="A679" t="s">
        <v>5666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73535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19792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4</v>
      </c>
      <c r="BC679" s="1">
        <v>186654</v>
      </c>
      <c r="BD679" t="s">
        <v>74</v>
      </c>
      <c r="BE679" t="s">
        <v>5667</v>
      </c>
      <c r="BF679" t="s">
        <v>5668</v>
      </c>
      <c r="BH679" t="s">
        <v>77</v>
      </c>
      <c r="BI679" t="s">
        <v>88</v>
      </c>
      <c r="BJ679" t="s">
        <v>79</v>
      </c>
      <c r="BM679">
        <v>2</v>
      </c>
      <c r="BN679">
        <v>0</v>
      </c>
      <c r="BO679">
        <v>2</v>
      </c>
      <c r="BP679" t="s">
        <v>80</v>
      </c>
      <c r="BR679">
        <v>0</v>
      </c>
      <c r="BS679">
        <v>6</v>
      </c>
      <c r="BU679" s="1">
        <v>93327</v>
      </c>
    </row>
    <row r="680" spans="1:73" x14ac:dyDescent="0.3">
      <c r="A680" t="s">
        <v>4903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73535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19792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3</v>
      </c>
      <c r="BC680" s="1">
        <v>166862</v>
      </c>
      <c r="BD680" t="s">
        <v>74</v>
      </c>
      <c r="BE680" t="s">
        <v>4904</v>
      </c>
      <c r="BF680" t="s">
        <v>4905</v>
      </c>
      <c r="BH680" t="s">
        <v>77</v>
      </c>
      <c r="BI680" t="s">
        <v>593</v>
      </c>
      <c r="BJ680" t="s">
        <v>79</v>
      </c>
      <c r="BM680">
        <v>2</v>
      </c>
      <c r="BN680">
        <v>0</v>
      </c>
      <c r="BO680">
        <v>2</v>
      </c>
      <c r="BP680" t="s">
        <v>80</v>
      </c>
      <c r="BR680">
        <v>0</v>
      </c>
      <c r="BS680">
        <v>0</v>
      </c>
      <c r="BU680" s="1">
        <v>93327</v>
      </c>
    </row>
    <row r="681" spans="1:73" x14ac:dyDescent="0.3">
      <c r="A681" t="s">
        <v>5311</v>
      </c>
      <c r="B681">
        <v>0</v>
      </c>
      <c r="C681">
        <v>0</v>
      </c>
      <c r="D681">
        <v>1</v>
      </c>
      <c r="E681">
        <v>520000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</v>
      </c>
      <c r="BC681" s="1">
        <v>1040000</v>
      </c>
      <c r="BD681" t="s">
        <v>74</v>
      </c>
      <c r="BE681" t="s">
        <v>5312</v>
      </c>
      <c r="BF681" t="s">
        <v>5313</v>
      </c>
      <c r="BH681" t="s">
        <v>175</v>
      </c>
      <c r="BI681" t="s">
        <v>176</v>
      </c>
      <c r="BJ681" t="s">
        <v>125</v>
      </c>
      <c r="BM681">
        <v>0</v>
      </c>
      <c r="BN681">
        <v>1</v>
      </c>
      <c r="BO681">
        <v>1</v>
      </c>
      <c r="BP681" t="s">
        <v>80</v>
      </c>
      <c r="BR681">
        <v>0</v>
      </c>
      <c r="BS681">
        <v>6</v>
      </c>
      <c r="BU681" s="1">
        <v>520000</v>
      </c>
    </row>
    <row r="682" spans="1:73" x14ac:dyDescent="0.3">
      <c r="A682" t="s">
        <v>1804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73535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 s="1">
        <v>73535</v>
      </c>
      <c r="BD682" t="s">
        <v>74</v>
      </c>
      <c r="BE682" t="s">
        <v>1805</v>
      </c>
      <c r="BF682" t="s">
        <v>1806</v>
      </c>
      <c r="BH682" t="s">
        <v>77</v>
      </c>
      <c r="BI682" t="s">
        <v>593</v>
      </c>
      <c r="BJ682" t="s">
        <v>79</v>
      </c>
      <c r="BM682">
        <v>1</v>
      </c>
      <c r="BN682">
        <v>0</v>
      </c>
      <c r="BO682">
        <v>1</v>
      </c>
      <c r="BP682" t="s">
        <v>80</v>
      </c>
      <c r="BR682">
        <v>0</v>
      </c>
      <c r="BS682">
        <v>0</v>
      </c>
      <c r="BU682" s="1">
        <v>73535</v>
      </c>
    </row>
    <row r="683" spans="1:73" x14ac:dyDescent="0.3">
      <c r="A683" t="s">
        <v>4669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73535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 s="1">
        <v>73535</v>
      </c>
      <c r="BD683" t="s">
        <v>74</v>
      </c>
      <c r="BE683" t="s">
        <v>4670</v>
      </c>
      <c r="BF683" t="s">
        <v>4671</v>
      </c>
      <c r="BH683" t="s">
        <v>77</v>
      </c>
      <c r="BI683" t="s">
        <v>78</v>
      </c>
      <c r="BJ683" t="s">
        <v>79</v>
      </c>
      <c r="BM683">
        <v>1</v>
      </c>
      <c r="BN683">
        <v>0</v>
      </c>
      <c r="BO683">
        <v>1</v>
      </c>
      <c r="BP683" t="s">
        <v>80</v>
      </c>
      <c r="BR683">
        <v>0</v>
      </c>
      <c r="BS683">
        <v>0</v>
      </c>
      <c r="BU683" s="1">
        <v>73535</v>
      </c>
    </row>
    <row r="684" spans="1:73" x14ac:dyDescent="0.3">
      <c r="A684" t="s">
        <v>1918</v>
      </c>
      <c r="B684">
        <v>2</v>
      </c>
      <c r="C684">
        <v>753637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45000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4</v>
      </c>
      <c r="BC684" s="1">
        <v>798637</v>
      </c>
      <c r="BD684" t="s">
        <v>74</v>
      </c>
      <c r="BE684" t="s">
        <v>1919</v>
      </c>
      <c r="BF684" t="s">
        <v>1920</v>
      </c>
      <c r="BH684" t="s">
        <v>77</v>
      </c>
      <c r="BI684" t="s">
        <v>204</v>
      </c>
      <c r="BJ684" t="s">
        <v>79</v>
      </c>
      <c r="BM684">
        <v>0</v>
      </c>
      <c r="BN684">
        <v>2</v>
      </c>
      <c r="BO684">
        <v>2</v>
      </c>
      <c r="BP684" t="s">
        <v>80</v>
      </c>
      <c r="BR684">
        <v>0</v>
      </c>
      <c r="BS684">
        <v>6</v>
      </c>
      <c r="BU684" s="1">
        <v>798637</v>
      </c>
    </row>
    <row r="685" spans="1:73" x14ac:dyDescent="0.3">
      <c r="A685" t="s">
        <v>1430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135000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 s="1">
        <v>135000</v>
      </c>
      <c r="BD685" t="s">
        <v>74</v>
      </c>
      <c r="BE685" t="s">
        <v>1431</v>
      </c>
      <c r="BF685" t="s">
        <v>1432</v>
      </c>
      <c r="BH685" t="s">
        <v>77</v>
      </c>
      <c r="BI685" t="s">
        <v>204</v>
      </c>
      <c r="BJ685" t="s">
        <v>79</v>
      </c>
      <c r="BM685">
        <v>0</v>
      </c>
      <c r="BN685">
        <v>1</v>
      </c>
      <c r="BO685">
        <v>1</v>
      </c>
      <c r="BP685" t="s">
        <v>80</v>
      </c>
      <c r="BR685">
        <v>0</v>
      </c>
      <c r="BS685">
        <v>6</v>
      </c>
      <c r="BU685" s="1">
        <v>135000</v>
      </c>
    </row>
    <row r="686" spans="1:73" x14ac:dyDescent="0.3">
      <c r="A686" t="s">
        <v>2947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73535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 s="1">
        <v>73535</v>
      </c>
      <c r="BD686" t="s">
        <v>74</v>
      </c>
      <c r="BE686" t="s">
        <v>2948</v>
      </c>
      <c r="BF686" t="s">
        <v>2949</v>
      </c>
      <c r="BH686" t="s">
        <v>77</v>
      </c>
      <c r="BI686" t="s">
        <v>204</v>
      </c>
      <c r="BJ686" t="s">
        <v>79</v>
      </c>
      <c r="BM686">
        <v>1</v>
      </c>
      <c r="BN686">
        <v>0</v>
      </c>
      <c r="BO686">
        <v>1</v>
      </c>
      <c r="BP686" t="s">
        <v>80</v>
      </c>
      <c r="BR686">
        <v>0</v>
      </c>
      <c r="BS686">
        <v>0</v>
      </c>
      <c r="BU686" s="1">
        <v>73535</v>
      </c>
    </row>
    <row r="687" spans="1:73" x14ac:dyDescent="0.3">
      <c r="A687" t="s">
        <v>3831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73535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</v>
      </c>
      <c r="BC687" s="1">
        <v>147070</v>
      </c>
      <c r="BD687" t="s">
        <v>74</v>
      </c>
      <c r="BE687" t="s">
        <v>3832</v>
      </c>
      <c r="BF687" t="s">
        <v>3833</v>
      </c>
      <c r="BH687" t="s">
        <v>77</v>
      </c>
      <c r="BI687" t="s">
        <v>204</v>
      </c>
      <c r="BJ687" t="s">
        <v>79</v>
      </c>
      <c r="BM687">
        <v>1</v>
      </c>
      <c r="BN687">
        <v>0</v>
      </c>
      <c r="BO687">
        <v>1</v>
      </c>
      <c r="BP687" t="s">
        <v>80</v>
      </c>
      <c r="BR687">
        <v>0</v>
      </c>
      <c r="BS687">
        <v>6</v>
      </c>
      <c r="BU687" s="1">
        <v>73535</v>
      </c>
    </row>
    <row r="688" spans="1:73" x14ac:dyDescent="0.3">
      <c r="A688" t="s">
        <v>3481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40000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 s="1">
        <v>40000</v>
      </c>
      <c r="BD688" t="s">
        <v>74</v>
      </c>
      <c r="BE688" t="s">
        <v>3482</v>
      </c>
      <c r="BF688" t="s">
        <v>3483</v>
      </c>
      <c r="BH688" t="s">
        <v>77</v>
      </c>
      <c r="BI688" t="s">
        <v>92</v>
      </c>
      <c r="BJ688" t="s">
        <v>79</v>
      </c>
      <c r="BM688">
        <v>0</v>
      </c>
      <c r="BN688">
        <v>1</v>
      </c>
      <c r="BO688">
        <v>1</v>
      </c>
      <c r="BP688" t="s">
        <v>80</v>
      </c>
      <c r="BR688">
        <v>0</v>
      </c>
      <c r="BS688">
        <v>6</v>
      </c>
      <c r="BU688" s="1">
        <v>40000</v>
      </c>
    </row>
    <row r="689" spans="1:73" x14ac:dyDescent="0.3">
      <c r="A689" t="s">
        <v>2317</v>
      </c>
      <c r="B689">
        <v>1</v>
      </c>
      <c r="C689">
        <v>459272</v>
      </c>
      <c r="D689">
        <v>1</v>
      </c>
      <c r="E689">
        <v>190909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</v>
      </c>
      <c r="BC689" s="1">
        <v>841090</v>
      </c>
      <c r="BD689" t="s">
        <v>74</v>
      </c>
      <c r="BE689" t="s">
        <v>2318</v>
      </c>
      <c r="BF689" t="s">
        <v>2319</v>
      </c>
      <c r="BH689" t="s">
        <v>1464</v>
      </c>
      <c r="BI689" t="s">
        <v>2320</v>
      </c>
      <c r="BJ689" t="s">
        <v>125</v>
      </c>
      <c r="BM689">
        <v>0</v>
      </c>
      <c r="BN689">
        <v>2</v>
      </c>
      <c r="BO689">
        <v>2</v>
      </c>
      <c r="BP689" t="s">
        <v>80</v>
      </c>
      <c r="BR689">
        <v>0</v>
      </c>
      <c r="BS689">
        <v>6</v>
      </c>
      <c r="BU689" s="1">
        <v>650181</v>
      </c>
    </row>
    <row r="690" spans="1:73" x14ac:dyDescent="0.3">
      <c r="A690" t="s">
        <v>5371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73535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 s="1">
        <v>73535</v>
      </c>
      <c r="BD690" t="s">
        <v>74</v>
      </c>
      <c r="BE690" t="s">
        <v>5372</v>
      </c>
      <c r="BF690" t="s">
        <v>5373</v>
      </c>
      <c r="BH690" t="s">
        <v>77</v>
      </c>
      <c r="BI690" t="s">
        <v>574</v>
      </c>
      <c r="BJ690" t="s">
        <v>79</v>
      </c>
      <c r="BM690">
        <v>1</v>
      </c>
      <c r="BN690">
        <v>0</v>
      </c>
      <c r="BO690">
        <v>1</v>
      </c>
      <c r="BP690" t="s">
        <v>80</v>
      </c>
      <c r="BR690">
        <v>0</v>
      </c>
      <c r="BS690">
        <v>0</v>
      </c>
      <c r="BU690" s="1">
        <v>73535</v>
      </c>
    </row>
    <row r="691" spans="1:73" x14ac:dyDescent="0.3">
      <c r="A691" t="s">
        <v>2611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73535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2</v>
      </c>
      <c r="BC691" s="1">
        <v>147070</v>
      </c>
      <c r="BD691" t="s">
        <v>74</v>
      </c>
      <c r="BE691" t="s">
        <v>2612</v>
      </c>
      <c r="BF691" t="s">
        <v>2613</v>
      </c>
      <c r="BH691" t="s">
        <v>77</v>
      </c>
      <c r="BI691" t="s">
        <v>92</v>
      </c>
      <c r="BJ691" t="s">
        <v>79</v>
      </c>
      <c r="BM691">
        <v>1</v>
      </c>
      <c r="BN691">
        <v>0</v>
      </c>
      <c r="BO691">
        <v>1</v>
      </c>
      <c r="BP691" t="s">
        <v>80</v>
      </c>
      <c r="BR691">
        <v>0</v>
      </c>
      <c r="BS691">
        <v>0</v>
      </c>
      <c r="BU691" s="1">
        <v>73535</v>
      </c>
    </row>
    <row r="692" spans="1:73" x14ac:dyDescent="0.3">
      <c r="A692" t="s">
        <v>3727</v>
      </c>
      <c r="B692">
        <v>0</v>
      </c>
      <c r="C692">
        <v>0</v>
      </c>
      <c r="D692">
        <v>1</v>
      </c>
      <c r="E692">
        <v>193200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3</v>
      </c>
      <c r="BC692" s="1">
        <v>394316</v>
      </c>
      <c r="BD692" t="s">
        <v>74</v>
      </c>
      <c r="BE692" t="s">
        <v>3728</v>
      </c>
      <c r="BF692" t="s">
        <v>3729</v>
      </c>
      <c r="BH692" t="s">
        <v>77</v>
      </c>
      <c r="BI692" t="s">
        <v>92</v>
      </c>
      <c r="BJ692" t="s">
        <v>79</v>
      </c>
      <c r="BM692">
        <v>0</v>
      </c>
      <c r="BN692">
        <v>1</v>
      </c>
      <c r="BO692">
        <v>1</v>
      </c>
      <c r="BP692" t="s">
        <v>80</v>
      </c>
      <c r="BR692">
        <v>0</v>
      </c>
      <c r="BS692">
        <v>6</v>
      </c>
      <c r="BU692" s="1">
        <v>193200</v>
      </c>
    </row>
    <row r="693" spans="1:73" x14ac:dyDescent="0.3">
      <c r="A693" t="s">
        <v>3757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73535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</v>
      </c>
      <c r="BC693" s="1">
        <v>147070</v>
      </c>
      <c r="BD693" t="s">
        <v>74</v>
      </c>
      <c r="BE693" t="s">
        <v>3758</v>
      </c>
      <c r="BF693" t="s">
        <v>3759</v>
      </c>
      <c r="BH693" t="s">
        <v>77</v>
      </c>
      <c r="BI693" t="s">
        <v>204</v>
      </c>
      <c r="BJ693" t="s">
        <v>79</v>
      </c>
      <c r="BM693">
        <v>1</v>
      </c>
      <c r="BN693">
        <v>0</v>
      </c>
      <c r="BO693">
        <v>1</v>
      </c>
      <c r="BP693" t="s">
        <v>80</v>
      </c>
      <c r="BR693">
        <v>0</v>
      </c>
      <c r="BS693">
        <v>0</v>
      </c>
      <c r="BU693" s="1">
        <v>73535</v>
      </c>
    </row>
    <row r="694" spans="1:73" x14ac:dyDescent="0.3">
      <c r="A694" t="s">
        <v>3952</v>
      </c>
      <c r="B694">
        <v>0</v>
      </c>
      <c r="C694">
        <v>0</v>
      </c>
      <c r="D694">
        <v>1</v>
      </c>
      <c r="E694">
        <v>350000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73535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</v>
      </c>
      <c r="BC694" s="1">
        <v>866862</v>
      </c>
      <c r="BD694" t="s">
        <v>74</v>
      </c>
      <c r="BE694" t="s">
        <v>3953</v>
      </c>
      <c r="BF694" t="s">
        <v>3954</v>
      </c>
      <c r="BH694" t="s">
        <v>77</v>
      </c>
      <c r="BI694" t="s">
        <v>92</v>
      </c>
      <c r="BJ694" t="s">
        <v>79</v>
      </c>
      <c r="BM694">
        <v>1</v>
      </c>
      <c r="BN694">
        <v>1</v>
      </c>
      <c r="BO694">
        <v>2</v>
      </c>
      <c r="BP694" t="s">
        <v>80</v>
      </c>
      <c r="BR694">
        <v>0</v>
      </c>
      <c r="BS694">
        <v>6</v>
      </c>
      <c r="BU694" s="1">
        <v>423535</v>
      </c>
    </row>
    <row r="695" spans="1:73" x14ac:dyDescent="0.3">
      <c r="A695" t="s">
        <v>2941</v>
      </c>
      <c r="B695">
        <v>0</v>
      </c>
      <c r="C695">
        <v>0</v>
      </c>
      <c r="D695">
        <v>1</v>
      </c>
      <c r="E695">
        <v>250000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73535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20000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6</v>
      </c>
      <c r="BC695" s="1">
        <v>692120</v>
      </c>
      <c r="BD695" t="s">
        <v>74</v>
      </c>
      <c r="BE695" t="s">
        <v>2942</v>
      </c>
      <c r="BF695" t="s">
        <v>2943</v>
      </c>
      <c r="BH695" t="s">
        <v>77</v>
      </c>
      <c r="BI695" t="s">
        <v>281</v>
      </c>
      <c r="BJ695" t="s">
        <v>79</v>
      </c>
      <c r="BM695">
        <v>2</v>
      </c>
      <c r="BN695">
        <v>1</v>
      </c>
      <c r="BO695">
        <v>3</v>
      </c>
      <c r="BP695" t="s">
        <v>80</v>
      </c>
      <c r="BR695">
        <v>0</v>
      </c>
      <c r="BS695">
        <v>6</v>
      </c>
      <c r="BU695" s="1">
        <v>343535</v>
      </c>
    </row>
    <row r="696" spans="1:73" x14ac:dyDescent="0.3">
      <c r="A696" t="s">
        <v>2282</v>
      </c>
      <c r="B696">
        <v>0</v>
      </c>
      <c r="C696">
        <v>0</v>
      </c>
      <c r="D696">
        <v>1</v>
      </c>
      <c r="E696">
        <v>20680</v>
      </c>
      <c r="F696">
        <v>0</v>
      </c>
      <c r="G696">
        <v>0</v>
      </c>
      <c r="H696">
        <v>2</v>
      </c>
      <c r="I696">
        <v>41360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</v>
      </c>
      <c r="BC696" s="1">
        <v>41360</v>
      </c>
      <c r="BD696" t="s">
        <v>74</v>
      </c>
      <c r="BE696" t="s">
        <v>2283</v>
      </c>
      <c r="BF696" t="s">
        <v>2284</v>
      </c>
      <c r="BH696" t="s">
        <v>77</v>
      </c>
      <c r="BI696" t="s">
        <v>228</v>
      </c>
      <c r="BJ696" t="s">
        <v>79</v>
      </c>
      <c r="BM696">
        <v>0</v>
      </c>
      <c r="BN696">
        <v>2</v>
      </c>
      <c r="BO696">
        <v>2</v>
      </c>
      <c r="BP696" t="s">
        <v>80</v>
      </c>
      <c r="BR696">
        <v>0</v>
      </c>
      <c r="BS696">
        <v>6</v>
      </c>
      <c r="BU696" s="1">
        <v>62040</v>
      </c>
    </row>
    <row r="697" spans="1:73" x14ac:dyDescent="0.3">
      <c r="A697" t="s">
        <v>5508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73535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</v>
      </c>
      <c r="BC697" s="1">
        <v>147070</v>
      </c>
      <c r="BD697" t="s">
        <v>74</v>
      </c>
      <c r="BE697" t="s">
        <v>5509</v>
      </c>
      <c r="BF697" t="s">
        <v>5510</v>
      </c>
      <c r="BH697" t="s">
        <v>77</v>
      </c>
      <c r="BI697" t="s">
        <v>92</v>
      </c>
      <c r="BJ697" t="s">
        <v>79</v>
      </c>
      <c r="BM697">
        <v>1</v>
      </c>
      <c r="BN697">
        <v>0</v>
      </c>
      <c r="BO697">
        <v>1</v>
      </c>
      <c r="BP697" t="s">
        <v>80</v>
      </c>
      <c r="BR697">
        <v>0</v>
      </c>
      <c r="BS697">
        <v>6</v>
      </c>
      <c r="BU697" s="1">
        <v>73535</v>
      </c>
    </row>
    <row r="698" spans="1:73" x14ac:dyDescent="0.3">
      <c r="A698" t="s">
        <v>4571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147070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5</v>
      </c>
      <c r="BC698" s="1">
        <v>313932</v>
      </c>
      <c r="BD698" t="s">
        <v>74</v>
      </c>
      <c r="BE698" t="s">
        <v>4572</v>
      </c>
      <c r="BF698" t="s">
        <v>4573</v>
      </c>
      <c r="BH698" t="s">
        <v>77</v>
      </c>
      <c r="BI698" t="s">
        <v>78</v>
      </c>
      <c r="BJ698" t="s">
        <v>79</v>
      </c>
      <c r="BM698">
        <v>1</v>
      </c>
      <c r="BN698">
        <v>0</v>
      </c>
      <c r="BO698">
        <v>1</v>
      </c>
      <c r="BP698" t="s">
        <v>80</v>
      </c>
      <c r="BR698">
        <v>0</v>
      </c>
      <c r="BS698">
        <v>6</v>
      </c>
      <c r="BU698" s="1">
        <v>147070</v>
      </c>
    </row>
    <row r="699" spans="1:73" x14ac:dyDescent="0.3">
      <c r="A699" t="s">
        <v>794</v>
      </c>
      <c r="B699">
        <v>7</v>
      </c>
      <c r="C699">
        <v>2838718</v>
      </c>
      <c r="D699">
        <v>1</v>
      </c>
      <c r="E699">
        <v>108773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12</v>
      </c>
      <c r="BC699" s="1">
        <v>3413127</v>
      </c>
      <c r="BD699" t="s">
        <v>74</v>
      </c>
      <c r="BE699" t="s">
        <v>795</v>
      </c>
      <c r="BF699" t="s">
        <v>796</v>
      </c>
      <c r="BH699" t="s">
        <v>77</v>
      </c>
      <c r="BI699" t="s">
        <v>92</v>
      </c>
      <c r="BJ699" t="s">
        <v>79</v>
      </c>
      <c r="BM699">
        <v>0</v>
      </c>
      <c r="BN699">
        <v>2</v>
      </c>
      <c r="BO699">
        <v>2</v>
      </c>
      <c r="BP699" t="s">
        <v>80</v>
      </c>
      <c r="BR699">
        <v>0</v>
      </c>
      <c r="BS699">
        <v>6</v>
      </c>
      <c r="BU699" s="1">
        <v>2947491</v>
      </c>
    </row>
    <row r="700" spans="1:73" x14ac:dyDescent="0.3">
      <c r="A700" t="s">
        <v>4546</v>
      </c>
      <c r="B700">
        <v>1</v>
      </c>
      <c r="C700">
        <v>247350</v>
      </c>
      <c r="D700">
        <v>1</v>
      </c>
      <c r="E700">
        <v>384000</v>
      </c>
      <c r="F700">
        <v>0</v>
      </c>
      <c r="G700">
        <v>0</v>
      </c>
      <c r="H700">
        <v>4</v>
      </c>
      <c r="I700">
        <v>115613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73535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7</v>
      </c>
      <c r="BC700" s="1">
        <v>820498</v>
      </c>
      <c r="BD700" t="s">
        <v>74</v>
      </c>
      <c r="BE700" t="s">
        <v>4547</v>
      </c>
      <c r="BF700" t="s">
        <v>4548</v>
      </c>
      <c r="BH700" t="s">
        <v>77</v>
      </c>
      <c r="BI700" t="s">
        <v>204</v>
      </c>
      <c r="BJ700" t="s">
        <v>79</v>
      </c>
      <c r="BM700">
        <v>1</v>
      </c>
      <c r="BN700">
        <v>3</v>
      </c>
      <c r="BO700">
        <v>4</v>
      </c>
      <c r="BP700" t="s">
        <v>80</v>
      </c>
      <c r="BR700">
        <v>0</v>
      </c>
      <c r="BS700">
        <v>6</v>
      </c>
      <c r="BU700" s="1">
        <v>820498</v>
      </c>
    </row>
    <row r="701" spans="1:73" x14ac:dyDescent="0.3">
      <c r="A701" t="s">
        <v>2227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78585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 s="1">
        <v>78585</v>
      </c>
      <c r="BD701" t="s">
        <v>74</v>
      </c>
      <c r="BE701" t="s">
        <v>2228</v>
      </c>
      <c r="BF701" t="s">
        <v>2229</v>
      </c>
      <c r="BH701" t="s">
        <v>77</v>
      </c>
      <c r="BI701" t="s">
        <v>228</v>
      </c>
      <c r="BJ701" t="s">
        <v>79</v>
      </c>
      <c r="BM701">
        <v>1</v>
      </c>
      <c r="BN701">
        <v>0</v>
      </c>
      <c r="BO701">
        <v>1</v>
      </c>
      <c r="BP701" t="s">
        <v>80</v>
      </c>
      <c r="BR701">
        <v>0</v>
      </c>
      <c r="BS701">
        <v>0</v>
      </c>
      <c r="BU701" s="1">
        <v>78585</v>
      </c>
    </row>
    <row r="702" spans="1:73" x14ac:dyDescent="0.3">
      <c r="A702" t="s">
        <v>5615</v>
      </c>
      <c r="B702">
        <v>1</v>
      </c>
      <c r="C702">
        <v>230579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 s="1">
        <v>230579</v>
      </c>
      <c r="BD702" t="s">
        <v>74</v>
      </c>
      <c r="BE702" t="s">
        <v>5616</v>
      </c>
      <c r="BF702" t="s">
        <v>5617</v>
      </c>
      <c r="BH702" t="s">
        <v>77</v>
      </c>
      <c r="BI702" t="s">
        <v>593</v>
      </c>
      <c r="BJ702" t="s">
        <v>79</v>
      </c>
      <c r="BM702">
        <v>0</v>
      </c>
      <c r="BN702">
        <v>1</v>
      </c>
      <c r="BO702">
        <v>1</v>
      </c>
      <c r="BP702" t="s">
        <v>80</v>
      </c>
      <c r="BR702">
        <v>0</v>
      </c>
      <c r="BS702">
        <v>6</v>
      </c>
      <c r="BU702" s="1">
        <v>230579</v>
      </c>
    </row>
    <row r="703" spans="1:73" x14ac:dyDescent="0.3">
      <c r="A703" t="s">
        <v>4276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19792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 s="1">
        <v>19792</v>
      </c>
      <c r="BD703" t="s">
        <v>74</v>
      </c>
      <c r="BE703" t="s">
        <v>4277</v>
      </c>
      <c r="BF703" t="s">
        <v>4278</v>
      </c>
      <c r="BH703" t="s">
        <v>77</v>
      </c>
      <c r="BI703" t="s">
        <v>593</v>
      </c>
      <c r="BJ703" t="s">
        <v>79</v>
      </c>
      <c r="BM703">
        <v>1</v>
      </c>
      <c r="BN703">
        <v>0</v>
      </c>
      <c r="BO703">
        <v>1</v>
      </c>
      <c r="BP703" t="s">
        <v>80</v>
      </c>
      <c r="BR703">
        <v>0</v>
      </c>
      <c r="BS703">
        <v>6</v>
      </c>
      <c r="BU703" s="1">
        <v>19792</v>
      </c>
    </row>
    <row r="704" spans="1:73" x14ac:dyDescent="0.3">
      <c r="A704" t="s">
        <v>5569</v>
      </c>
      <c r="B704">
        <v>1</v>
      </c>
      <c r="C704">
        <v>376184</v>
      </c>
      <c r="D704">
        <v>2</v>
      </c>
      <c r="E704">
        <v>136365</v>
      </c>
      <c r="F704">
        <v>0</v>
      </c>
      <c r="G704">
        <v>0</v>
      </c>
      <c r="H704">
        <v>2</v>
      </c>
      <c r="I704">
        <v>40000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</v>
      </c>
      <c r="BC704" s="1">
        <v>648914</v>
      </c>
      <c r="BD704" t="s">
        <v>74</v>
      </c>
      <c r="BE704" t="s">
        <v>5570</v>
      </c>
      <c r="BF704" t="s">
        <v>5571</v>
      </c>
      <c r="BH704" t="s">
        <v>77</v>
      </c>
      <c r="BI704" t="s">
        <v>92</v>
      </c>
      <c r="BJ704" t="s">
        <v>79</v>
      </c>
      <c r="BM704">
        <v>0</v>
      </c>
      <c r="BN704">
        <v>3</v>
      </c>
      <c r="BO704">
        <v>3</v>
      </c>
      <c r="BP704" t="s">
        <v>80</v>
      </c>
      <c r="BR704">
        <v>0</v>
      </c>
      <c r="BS704">
        <v>6</v>
      </c>
      <c r="BU704" s="1">
        <v>552549</v>
      </c>
    </row>
    <row r="705" spans="1:73" x14ac:dyDescent="0.3">
      <c r="A705" t="s">
        <v>2353</v>
      </c>
      <c r="B705">
        <v>0</v>
      </c>
      <c r="C705">
        <v>0</v>
      </c>
      <c r="D705">
        <v>3</v>
      </c>
      <c r="E705">
        <v>399890</v>
      </c>
      <c r="F705">
        <v>0</v>
      </c>
      <c r="G705">
        <v>0</v>
      </c>
      <c r="H705">
        <v>6</v>
      </c>
      <c r="I705">
        <v>139780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8</v>
      </c>
      <c r="BC705" s="1">
        <v>839780</v>
      </c>
      <c r="BD705" t="s">
        <v>74</v>
      </c>
      <c r="BE705" t="s">
        <v>2354</v>
      </c>
      <c r="BF705" t="s">
        <v>2355</v>
      </c>
      <c r="BH705" t="s">
        <v>77</v>
      </c>
      <c r="BI705" t="s">
        <v>78</v>
      </c>
      <c r="BJ705" t="s">
        <v>79</v>
      </c>
      <c r="BM705">
        <v>0</v>
      </c>
      <c r="BN705">
        <v>2</v>
      </c>
      <c r="BO705">
        <v>2</v>
      </c>
      <c r="BP705" t="s">
        <v>80</v>
      </c>
      <c r="BR705">
        <v>0</v>
      </c>
      <c r="BS705">
        <v>6</v>
      </c>
      <c r="BU705" s="1">
        <v>539670</v>
      </c>
    </row>
    <row r="706" spans="1:73" x14ac:dyDescent="0.3">
      <c r="A706" t="s">
        <v>4077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73535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 s="1">
        <v>73535</v>
      </c>
      <c r="BD706" t="s">
        <v>74</v>
      </c>
      <c r="BE706" t="s">
        <v>4078</v>
      </c>
      <c r="BF706" t="s">
        <v>4079</v>
      </c>
      <c r="BH706" t="s">
        <v>77</v>
      </c>
      <c r="BI706" t="s">
        <v>204</v>
      </c>
      <c r="BJ706" t="s">
        <v>79</v>
      </c>
      <c r="BM706">
        <v>1</v>
      </c>
      <c r="BN706">
        <v>0</v>
      </c>
      <c r="BO706">
        <v>1</v>
      </c>
      <c r="BP706" t="s">
        <v>80</v>
      </c>
      <c r="BR706">
        <v>0</v>
      </c>
      <c r="BS706">
        <v>0</v>
      </c>
      <c r="BU706" s="1">
        <v>73535</v>
      </c>
    </row>
    <row r="707" spans="1:73" x14ac:dyDescent="0.3">
      <c r="A707" t="s">
        <v>4313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73535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</v>
      </c>
      <c r="BC707" s="1">
        <v>147070</v>
      </c>
      <c r="BD707" t="s">
        <v>74</v>
      </c>
      <c r="BE707" t="s">
        <v>4314</v>
      </c>
      <c r="BF707" t="s">
        <v>4315</v>
      </c>
      <c r="BH707" t="s">
        <v>77</v>
      </c>
      <c r="BI707" t="s">
        <v>92</v>
      </c>
      <c r="BJ707" t="s">
        <v>79</v>
      </c>
      <c r="BM707">
        <v>1</v>
      </c>
      <c r="BN707">
        <v>0</v>
      </c>
      <c r="BO707">
        <v>1</v>
      </c>
      <c r="BP707" t="s">
        <v>80</v>
      </c>
      <c r="BR707">
        <v>0</v>
      </c>
      <c r="BS707">
        <v>6</v>
      </c>
      <c r="BU707" s="1">
        <v>73535</v>
      </c>
    </row>
    <row r="708" spans="1:73" x14ac:dyDescent="0.3">
      <c r="A708" t="s">
        <v>5242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78585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2</v>
      </c>
      <c r="BC708" s="1">
        <v>157170</v>
      </c>
      <c r="BD708" t="s">
        <v>74</v>
      </c>
      <c r="BE708" t="s">
        <v>5243</v>
      </c>
      <c r="BF708" t="s">
        <v>5244</v>
      </c>
      <c r="BH708" t="s">
        <v>77</v>
      </c>
      <c r="BI708" t="s">
        <v>228</v>
      </c>
      <c r="BJ708" t="s">
        <v>79</v>
      </c>
      <c r="BM708">
        <v>1</v>
      </c>
      <c r="BN708">
        <v>0</v>
      </c>
      <c r="BO708">
        <v>1</v>
      </c>
      <c r="BP708" t="s">
        <v>80</v>
      </c>
      <c r="BR708">
        <v>0</v>
      </c>
      <c r="BS708">
        <v>6</v>
      </c>
      <c r="BU708" s="1">
        <v>78585</v>
      </c>
    </row>
    <row r="709" spans="1:73" x14ac:dyDescent="0.3">
      <c r="A709" t="s">
        <v>2792</v>
      </c>
      <c r="B709">
        <v>0</v>
      </c>
      <c r="C709">
        <v>0</v>
      </c>
      <c r="D709">
        <v>1</v>
      </c>
      <c r="E709">
        <v>340000</v>
      </c>
      <c r="F709">
        <v>0</v>
      </c>
      <c r="G709">
        <v>0</v>
      </c>
      <c r="H709">
        <v>2</v>
      </c>
      <c r="I709">
        <v>40000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42000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</v>
      </c>
      <c r="BC709" s="1">
        <v>422000</v>
      </c>
      <c r="BD709" t="s">
        <v>74</v>
      </c>
      <c r="BE709" t="s">
        <v>2793</v>
      </c>
      <c r="BF709" t="s">
        <v>2794</v>
      </c>
      <c r="BH709" t="s">
        <v>77</v>
      </c>
      <c r="BI709" t="s">
        <v>92</v>
      </c>
      <c r="BM709">
        <v>0</v>
      </c>
      <c r="BN709">
        <v>3</v>
      </c>
      <c r="BO709">
        <v>3</v>
      </c>
      <c r="BP709" t="s">
        <v>80</v>
      </c>
      <c r="BR709">
        <v>0</v>
      </c>
      <c r="BS709">
        <v>6</v>
      </c>
      <c r="BU709" s="1">
        <v>422000</v>
      </c>
    </row>
    <row r="710" spans="1:73" x14ac:dyDescent="0.3">
      <c r="A710" t="s">
        <v>2101</v>
      </c>
      <c r="B710">
        <v>2</v>
      </c>
      <c r="C710">
        <v>189990</v>
      </c>
      <c r="D710">
        <v>1</v>
      </c>
      <c r="E710">
        <v>150000</v>
      </c>
      <c r="F710">
        <v>0</v>
      </c>
      <c r="G710">
        <v>0</v>
      </c>
      <c r="H710">
        <v>2</v>
      </c>
      <c r="I710">
        <v>20000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6</v>
      </c>
      <c r="BC710" s="1">
        <v>509990</v>
      </c>
      <c r="BD710" t="s">
        <v>74</v>
      </c>
      <c r="BE710" t="s">
        <v>2102</v>
      </c>
      <c r="BF710" t="s">
        <v>2103</v>
      </c>
      <c r="BH710" t="s">
        <v>136</v>
      </c>
      <c r="BI710" t="s">
        <v>333</v>
      </c>
      <c r="BJ710" t="s">
        <v>125</v>
      </c>
      <c r="BM710">
        <v>0</v>
      </c>
      <c r="BN710">
        <v>3</v>
      </c>
      <c r="BO710">
        <v>3</v>
      </c>
      <c r="BP710" t="s">
        <v>80</v>
      </c>
      <c r="BR710">
        <v>0</v>
      </c>
      <c r="BS710">
        <v>6</v>
      </c>
      <c r="BU710" s="1">
        <v>359990</v>
      </c>
    </row>
    <row r="711" spans="1:73" x14ac:dyDescent="0.3">
      <c r="A711" t="s">
        <v>3354</v>
      </c>
      <c r="B711">
        <v>0</v>
      </c>
      <c r="C711">
        <v>0</v>
      </c>
      <c r="D711">
        <v>1</v>
      </c>
      <c r="E711">
        <v>500000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2</v>
      </c>
      <c r="BC711" s="1">
        <v>1000000</v>
      </c>
      <c r="BD711" t="s">
        <v>74</v>
      </c>
      <c r="BE711" t="s">
        <v>3355</v>
      </c>
      <c r="BF711" t="s">
        <v>3356</v>
      </c>
      <c r="BH711" t="s">
        <v>136</v>
      </c>
      <c r="BI711" t="s">
        <v>137</v>
      </c>
      <c r="BJ711" t="s">
        <v>125</v>
      </c>
      <c r="BM711">
        <v>0</v>
      </c>
      <c r="BN711">
        <v>1</v>
      </c>
      <c r="BO711">
        <v>1</v>
      </c>
      <c r="BP711" t="s">
        <v>80</v>
      </c>
      <c r="BR711">
        <v>0</v>
      </c>
      <c r="BS711">
        <v>6</v>
      </c>
      <c r="BU711" s="1">
        <v>500000</v>
      </c>
    </row>
    <row r="712" spans="1:73" x14ac:dyDescent="0.3">
      <c r="A712" t="s">
        <v>3802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19792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 s="1">
        <v>19792</v>
      </c>
      <c r="BD712" t="s">
        <v>74</v>
      </c>
      <c r="BE712" t="s">
        <v>3803</v>
      </c>
      <c r="BF712" t="s">
        <v>3804</v>
      </c>
      <c r="BH712" t="s">
        <v>77</v>
      </c>
      <c r="BI712" t="s">
        <v>92</v>
      </c>
      <c r="BJ712" t="s">
        <v>79</v>
      </c>
      <c r="BM712">
        <v>1</v>
      </c>
      <c r="BN712">
        <v>0</v>
      </c>
      <c r="BO712">
        <v>1</v>
      </c>
      <c r="BP712" t="s">
        <v>80</v>
      </c>
      <c r="BR712">
        <v>0</v>
      </c>
      <c r="BS712">
        <v>0</v>
      </c>
      <c r="BU712" s="1">
        <v>19792</v>
      </c>
    </row>
    <row r="713" spans="1:73" x14ac:dyDescent="0.3">
      <c r="A713" t="s">
        <v>3887</v>
      </c>
      <c r="B713">
        <v>0</v>
      </c>
      <c r="C713">
        <v>0</v>
      </c>
      <c r="D713">
        <v>1</v>
      </c>
      <c r="E713">
        <v>184000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2</v>
      </c>
      <c r="BC713" s="1">
        <v>368000</v>
      </c>
      <c r="BD713" t="s">
        <v>74</v>
      </c>
      <c r="BE713" t="s">
        <v>3888</v>
      </c>
      <c r="BF713" t="s">
        <v>3889</v>
      </c>
      <c r="BH713" t="s">
        <v>77</v>
      </c>
      <c r="BI713" t="s">
        <v>92</v>
      </c>
      <c r="BJ713" t="s">
        <v>79</v>
      </c>
      <c r="BM713">
        <v>0</v>
      </c>
      <c r="BN713">
        <v>1</v>
      </c>
      <c r="BO713">
        <v>1</v>
      </c>
      <c r="BP713" t="s">
        <v>80</v>
      </c>
      <c r="BR713">
        <v>0</v>
      </c>
      <c r="BS713">
        <v>6</v>
      </c>
      <c r="BU713" s="1">
        <v>184000</v>
      </c>
    </row>
    <row r="714" spans="1:73" x14ac:dyDescent="0.3">
      <c r="A714" t="s">
        <v>5353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73535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</v>
      </c>
      <c r="BC714" s="1">
        <v>147070</v>
      </c>
      <c r="BD714" t="s">
        <v>74</v>
      </c>
      <c r="BE714" t="s">
        <v>5354</v>
      </c>
      <c r="BF714" t="s">
        <v>5355</v>
      </c>
      <c r="BH714" t="s">
        <v>77</v>
      </c>
      <c r="BI714" t="s">
        <v>84</v>
      </c>
      <c r="BJ714" t="s">
        <v>79</v>
      </c>
      <c r="BM714">
        <v>1</v>
      </c>
      <c r="BN714">
        <v>0</v>
      </c>
      <c r="BO714">
        <v>1</v>
      </c>
      <c r="BP714" t="s">
        <v>80</v>
      </c>
      <c r="BR714">
        <v>0</v>
      </c>
      <c r="BS714">
        <v>6</v>
      </c>
      <c r="BU714" s="1">
        <v>73535</v>
      </c>
    </row>
    <row r="715" spans="1:73" x14ac:dyDescent="0.3">
      <c r="A715" t="s">
        <v>2713</v>
      </c>
      <c r="B715">
        <v>0</v>
      </c>
      <c r="C715">
        <v>0</v>
      </c>
      <c r="D715">
        <v>1</v>
      </c>
      <c r="E715">
        <v>230000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57000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4</v>
      </c>
      <c r="BC715" s="1">
        <v>574000</v>
      </c>
      <c r="BD715" t="s">
        <v>74</v>
      </c>
      <c r="BE715" t="s">
        <v>2714</v>
      </c>
      <c r="BF715" t="s">
        <v>2715</v>
      </c>
      <c r="BH715" t="s">
        <v>77</v>
      </c>
      <c r="BI715" t="s">
        <v>281</v>
      </c>
      <c r="BJ715" t="s">
        <v>79</v>
      </c>
      <c r="BM715">
        <v>0</v>
      </c>
      <c r="BN715">
        <v>2</v>
      </c>
      <c r="BO715">
        <v>2</v>
      </c>
      <c r="BP715" t="s">
        <v>80</v>
      </c>
      <c r="BR715">
        <v>0</v>
      </c>
      <c r="BS715">
        <v>6</v>
      </c>
      <c r="BU715" s="1">
        <v>287000</v>
      </c>
    </row>
    <row r="716" spans="1:73" x14ac:dyDescent="0.3">
      <c r="A716" t="s">
        <v>3665</v>
      </c>
      <c r="B716">
        <v>4</v>
      </c>
      <c r="C716">
        <v>594886</v>
      </c>
      <c r="D716">
        <v>2</v>
      </c>
      <c r="E716">
        <v>207779</v>
      </c>
      <c r="F716">
        <v>0</v>
      </c>
      <c r="G716">
        <v>0</v>
      </c>
      <c r="H716">
        <v>11</v>
      </c>
      <c r="I716">
        <v>293326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8334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17</v>
      </c>
      <c r="BC716" s="1">
        <v>1060182</v>
      </c>
      <c r="BD716" t="s">
        <v>74</v>
      </c>
      <c r="BE716" t="s">
        <v>3666</v>
      </c>
      <c r="BF716" t="s">
        <v>3667</v>
      </c>
      <c r="BH716" t="s">
        <v>77</v>
      </c>
      <c r="BI716" t="s">
        <v>204</v>
      </c>
      <c r="BJ716" t="s">
        <v>79</v>
      </c>
      <c r="BM716">
        <v>1</v>
      </c>
      <c r="BN716">
        <v>3</v>
      </c>
      <c r="BO716">
        <v>4</v>
      </c>
      <c r="BP716" t="s">
        <v>80</v>
      </c>
      <c r="BR716">
        <v>0</v>
      </c>
      <c r="BS716">
        <v>6</v>
      </c>
      <c r="BU716" s="1">
        <v>1104325</v>
      </c>
    </row>
    <row r="717" spans="1:73" x14ac:dyDescent="0.3">
      <c r="A717" t="s">
        <v>188</v>
      </c>
      <c r="B717">
        <v>0</v>
      </c>
      <c r="C717">
        <v>0</v>
      </c>
      <c r="D717">
        <v>2</v>
      </c>
      <c r="E717">
        <v>290000</v>
      </c>
      <c r="F717">
        <v>0</v>
      </c>
      <c r="G717">
        <v>0</v>
      </c>
      <c r="H717">
        <v>2</v>
      </c>
      <c r="I717">
        <v>40000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4</v>
      </c>
      <c r="BC717" s="1">
        <v>580000</v>
      </c>
      <c r="BD717" t="s">
        <v>74</v>
      </c>
      <c r="BE717" t="s">
        <v>189</v>
      </c>
      <c r="BF717" t="s">
        <v>190</v>
      </c>
      <c r="BH717" t="s">
        <v>136</v>
      </c>
      <c r="BI717" t="s">
        <v>191</v>
      </c>
      <c r="BJ717" t="s">
        <v>125</v>
      </c>
      <c r="BM717">
        <v>0</v>
      </c>
      <c r="BN717">
        <v>2</v>
      </c>
      <c r="BO717">
        <v>2</v>
      </c>
      <c r="BP717" t="s">
        <v>80</v>
      </c>
      <c r="BR717">
        <v>0</v>
      </c>
      <c r="BS717">
        <v>6</v>
      </c>
      <c r="BU717" s="1">
        <v>330000</v>
      </c>
    </row>
    <row r="718" spans="1:73" x14ac:dyDescent="0.3">
      <c r="A718" t="s">
        <v>4104</v>
      </c>
      <c r="B718">
        <v>0</v>
      </c>
      <c r="C718">
        <v>0</v>
      </c>
      <c r="D718">
        <v>1</v>
      </c>
      <c r="E718">
        <v>285600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43523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4394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6</v>
      </c>
      <c r="BC718" s="1">
        <v>667034</v>
      </c>
      <c r="BD718" t="s">
        <v>74</v>
      </c>
      <c r="BE718" t="s">
        <v>4105</v>
      </c>
      <c r="BF718" t="s">
        <v>4106</v>
      </c>
      <c r="BH718" t="s">
        <v>77</v>
      </c>
      <c r="BI718" t="s">
        <v>204</v>
      </c>
      <c r="BJ718" t="s">
        <v>79</v>
      </c>
      <c r="BM718">
        <v>2</v>
      </c>
      <c r="BN718">
        <v>1</v>
      </c>
      <c r="BO718">
        <v>3</v>
      </c>
      <c r="BP718" t="s">
        <v>80</v>
      </c>
      <c r="BR718">
        <v>0</v>
      </c>
      <c r="BS718">
        <v>6</v>
      </c>
      <c r="BU718" s="1">
        <v>333517</v>
      </c>
    </row>
    <row r="719" spans="1:73" x14ac:dyDescent="0.3">
      <c r="A719" t="s">
        <v>2365</v>
      </c>
      <c r="B719">
        <v>0</v>
      </c>
      <c r="C719">
        <v>0</v>
      </c>
      <c r="D719">
        <v>2</v>
      </c>
      <c r="E719">
        <v>260000</v>
      </c>
      <c r="F719">
        <v>0</v>
      </c>
      <c r="G719">
        <v>0</v>
      </c>
      <c r="H719">
        <v>3</v>
      </c>
      <c r="I719">
        <v>60000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6</v>
      </c>
      <c r="BC719" s="1">
        <v>567272</v>
      </c>
      <c r="BD719" t="s">
        <v>74</v>
      </c>
      <c r="BE719" t="s">
        <v>2366</v>
      </c>
      <c r="BF719" t="s">
        <v>2367</v>
      </c>
      <c r="BH719" t="s">
        <v>77</v>
      </c>
      <c r="BI719" t="s">
        <v>204</v>
      </c>
      <c r="BJ719" t="s">
        <v>79</v>
      </c>
      <c r="BM719">
        <v>0</v>
      </c>
      <c r="BN719">
        <v>2</v>
      </c>
      <c r="BO719">
        <v>2</v>
      </c>
      <c r="BP719" t="s">
        <v>80</v>
      </c>
      <c r="BR719">
        <v>0</v>
      </c>
      <c r="BS719">
        <v>6</v>
      </c>
      <c r="BU719" s="1">
        <v>320000</v>
      </c>
    </row>
    <row r="720" spans="1:73" x14ac:dyDescent="0.3">
      <c r="A720" t="s">
        <v>3143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8000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 s="1">
        <v>8000</v>
      </c>
      <c r="BD720" t="s">
        <v>74</v>
      </c>
      <c r="BE720" t="s">
        <v>3144</v>
      </c>
      <c r="BF720" t="s">
        <v>3145</v>
      </c>
      <c r="BH720" t="s">
        <v>77</v>
      </c>
      <c r="BI720" t="s">
        <v>204</v>
      </c>
      <c r="BJ720" t="s">
        <v>79</v>
      </c>
      <c r="BM720">
        <v>1</v>
      </c>
      <c r="BN720">
        <v>0</v>
      </c>
      <c r="BO720">
        <v>1</v>
      </c>
      <c r="BP720" t="s">
        <v>80</v>
      </c>
      <c r="BR720">
        <v>0</v>
      </c>
      <c r="BS720">
        <v>0</v>
      </c>
      <c r="BU720" s="1">
        <v>8000</v>
      </c>
    </row>
    <row r="721" spans="1:73" x14ac:dyDescent="0.3">
      <c r="A721" t="s">
        <v>5006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78585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 s="1">
        <v>78585</v>
      </c>
      <c r="BD721" t="s">
        <v>74</v>
      </c>
      <c r="BE721" t="s">
        <v>5007</v>
      </c>
      <c r="BF721" t="s">
        <v>5008</v>
      </c>
      <c r="BH721" t="s">
        <v>77</v>
      </c>
      <c r="BI721" t="s">
        <v>281</v>
      </c>
      <c r="BJ721" t="s">
        <v>79</v>
      </c>
      <c r="BM721">
        <v>1</v>
      </c>
      <c r="BN721">
        <v>0</v>
      </c>
      <c r="BO721">
        <v>1</v>
      </c>
      <c r="BP721" t="s">
        <v>80</v>
      </c>
      <c r="BR721">
        <v>0</v>
      </c>
      <c r="BS721">
        <v>0</v>
      </c>
      <c r="BU721" s="1">
        <v>78585</v>
      </c>
    </row>
    <row r="722" spans="1:73" x14ac:dyDescent="0.3">
      <c r="A722" t="s">
        <v>4110</v>
      </c>
      <c r="B722">
        <v>0</v>
      </c>
      <c r="C722">
        <v>0</v>
      </c>
      <c r="D722">
        <v>4</v>
      </c>
      <c r="E722">
        <v>1040000</v>
      </c>
      <c r="F722">
        <v>0</v>
      </c>
      <c r="G722">
        <v>0</v>
      </c>
      <c r="H722">
        <v>4</v>
      </c>
      <c r="I722">
        <v>80000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8</v>
      </c>
      <c r="BC722" s="1">
        <v>2080000</v>
      </c>
      <c r="BD722" t="s">
        <v>74</v>
      </c>
      <c r="BE722" t="s">
        <v>4111</v>
      </c>
      <c r="BF722" t="s">
        <v>4112</v>
      </c>
      <c r="BH722" t="s">
        <v>77</v>
      </c>
      <c r="BI722" t="s">
        <v>84</v>
      </c>
      <c r="BJ722" t="s">
        <v>79</v>
      </c>
      <c r="BM722">
        <v>0</v>
      </c>
      <c r="BN722">
        <v>2</v>
      </c>
      <c r="BO722">
        <v>2</v>
      </c>
      <c r="BP722" t="s">
        <v>80</v>
      </c>
      <c r="BR722">
        <v>0</v>
      </c>
      <c r="BS722">
        <v>6</v>
      </c>
      <c r="BU722" s="1">
        <v>1120000</v>
      </c>
    </row>
    <row r="723" spans="1:73" x14ac:dyDescent="0.3">
      <c r="A723" t="s">
        <v>5663</v>
      </c>
      <c r="B723">
        <v>0</v>
      </c>
      <c r="C723">
        <v>0</v>
      </c>
      <c r="D723">
        <v>1</v>
      </c>
      <c r="E723">
        <v>193200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2</v>
      </c>
      <c r="BC723" s="1">
        <v>386400</v>
      </c>
      <c r="BD723" t="s">
        <v>74</v>
      </c>
      <c r="BE723" t="s">
        <v>5664</v>
      </c>
      <c r="BF723" t="s">
        <v>5665</v>
      </c>
      <c r="BH723" t="s">
        <v>77</v>
      </c>
      <c r="BI723" t="s">
        <v>739</v>
      </c>
      <c r="BJ723" t="s">
        <v>79</v>
      </c>
      <c r="BM723">
        <v>0</v>
      </c>
      <c r="BN723">
        <v>1</v>
      </c>
      <c r="BO723">
        <v>1</v>
      </c>
      <c r="BP723" t="s">
        <v>80</v>
      </c>
      <c r="BR723">
        <v>0</v>
      </c>
      <c r="BS723">
        <v>6</v>
      </c>
      <c r="BU723" s="1">
        <v>193200</v>
      </c>
    </row>
    <row r="724" spans="1:73" x14ac:dyDescent="0.3">
      <c r="A724" t="s">
        <v>148</v>
      </c>
      <c r="B724">
        <v>0</v>
      </c>
      <c r="C724">
        <v>0</v>
      </c>
      <c r="D724">
        <v>1</v>
      </c>
      <c r="E724">
        <v>400000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 s="1">
        <v>400000</v>
      </c>
      <c r="BD724" t="s">
        <v>74</v>
      </c>
      <c r="BE724" t="s">
        <v>149</v>
      </c>
      <c r="BF724" t="s">
        <v>150</v>
      </c>
      <c r="BH724" t="s">
        <v>77</v>
      </c>
      <c r="BI724" t="s">
        <v>88</v>
      </c>
      <c r="BJ724" t="s">
        <v>79</v>
      </c>
      <c r="BM724">
        <v>0</v>
      </c>
      <c r="BN724">
        <v>1</v>
      </c>
      <c r="BO724">
        <v>1</v>
      </c>
      <c r="BP724" t="s">
        <v>80</v>
      </c>
      <c r="BR724">
        <v>0</v>
      </c>
      <c r="BS724">
        <v>6</v>
      </c>
      <c r="BU724" s="1">
        <v>400000</v>
      </c>
    </row>
    <row r="725" spans="1:73" x14ac:dyDescent="0.3">
      <c r="A725" t="s">
        <v>151</v>
      </c>
      <c r="B725">
        <v>0</v>
      </c>
      <c r="C725">
        <v>0</v>
      </c>
      <c r="D725">
        <v>1</v>
      </c>
      <c r="E725">
        <v>28496</v>
      </c>
      <c r="F725">
        <v>0</v>
      </c>
      <c r="G725">
        <v>0</v>
      </c>
      <c r="H725">
        <v>4</v>
      </c>
      <c r="I725">
        <v>96992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5</v>
      </c>
      <c r="BC725" s="1">
        <v>496992</v>
      </c>
      <c r="BD725" t="s">
        <v>74</v>
      </c>
      <c r="BE725" t="s">
        <v>152</v>
      </c>
      <c r="BF725" t="s">
        <v>153</v>
      </c>
      <c r="BH725" t="s">
        <v>77</v>
      </c>
      <c r="BI725" t="s">
        <v>88</v>
      </c>
      <c r="BJ725" t="s">
        <v>79</v>
      </c>
      <c r="BM725">
        <v>0</v>
      </c>
      <c r="BN725">
        <v>2</v>
      </c>
      <c r="BO725">
        <v>2</v>
      </c>
      <c r="BP725" t="s">
        <v>80</v>
      </c>
      <c r="BR725">
        <v>0</v>
      </c>
      <c r="BS725">
        <v>6</v>
      </c>
      <c r="BU725" s="1">
        <v>125488</v>
      </c>
    </row>
    <row r="726" spans="1:73" x14ac:dyDescent="0.3">
      <c r="A726" t="s">
        <v>743</v>
      </c>
      <c r="B726">
        <v>0</v>
      </c>
      <c r="C726">
        <v>0</v>
      </c>
      <c r="D726">
        <v>2</v>
      </c>
      <c r="E726">
        <v>899999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3</v>
      </c>
      <c r="BC726" s="1">
        <v>1131427</v>
      </c>
      <c r="BD726" t="s">
        <v>74</v>
      </c>
      <c r="BE726" t="s">
        <v>744</v>
      </c>
      <c r="BF726" t="s">
        <v>745</v>
      </c>
      <c r="BH726" t="s">
        <v>77</v>
      </c>
      <c r="BI726" t="s">
        <v>574</v>
      </c>
      <c r="BJ726" t="s">
        <v>79</v>
      </c>
      <c r="BM726">
        <v>0</v>
      </c>
      <c r="BN726">
        <v>1</v>
      </c>
      <c r="BO726">
        <v>1</v>
      </c>
      <c r="BP726" t="s">
        <v>80</v>
      </c>
      <c r="BR726">
        <v>0</v>
      </c>
      <c r="BS726">
        <v>6</v>
      </c>
      <c r="BU726" s="1">
        <v>899999</v>
      </c>
    </row>
    <row r="727" spans="1:73" x14ac:dyDescent="0.3">
      <c r="A727" t="s">
        <v>968</v>
      </c>
      <c r="B727">
        <v>0</v>
      </c>
      <c r="C727">
        <v>0</v>
      </c>
      <c r="D727">
        <v>1</v>
      </c>
      <c r="E727">
        <v>2000000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 s="1">
        <v>2000000</v>
      </c>
      <c r="BD727" t="s">
        <v>74</v>
      </c>
      <c r="BE727" t="s">
        <v>969</v>
      </c>
      <c r="BF727" t="s">
        <v>970</v>
      </c>
      <c r="BH727" t="s">
        <v>77</v>
      </c>
      <c r="BI727" t="s">
        <v>84</v>
      </c>
      <c r="BJ727" t="s">
        <v>79</v>
      </c>
      <c r="BM727">
        <v>0</v>
      </c>
      <c r="BN727">
        <v>1</v>
      </c>
      <c r="BO727">
        <v>1</v>
      </c>
      <c r="BP727" t="s">
        <v>80</v>
      </c>
      <c r="BR727">
        <v>0</v>
      </c>
      <c r="BS727">
        <v>6</v>
      </c>
      <c r="BU727" s="1">
        <v>2000000</v>
      </c>
    </row>
    <row r="728" spans="1:73" x14ac:dyDescent="0.3">
      <c r="A728" t="s">
        <v>4928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96439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2</v>
      </c>
      <c r="BC728" s="1">
        <v>192878</v>
      </c>
      <c r="BD728" t="s">
        <v>74</v>
      </c>
      <c r="BE728" t="s">
        <v>4929</v>
      </c>
      <c r="BF728" t="s">
        <v>4930</v>
      </c>
      <c r="BH728" t="s">
        <v>77</v>
      </c>
      <c r="BI728" t="s">
        <v>228</v>
      </c>
      <c r="BJ728" t="s">
        <v>79</v>
      </c>
      <c r="BM728">
        <v>1</v>
      </c>
      <c r="BN728">
        <v>0</v>
      </c>
      <c r="BO728">
        <v>1</v>
      </c>
      <c r="BP728" t="s">
        <v>80</v>
      </c>
      <c r="BR728">
        <v>0</v>
      </c>
      <c r="BS728">
        <v>6</v>
      </c>
      <c r="BU728" s="1">
        <v>96439</v>
      </c>
    </row>
    <row r="729" spans="1:73" x14ac:dyDescent="0.3">
      <c r="A729" t="s">
        <v>5711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78585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2</v>
      </c>
      <c r="BC729" s="1">
        <v>157170</v>
      </c>
      <c r="BD729" t="s">
        <v>74</v>
      </c>
      <c r="BE729" t="s">
        <v>5712</v>
      </c>
      <c r="BF729" t="s">
        <v>5713</v>
      </c>
      <c r="BH729" t="s">
        <v>77</v>
      </c>
      <c r="BI729" t="s">
        <v>88</v>
      </c>
      <c r="BJ729" t="s">
        <v>79</v>
      </c>
      <c r="BM729">
        <v>1</v>
      </c>
      <c r="BN729">
        <v>0</v>
      </c>
      <c r="BO729">
        <v>1</v>
      </c>
      <c r="BP729" t="s">
        <v>80</v>
      </c>
      <c r="BR729">
        <v>0</v>
      </c>
      <c r="BS729">
        <v>6</v>
      </c>
      <c r="BU729" s="1">
        <v>78585</v>
      </c>
    </row>
    <row r="730" spans="1:73" x14ac:dyDescent="0.3">
      <c r="A730" t="s">
        <v>3630</v>
      </c>
      <c r="B730">
        <v>1</v>
      </c>
      <c r="C730">
        <v>797944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 s="1">
        <v>797944</v>
      </c>
      <c r="BD730" t="s">
        <v>74</v>
      </c>
      <c r="BE730" t="s">
        <v>3631</v>
      </c>
      <c r="BF730" t="s">
        <v>3632</v>
      </c>
      <c r="BH730" t="s">
        <v>77</v>
      </c>
      <c r="BI730" t="s">
        <v>329</v>
      </c>
      <c r="BJ730" t="s">
        <v>79</v>
      </c>
      <c r="BM730">
        <v>0</v>
      </c>
      <c r="BN730">
        <v>1</v>
      </c>
      <c r="BO730">
        <v>1</v>
      </c>
      <c r="BP730" t="s">
        <v>80</v>
      </c>
      <c r="BR730">
        <v>0</v>
      </c>
      <c r="BS730">
        <v>0</v>
      </c>
      <c r="BU730" s="1">
        <v>797944</v>
      </c>
    </row>
    <row r="731" spans="1:73" x14ac:dyDescent="0.3">
      <c r="A731" t="s">
        <v>2842</v>
      </c>
      <c r="B731">
        <v>2</v>
      </c>
      <c r="C731">
        <v>572719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2</v>
      </c>
      <c r="BC731" s="1">
        <v>572719</v>
      </c>
      <c r="BD731" t="s">
        <v>74</v>
      </c>
      <c r="BE731" t="s">
        <v>2843</v>
      </c>
      <c r="BF731" t="s">
        <v>2844</v>
      </c>
      <c r="BH731" t="s">
        <v>77</v>
      </c>
      <c r="BI731" t="s">
        <v>574</v>
      </c>
      <c r="BJ731" t="s">
        <v>79</v>
      </c>
      <c r="BM731">
        <v>0</v>
      </c>
      <c r="BN731">
        <v>1</v>
      </c>
      <c r="BO731">
        <v>1</v>
      </c>
      <c r="BP731" t="s">
        <v>80</v>
      </c>
      <c r="BR731">
        <v>0</v>
      </c>
      <c r="BS731">
        <v>6</v>
      </c>
      <c r="BU731" s="1">
        <v>572719</v>
      </c>
    </row>
    <row r="732" spans="1:73" x14ac:dyDescent="0.3">
      <c r="A732" t="s">
        <v>3715</v>
      </c>
      <c r="B732">
        <v>1</v>
      </c>
      <c r="C732">
        <v>294390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 s="1">
        <v>294390</v>
      </c>
      <c r="BD732" t="s">
        <v>74</v>
      </c>
      <c r="BE732" t="s">
        <v>3716</v>
      </c>
      <c r="BF732" t="s">
        <v>3717</v>
      </c>
      <c r="BH732" t="s">
        <v>77</v>
      </c>
      <c r="BI732" t="s">
        <v>281</v>
      </c>
      <c r="BJ732" t="s">
        <v>79</v>
      </c>
      <c r="BM732">
        <v>0</v>
      </c>
      <c r="BN732">
        <v>1</v>
      </c>
      <c r="BO732">
        <v>1</v>
      </c>
      <c r="BP732" t="s">
        <v>80</v>
      </c>
      <c r="BR732">
        <v>0</v>
      </c>
      <c r="BS732">
        <v>6</v>
      </c>
      <c r="BU732" s="1">
        <v>294390</v>
      </c>
    </row>
    <row r="733" spans="1:73" x14ac:dyDescent="0.3">
      <c r="A733" t="s">
        <v>2271</v>
      </c>
      <c r="B733">
        <v>0</v>
      </c>
      <c r="C733">
        <v>0</v>
      </c>
      <c r="D733">
        <v>2</v>
      </c>
      <c r="E733">
        <v>530909</v>
      </c>
      <c r="F733">
        <v>0</v>
      </c>
      <c r="G733">
        <v>0</v>
      </c>
      <c r="H733">
        <v>1</v>
      </c>
      <c r="I733">
        <v>15000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6</v>
      </c>
      <c r="BC733" s="1">
        <v>1278216</v>
      </c>
      <c r="BD733" t="s">
        <v>74</v>
      </c>
      <c r="BE733" t="s">
        <v>2272</v>
      </c>
      <c r="BF733" t="s">
        <v>2273</v>
      </c>
      <c r="BH733" t="s">
        <v>175</v>
      </c>
      <c r="BI733" t="s">
        <v>646</v>
      </c>
      <c r="BJ733" t="s">
        <v>125</v>
      </c>
      <c r="BM733">
        <v>0</v>
      </c>
      <c r="BN733">
        <v>2</v>
      </c>
      <c r="BO733">
        <v>2</v>
      </c>
      <c r="BP733" t="s">
        <v>514</v>
      </c>
      <c r="BR733">
        <v>0</v>
      </c>
      <c r="BS733">
        <v>6</v>
      </c>
      <c r="BU733" s="1">
        <v>545909</v>
      </c>
    </row>
    <row r="734" spans="1:73" x14ac:dyDescent="0.3">
      <c r="A734" t="s">
        <v>997</v>
      </c>
      <c r="B734">
        <v>0</v>
      </c>
      <c r="C734">
        <v>0</v>
      </c>
      <c r="D734">
        <v>1</v>
      </c>
      <c r="E734">
        <v>230000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 s="1">
        <v>230000</v>
      </c>
      <c r="BD734" t="s">
        <v>74</v>
      </c>
      <c r="BE734" t="s">
        <v>998</v>
      </c>
      <c r="BF734" t="s">
        <v>999</v>
      </c>
      <c r="BH734" t="s">
        <v>77</v>
      </c>
      <c r="BI734" t="s">
        <v>78</v>
      </c>
      <c r="BJ734" t="s">
        <v>79</v>
      </c>
      <c r="BM734">
        <v>0</v>
      </c>
      <c r="BN734">
        <v>1</v>
      </c>
      <c r="BO734">
        <v>1</v>
      </c>
      <c r="BP734" t="s">
        <v>99</v>
      </c>
      <c r="BR734">
        <v>0</v>
      </c>
      <c r="BS734">
        <v>6</v>
      </c>
      <c r="BU734" s="1">
        <v>230000</v>
      </c>
    </row>
    <row r="735" spans="1:73" x14ac:dyDescent="0.3">
      <c r="A735" t="s">
        <v>3319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3</v>
      </c>
      <c r="I735">
        <v>65000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3</v>
      </c>
      <c r="BC735" s="1">
        <v>65000</v>
      </c>
      <c r="BD735" t="s">
        <v>74</v>
      </c>
      <c r="BE735" t="s">
        <v>3320</v>
      </c>
      <c r="BF735" t="s">
        <v>3321</v>
      </c>
      <c r="BH735" t="s">
        <v>77</v>
      </c>
      <c r="BI735" t="s">
        <v>593</v>
      </c>
      <c r="BJ735" t="s">
        <v>79</v>
      </c>
      <c r="BM735">
        <v>0</v>
      </c>
      <c r="BN735">
        <v>1</v>
      </c>
      <c r="BO735">
        <v>1</v>
      </c>
      <c r="BP735" t="s">
        <v>80</v>
      </c>
      <c r="BR735">
        <v>0</v>
      </c>
      <c r="BS735">
        <v>6</v>
      </c>
      <c r="BU735" s="1">
        <v>65000</v>
      </c>
    </row>
    <row r="736" spans="1:73" x14ac:dyDescent="0.3">
      <c r="A736" t="s">
        <v>5930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96439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 s="1">
        <v>96439</v>
      </c>
      <c r="BD736" t="s">
        <v>74</v>
      </c>
      <c r="BE736" t="s">
        <v>5931</v>
      </c>
      <c r="BF736" t="s">
        <v>5932</v>
      </c>
      <c r="BH736" t="s">
        <v>77</v>
      </c>
      <c r="BI736" t="s">
        <v>281</v>
      </c>
      <c r="BJ736" t="s">
        <v>79</v>
      </c>
      <c r="BM736">
        <v>1</v>
      </c>
      <c r="BN736">
        <v>0</v>
      </c>
      <c r="BO736">
        <v>1</v>
      </c>
      <c r="BP736" t="s">
        <v>80</v>
      </c>
      <c r="BR736">
        <v>0</v>
      </c>
      <c r="BS736">
        <v>6</v>
      </c>
      <c r="BU736" s="1">
        <v>96439</v>
      </c>
    </row>
    <row r="737" spans="1:73" x14ac:dyDescent="0.3">
      <c r="A737" t="s">
        <v>536</v>
      </c>
      <c r="B737">
        <v>0</v>
      </c>
      <c r="C737">
        <v>0</v>
      </c>
      <c r="D737">
        <v>4</v>
      </c>
      <c r="E737">
        <v>3670857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11</v>
      </c>
      <c r="BC737" s="1">
        <v>7902623</v>
      </c>
      <c r="BD737" t="s">
        <v>74</v>
      </c>
      <c r="BE737" t="s">
        <v>537</v>
      </c>
      <c r="BF737" t="s">
        <v>538</v>
      </c>
      <c r="BH737" t="s">
        <v>136</v>
      </c>
      <c r="BI737" t="s">
        <v>539</v>
      </c>
      <c r="BJ737" t="s">
        <v>125</v>
      </c>
      <c r="BM737">
        <v>0</v>
      </c>
      <c r="BN737">
        <v>1</v>
      </c>
      <c r="BO737">
        <v>1</v>
      </c>
      <c r="BP737" t="s">
        <v>99</v>
      </c>
      <c r="BR737">
        <v>0</v>
      </c>
      <c r="BS737">
        <v>6</v>
      </c>
      <c r="BU737" s="1">
        <v>3670857</v>
      </c>
    </row>
    <row r="738" spans="1:73" x14ac:dyDescent="0.3">
      <c r="A738" t="s">
        <v>1199</v>
      </c>
      <c r="B738">
        <v>0</v>
      </c>
      <c r="C738">
        <v>0</v>
      </c>
      <c r="D738">
        <v>1</v>
      </c>
      <c r="E738">
        <v>487500</v>
      </c>
      <c r="F738">
        <v>0</v>
      </c>
      <c r="G738">
        <v>0</v>
      </c>
      <c r="H738">
        <v>1</v>
      </c>
      <c r="I738">
        <v>20000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4</v>
      </c>
      <c r="BC738" s="1">
        <v>1852143</v>
      </c>
      <c r="BD738" t="s">
        <v>74</v>
      </c>
      <c r="BE738" t="s">
        <v>1200</v>
      </c>
      <c r="BF738" t="s">
        <v>1201</v>
      </c>
      <c r="BH738" t="s">
        <v>77</v>
      </c>
      <c r="BI738" t="s">
        <v>281</v>
      </c>
      <c r="BJ738" t="s">
        <v>79</v>
      </c>
      <c r="BM738">
        <v>0</v>
      </c>
      <c r="BN738">
        <v>2</v>
      </c>
      <c r="BO738">
        <v>2</v>
      </c>
      <c r="BP738" t="s">
        <v>80</v>
      </c>
      <c r="BR738">
        <v>0</v>
      </c>
      <c r="BS738">
        <v>6</v>
      </c>
      <c r="BU738" s="1">
        <v>507500</v>
      </c>
    </row>
    <row r="739" spans="1:73" x14ac:dyDescent="0.3">
      <c r="A739" t="s">
        <v>5876</v>
      </c>
      <c r="B739">
        <v>11</v>
      </c>
      <c r="C739">
        <v>3736804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11</v>
      </c>
      <c r="BC739" s="1">
        <v>3736804</v>
      </c>
      <c r="BD739" t="s">
        <v>74</v>
      </c>
      <c r="BE739" t="s">
        <v>5877</v>
      </c>
      <c r="BF739" t="s">
        <v>5878</v>
      </c>
      <c r="BM739">
        <v>0</v>
      </c>
      <c r="BN739">
        <v>1</v>
      </c>
      <c r="BO739">
        <v>1</v>
      </c>
      <c r="BP739" t="s">
        <v>80</v>
      </c>
      <c r="BR739">
        <v>0</v>
      </c>
      <c r="BS739">
        <v>6</v>
      </c>
      <c r="BU739" s="1">
        <v>3736804</v>
      </c>
    </row>
    <row r="740" spans="1:73" x14ac:dyDescent="0.3">
      <c r="A740" t="s">
        <v>1493</v>
      </c>
      <c r="B740">
        <v>0</v>
      </c>
      <c r="C740">
        <v>0</v>
      </c>
      <c r="D740">
        <v>1</v>
      </c>
      <c r="E740">
        <v>218182</v>
      </c>
      <c r="F740">
        <v>0</v>
      </c>
      <c r="G740">
        <v>0</v>
      </c>
      <c r="H740">
        <v>1</v>
      </c>
      <c r="I740">
        <v>20000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</v>
      </c>
      <c r="BC740" s="1">
        <v>238182</v>
      </c>
      <c r="BD740" t="s">
        <v>74</v>
      </c>
      <c r="BE740" t="s">
        <v>1494</v>
      </c>
      <c r="BF740" t="s">
        <v>1495</v>
      </c>
      <c r="BH740" t="s">
        <v>77</v>
      </c>
      <c r="BI740" t="s">
        <v>281</v>
      </c>
      <c r="BJ740" t="s">
        <v>79</v>
      </c>
      <c r="BM740">
        <v>0</v>
      </c>
      <c r="BN740">
        <v>2</v>
      </c>
      <c r="BO740">
        <v>2</v>
      </c>
      <c r="BP740" t="s">
        <v>80</v>
      </c>
      <c r="BR740">
        <v>0</v>
      </c>
      <c r="BS740">
        <v>6</v>
      </c>
      <c r="BU740" s="1">
        <v>238182</v>
      </c>
    </row>
    <row r="741" spans="1:73" x14ac:dyDescent="0.3">
      <c r="A741" t="s">
        <v>2798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73535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19792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4</v>
      </c>
      <c r="BC741" s="1">
        <v>186654</v>
      </c>
      <c r="BD741" t="s">
        <v>74</v>
      </c>
      <c r="BE741" t="s">
        <v>2799</v>
      </c>
      <c r="BF741" t="s">
        <v>1495</v>
      </c>
      <c r="BH741" t="s">
        <v>77</v>
      </c>
      <c r="BI741" t="s">
        <v>281</v>
      </c>
      <c r="BM741">
        <v>2</v>
      </c>
      <c r="BN741">
        <v>0</v>
      </c>
      <c r="BO741">
        <v>2</v>
      </c>
      <c r="BP741" t="s">
        <v>80</v>
      </c>
      <c r="BR741">
        <v>0</v>
      </c>
      <c r="BS741">
        <v>6</v>
      </c>
      <c r="BU741" s="1">
        <v>93327</v>
      </c>
    </row>
    <row r="742" spans="1:73" x14ac:dyDescent="0.3">
      <c r="A742" t="s">
        <v>4645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82993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20000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4</v>
      </c>
      <c r="BC742" s="1">
        <v>264571</v>
      </c>
      <c r="BD742" t="s">
        <v>74</v>
      </c>
      <c r="BE742" t="s">
        <v>4646</v>
      </c>
      <c r="BF742" t="s">
        <v>4647</v>
      </c>
      <c r="BH742" t="s">
        <v>77</v>
      </c>
      <c r="BI742" t="s">
        <v>593</v>
      </c>
      <c r="BJ742" t="s">
        <v>79</v>
      </c>
      <c r="BM742">
        <v>2</v>
      </c>
      <c r="BN742">
        <v>0</v>
      </c>
      <c r="BO742">
        <v>2</v>
      </c>
      <c r="BP742" t="s">
        <v>80</v>
      </c>
      <c r="BR742">
        <v>0</v>
      </c>
      <c r="BS742">
        <v>6</v>
      </c>
      <c r="BU742" s="1">
        <v>102993</v>
      </c>
    </row>
    <row r="743" spans="1:73" x14ac:dyDescent="0.3">
      <c r="A743" t="s">
        <v>461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47916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 s="1">
        <v>47916</v>
      </c>
      <c r="BD743" t="s">
        <v>74</v>
      </c>
      <c r="BE743" t="s">
        <v>462</v>
      </c>
      <c r="BF743" t="s">
        <v>463</v>
      </c>
      <c r="BH743" t="s">
        <v>77</v>
      </c>
      <c r="BI743" t="s">
        <v>92</v>
      </c>
      <c r="BJ743" t="s">
        <v>79</v>
      </c>
      <c r="BM743">
        <v>1</v>
      </c>
      <c r="BN743">
        <v>0</v>
      </c>
      <c r="BO743">
        <v>1</v>
      </c>
      <c r="BP743" t="s">
        <v>80</v>
      </c>
      <c r="BR743">
        <v>0</v>
      </c>
      <c r="BS743">
        <v>0</v>
      </c>
      <c r="BU743" s="1">
        <v>47916</v>
      </c>
    </row>
    <row r="744" spans="1:73" x14ac:dyDescent="0.3">
      <c r="A744" t="s">
        <v>4916</v>
      </c>
      <c r="B744">
        <v>0</v>
      </c>
      <c r="C744">
        <v>0</v>
      </c>
      <c r="D744">
        <v>2</v>
      </c>
      <c r="E744">
        <v>290000</v>
      </c>
      <c r="F744">
        <v>0</v>
      </c>
      <c r="G744">
        <v>0</v>
      </c>
      <c r="H744">
        <v>2</v>
      </c>
      <c r="I744">
        <v>40000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4</v>
      </c>
      <c r="BC744" s="1">
        <v>580000</v>
      </c>
      <c r="BD744" t="s">
        <v>74</v>
      </c>
      <c r="BE744" t="s">
        <v>4917</v>
      </c>
      <c r="BF744" t="s">
        <v>4918</v>
      </c>
      <c r="BH744" t="s">
        <v>77</v>
      </c>
      <c r="BI744" t="s">
        <v>593</v>
      </c>
      <c r="BJ744" t="s">
        <v>79</v>
      </c>
      <c r="BM744">
        <v>0</v>
      </c>
      <c r="BN744">
        <v>2</v>
      </c>
      <c r="BO744">
        <v>2</v>
      </c>
      <c r="BP744" t="s">
        <v>80</v>
      </c>
      <c r="BR744">
        <v>0</v>
      </c>
      <c r="BS744">
        <v>6</v>
      </c>
      <c r="BU744" s="1">
        <v>330000</v>
      </c>
    </row>
    <row r="745" spans="1:73" x14ac:dyDescent="0.3">
      <c r="A745" t="s">
        <v>2629</v>
      </c>
      <c r="B745">
        <v>0</v>
      </c>
      <c r="C745">
        <v>0</v>
      </c>
      <c r="D745">
        <v>20</v>
      </c>
      <c r="E745">
        <v>3752284</v>
      </c>
      <c r="F745">
        <v>0</v>
      </c>
      <c r="G745">
        <v>0</v>
      </c>
      <c r="H745">
        <v>34</v>
      </c>
      <c r="I745">
        <v>800696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41</v>
      </c>
      <c r="BC745" s="1">
        <v>9504568</v>
      </c>
      <c r="BD745" t="s">
        <v>74</v>
      </c>
      <c r="BE745" t="s">
        <v>2630</v>
      </c>
      <c r="BF745" t="s">
        <v>2631</v>
      </c>
      <c r="BH745" t="s">
        <v>77</v>
      </c>
      <c r="BI745" t="s">
        <v>84</v>
      </c>
      <c r="BJ745" t="s">
        <v>79</v>
      </c>
      <c r="BM745">
        <v>0</v>
      </c>
      <c r="BN745">
        <v>2</v>
      </c>
      <c r="BO745">
        <v>2</v>
      </c>
      <c r="BP745" t="s">
        <v>80</v>
      </c>
      <c r="BR745">
        <v>0</v>
      </c>
      <c r="BS745">
        <v>6</v>
      </c>
      <c r="BU745" s="1">
        <v>4552980</v>
      </c>
    </row>
    <row r="746" spans="1:73" x14ac:dyDescent="0.3">
      <c r="A746" t="s">
        <v>4630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73535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27778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</v>
      </c>
      <c r="BC746" s="1">
        <v>202626</v>
      </c>
      <c r="BD746" t="s">
        <v>74</v>
      </c>
      <c r="BE746" t="s">
        <v>4631</v>
      </c>
      <c r="BF746" t="s">
        <v>4632</v>
      </c>
      <c r="BH746" t="s">
        <v>77</v>
      </c>
      <c r="BI746" t="s">
        <v>84</v>
      </c>
      <c r="BJ746" t="s">
        <v>79</v>
      </c>
      <c r="BM746">
        <v>2</v>
      </c>
      <c r="BN746">
        <v>0</v>
      </c>
      <c r="BO746">
        <v>2</v>
      </c>
      <c r="BP746" t="s">
        <v>80</v>
      </c>
      <c r="BR746">
        <v>0</v>
      </c>
      <c r="BS746">
        <v>6</v>
      </c>
      <c r="BU746" s="1">
        <v>101313</v>
      </c>
    </row>
    <row r="747" spans="1:73" x14ac:dyDescent="0.3">
      <c r="A747" t="s">
        <v>5972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90909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2</v>
      </c>
      <c r="BC747" s="1">
        <v>181818</v>
      </c>
      <c r="BD747" t="s">
        <v>74</v>
      </c>
      <c r="BE747" t="s">
        <v>5973</v>
      </c>
      <c r="BF747" t="s">
        <v>5974</v>
      </c>
      <c r="BH747" t="s">
        <v>77</v>
      </c>
      <c r="BI747" t="s">
        <v>228</v>
      </c>
      <c r="BJ747" t="s">
        <v>79</v>
      </c>
      <c r="BM747">
        <v>1</v>
      </c>
      <c r="BN747">
        <v>0</v>
      </c>
      <c r="BO747">
        <v>1</v>
      </c>
      <c r="BP747" t="s">
        <v>80</v>
      </c>
      <c r="BR747">
        <v>0</v>
      </c>
      <c r="BS747">
        <v>6</v>
      </c>
      <c r="BU747" s="1">
        <v>90909</v>
      </c>
    </row>
    <row r="748" spans="1:73" x14ac:dyDescent="0.3">
      <c r="A748" t="s">
        <v>4498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7916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 s="1">
        <v>7916</v>
      </c>
      <c r="BD748" t="s">
        <v>74</v>
      </c>
      <c r="BE748" t="s">
        <v>4499</v>
      </c>
      <c r="BF748" t="s">
        <v>4500</v>
      </c>
      <c r="BH748" t="s">
        <v>77</v>
      </c>
      <c r="BI748" t="s">
        <v>228</v>
      </c>
      <c r="BJ748" t="s">
        <v>79</v>
      </c>
      <c r="BM748">
        <v>1</v>
      </c>
      <c r="BN748">
        <v>0</v>
      </c>
      <c r="BO748">
        <v>1</v>
      </c>
      <c r="BP748" t="s">
        <v>80</v>
      </c>
      <c r="BR748">
        <v>0</v>
      </c>
      <c r="BS748">
        <v>0</v>
      </c>
      <c r="BU748" s="1">
        <v>7916</v>
      </c>
    </row>
    <row r="749" spans="1:73" x14ac:dyDescent="0.3">
      <c r="A749" t="s">
        <v>3137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169974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</v>
      </c>
      <c r="BC749" s="1">
        <v>339948</v>
      </c>
      <c r="BD749" t="s">
        <v>74</v>
      </c>
      <c r="BE749" t="s">
        <v>3138</v>
      </c>
      <c r="BF749" t="s">
        <v>3139</v>
      </c>
      <c r="BH749" t="s">
        <v>77</v>
      </c>
      <c r="BI749" t="s">
        <v>92</v>
      </c>
      <c r="BJ749" t="s">
        <v>79</v>
      </c>
      <c r="BM749">
        <v>1</v>
      </c>
      <c r="BN749">
        <v>0</v>
      </c>
      <c r="BO749">
        <v>1</v>
      </c>
      <c r="BP749" t="s">
        <v>80</v>
      </c>
      <c r="BR749">
        <v>0</v>
      </c>
      <c r="BS749">
        <v>6</v>
      </c>
      <c r="BU749" s="1">
        <v>169974</v>
      </c>
    </row>
    <row r="750" spans="1:73" x14ac:dyDescent="0.3">
      <c r="A750" t="s">
        <v>4681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73535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2</v>
      </c>
      <c r="BC750" s="1">
        <v>147070</v>
      </c>
      <c r="BD750" t="s">
        <v>74</v>
      </c>
      <c r="BE750" t="s">
        <v>4682</v>
      </c>
      <c r="BF750" t="s">
        <v>4683</v>
      </c>
      <c r="BH750" t="s">
        <v>77</v>
      </c>
      <c r="BI750" t="s">
        <v>92</v>
      </c>
      <c r="BJ750" t="s">
        <v>79</v>
      </c>
      <c r="BM750">
        <v>1</v>
      </c>
      <c r="BN750">
        <v>0</v>
      </c>
      <c r="BO750">
        <v>1</v>
      </c>
      <c r="BP750" t="s">
        <v>80</v>
      </c>
      <c r="BR750">
        <v>0</v>
      </c>
      <c r="BS750">
        <v>6</v>
      </c>
      <c r="BU750" s="1">
        <v>73535</v>
      </c>
    </row>
    <row r="751" spans="1:73" x14ac:dyDescent="0.3">
      <c r="A751" t="s">
        <v>4922</v>
      </c>
      <c r="B751">
        <v>0</v>
      </c>
      <c r="C751">
        <v>0</v>
      </c>
      <c r="D751">
        <v>1</v>
      </c>
      <c r="E751">
        <v>327272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</v>
      </c>
      <c r="BC751" s="1">
        <v>654544</v>
      </c>
      <c r="BD751" t="s">
        <v>74</v>
      </c>
      <c r="BE751" t="s">
        <v>4923</v>
      </c>
      <c r="BF751" t="s">
        <v>4924</v>
      </c>
      <c r="BH751" t="s">
        <v>136</v>
      </c>
      <c r="BI751" t="s">
        <v>191</v>
      </c>
      <c r="BJ751" t="s">
        <v>125</v>
      </c>
      <c r="BM751">
        <v>0</v>
      </c>
      <c r="BN751">
        <v>1</v>
      </c>
      <c r="BO751">
        <v>1</v>
      </c>
      <c r="BP751" t="s">
        <v>80</v>
      </c>
      <c r="BR751">
        <v>0</v>
      </c>
      <c r="BS751">
        <v>6</v>
      </c>
      <c r="BU751" s="1">
        <v>327272</v>
      </c>
    </row>
    <row r="752" spans="1:73" x14ac:dyDescent="0.3">
      <c r="A752" t="s">
        <v>5176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78585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</v>
      </c>
      <c r="BC752" s="1">
        <v>157170</v>
      </c>
      <c r="BD752" t="s">
        <v>74</v>
      </c>
      <c r="BE752" t="s">
        <v>5177</v>
      </c>
      <c r="BF752" t="s">
        <v>5178</v>
      </c>
      <c r="BH752" t="s">
        <v>77</v>
      </c>
      <c r="BI752" t="s">
        <v>574</v>
      </c>
      <c r="BJ752" t="s">
        <v>79</v>
      </c>
      <c r="BM752">
        <v>1</v>
      </c>
      <c r="BN752">
        <v>0</v>
      </c>
      <c r="BO752">
        <v>1</v>
      </c>
      <c r="BP752" t="s">
        <v>80</v>
      </c>
      <c r="BR752">
        <v>0</v>
      </c>
      <c r="BS752">
        <v>6</v>
      </c>
      <c r="BU752" s="1">
        <v>78585</v>
      </c>
    </row>
    <row r="753" spans="1:73" x14ac:dyDescent="0.3">
      <c r="A753" t="s">
        <v>5558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39584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2</v>
      </c>
      <c r="BC753" s="1">
        <v>79168</v>
      </c>
      <c r="BD753" t="s">
        <v>74</v>
      </c>
      <c r="BE753" t="s">
        <v>5559</v>
      </c>
      <c r="BF753" t="s">
        <v>5560</v>
      </c>
      <c r="BH753" t="s">
        <v>77</v>
      </c>
      <c r="BI753" t="s">
        <v>593</v>
      </c>
      <c r="BJ753" t="s">
        <v>79</v>
      </c>
      <c r="BM753">
        <v>1</v>
      </c>
      <c r="BN753">
        <v>0</v>
      </c>
      <c r="BO753">
        <v>1</v>
      </c>
      <c r="BP753" t="s">
        <v>80</v>
      </c>
      <c r="BR753">
        <v>0</v>
      </c>
      <c r="BS753">
        <v>6</v>
      </c>
      <c r="BU753" s="1">
        <v>39584</v>
      </c>
    </row>
    <row r="754" spans="1:73" x14ac:dyDescent="0.3">
      <c r="A754" t="s">
        <v>1099</v>
      </c>
      <c r="B754">
        <v>0</v>
      </c>
      <c r="C754">
        <v>0</v>
      </c>
      <c r="D754">
        <v>1</v>
      </c>
      <c r="E754">
        <v>24000</v>
      </c>
      <c r="F754">
        <v>0</v>
      </c>
      <c r="G754">
        <v>0</v>
      </c>
      <c r="H754">
        <v>4</v>
      </c>
      <c r="I754">
        <v>100000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6</v>
      </c>
      <c r="BC754" s="1">
        <v>148000</v>
      </c>
      <c r="BD754" t="s">
        <v>74</v>
      </c>
      <c r="BE754" t="s">
        <v>1100</v>
      </c>
      <c r="BF754" t="s">
        <v>1101</v>
      </c>
      <c r="BH754" t="s">
        <v>77</v>
      </c>
      <c r="BI754" t="s">
        <v>204</v>
      </c>
      <c r="BJ754" t="s">
        <v>79</v>
      </c>
      <c r="BM754">
        <v>0</v>
      </c>
      <c r="BN754">
        <v>2</v>
      </c>
      <c r="BO754">
        <v>2</v>
      </c>
      <c r="BP754" t="s">
        <v>80</v>
      </c>
      <c r="BR754">
        <v>0</v>
      </c>
      <c r="BS754">
        <v>6</v>
      </c>
      <c r="BU754" s="1">
        <v>124000</v>
      </c>
    </row>
    <row r="755" spans="1:73" x14ac:dyDescent="0.3">
      <c r="A755" t="s">
        <v>5621</v>
      </c>
      <c r="B755">
        <v>1</v>
      </c>
      <c r="C755">
        <v>190012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96439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7916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5</v>
      </c>
      <c r="BC755" s="1">
        <v>398722</v>
      </c>
      <c r="BD755" t="s">
        <v>74</v>
      </c>
      <c r="BE755" t="s">
        <v>5622</v>
      </c>
      <c r="BF755" t="s">
        <v>5623</v>
      </c>
      <c r="BH755" t="s">
        <v>77</v>
      </c>
      <c r="BI755" t="s">
        <v>281</v>
      </c>
      <c r="BJ755" t="s">
        <v>79</v>
      </c>
      <c r="BM755">
        <v>2</v>
      </c>
      <c r="BN755">
        <v>1</v>
      </c>
      <c r="BO755">
        <v>3</v>
      </c>
      <c r="BP755" t="s">
        <v>80</v>
      </c>
      <c r="BR755">
        <v>0</v>
      </c>
      <c r="BS755">
        <v>6</v>
      </c>
      <c r="BU755" s="1">
        <v>294367</v>
      </c>
    </row>
    <row r="756" spans="1:73" x14ac:dyDescent="0.3">
      <c r="A756" t="s">
        <v>326</v>
      </c>
      <c r="B756">
        <v>0</v>
      </c>
      <c r="C756">
        <v>0</v>
      </c>
      <c r="D756">
        <v>7</v>
      </c>
      <c r="E756">
        <v>1366871</v>
      </c>
      <c r="F756">
        <v>0</v>
      </c>
      <c r="G756">
        <v>0</v>
      </c>
      <c r="H756">
        <v>6</v>
      </c>
      <c r="I756">
        <v>215028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13</v>
      </c>
      <c r="BC756" s="1">
        <v>2728385</v>
      </c>
      <c r="BD756" t="s">
        <v>74</v>
      </c>
      <c r="BE756" t="s">
        <v>327</v>
      </c>
      <c r="BF756" t="s">
        <v>328</v>
      </c>
      <c r="BH756" t="s">
        <v>77</v>
      </c>
      <c r="BI756" t="s">
        <v>329</v>
      </c>
      <c r="BJ756" t="s">
        <v>79</v>
      </c>
      <c r="BM756">
        <v>0</v>
      </c>
      <c r="BN756">
        <v>2</v>
      </c>
      <c r="BO756">
        <v>2</v>
      </c>
      <c r="BP756" t="s">
        <v>80</v>
      </c>
      <c r="BR756">
        <v>0</v>
      </c>
      <c r="BS756">
        <v>6</v>
      </c>
      <c r="BU756" s="1">
        <v>1581899</v>
      </c>
    </row>
    <row r="757" spans="1:73" x14ac:dyDescent="0.3">
      <c r="A757" t="s">
        <v>5884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19792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2</v>
      </c>
      <c r="BC757" s="1">
        <v>39584</v>
      </c>
      <c r="BD757" t="s">
        <v>74</v>
      </c>
      <c r="BE757" t="s">
        <v>5885</v>
      </c>
      <c r="BF757" t="s">
        <v>5886</v>
      </c>
      <c r="BH757" t="s">
        <v>77</v>
      </c>
      <c r="BI757" t="s">
        <v>88</v>
      </c>
      <c r="BJ757" t="s">
        <v>79</v>
      </c>
      <c r="BM757">
        <v>1</v>
      </c>
      <c r="BN757">
        <v>0</v>
      </c>
      <c r="BO757">
        <v>1</v>
      </c>
      <c r="BP757" t="s">
        <v>80</v>
      </c>
      <c r="BR757">
        <v>0</v>
      </c>
      <c r="BS757">
        <v>6</v>
      </c>
      <c r="BU757" s="1">
        <v>19792</v>
      </c>
    </row>
    <row r="758" spans="1:73" x14ac:dyDescent="0.3">
      <c r="A758" t="s">
        <v>4436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73535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2</v>
      </c>
      <c r="BC758" s="1">
        <v>147070</v>
      </c>
      <c r="BD758" t="s">
        <v>74</v>
      </c>
      <c r="BE758" t="s">
        <v>4437</v>
      </c>
      <c r="BF758" t="s">
        <v>4438</v>
      </c>
      <c r="BH758" t="s">
        <v>77</v>
      </c>
      <c r="BI758" t="s">
        <v>574</v>
      </c>
      <c r="BJ758" t="s">
        <v>79</v>
      </c>
      <c r="BM758">
        <v>1</v>
      </c>
      <c r="BN758">
        <v>0</v>
      </c>
      <c r="BO758">
        <v>1</v>
      </c>
      <c r="BP758" t="s">
        <v>80</v>
      </c>
      <c r="BR758">
        <v>0</v>
      </c>
      <c r="BS758">
        <v>0</v>
      </c>
      <c r="BU758" s="1">
        <v>73535</v>
      </c>
    </row>
    <row r="759" spans="1:73" x14ac:dyDescent="0.3">
      <c r="A759" t="s">
        <v>3958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73535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2</v>
      </c>
      <c r="BC759" s="1">
        <v>147070</v>
      </c>
      <c r="BD759" t="s">
        <v>74</v>
      </c>
      <c r="BE759" t="s">
        <v>3959</v>
      </c>
      <c r="BF759" t="s">
        <v>3960</v>
      </c>
      <c r="BH759" t="s">
        <v>77</v>
      </c>
      <c r="BI759" t="s">
        <v>593</v>
      </c>
      <c r="BJ759" t="s">
        <v>79</v>
      </c>
      <c r="BM759">
        <v>1</v>
      </c>
      <c r="BN759">
        <v>0</v>
      </c>
      <c r="BO759">
        <v>1</v>
      </c>
      <c r="BP759" t="s">
        <v>80</v>
      </c>
      <c r="BR759">
        <v>0</v>
      </c>
      <c r="BS759">
        <v>6</v>
      </c>
      <c r="BU759" s="1">
        <v>73535</v>
      </c>
    </row>
    <row r="760" spans="1:73" x14ac:dyDescent="0.3">
      <c r="A760" t="s">
        <v>2040</v>
      </c>
      <c r="B760">
        <v>1</v>
      </c>
      <c r="C760">
        <v>408029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 s="1">
        <v>408029</v>
      </c>
      <c r="BD760" t="s">
        <v>74</v>
      </c>
      <c r="BE760" t="s">
        <v>2041</v>
      </c>
      <c r="BF760" t="s">
        <v>2042</v>
      </c>
      <c r="BM760">
        <v>0</v>
      </c>
      <c r="BN760">
        <v>1</v>
      </c>
      <c r="BO760">
        <v>1</v>
      </c>
      <c r="BP760" t="s">
        <v>80</v>
      </c>
      <c r="BR760">
        <v>0</v>
      </c>
      <c r="BS760">
        <v>6</v>
      </c>
      <c r="BU760" s="1">
        <v>408029</v>
      </c>
    </row>
    <row r="761" spans="1:73" x14ac:dyDescent="0.3">
      <c r="A761" t="s">
        <v>2268</v>
      </c>
      <c r="B761">
        <v>0</v>
      </c>
      <c r="C761">
        <v>0</v>
      </c>
      <c r="D761">
        <v>1</v>
      </c>
      <c r="E761">
        <v>163636</v>
      </c>
      <c r="F761">
        <v>0</v>
      </c>
      <c r="G761">
        <v>0</v>
      </c>
      <c r="H761">
        <v>1</v>
      </c>
      <c r="I761">
        <v>28838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2</v>
      </c>
      <c r="BC761" s="1">
        <v>192474</v>
      </c>
      <c r="BD761" t="s">
        <v>74</v>
      </c>
      <c r="BE761" t="s">
        <v>2269</v>
      </c>
      <c r="BF761" t="s">
        <v>2270</v>
      </c>
      <c r="BH761" t="s">
        <v>77</v>
      </c>
      <c r="BI761" t="s">
        <v>204</v>
      </c>
      <c r="BJ761" t="s">
        <v>79</v>
      </c>
      <c r="BM761">
        <v>0</v>
      </c>
      <c r="BN761">
        <v>2</v>
      </c>
      <c r="BO761">
        <v>2</v>
      </c>
      <c r="BP761" t="s">
        <v>80</v>
      </c>
      <c r="BR761">
        <v>0</v>
      </c>
      <c r="BS761">
        <v>6</v>
      </c>
      <c r="BU761" s="1">
        <v>192474</v>
      </c>
    </row>
    <row r="762" spans="1:73" x14ac:dyDescent="0.3">
      <c r="A762" t="s">
        <v>4552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78585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2</v>
      </c>
      <c r="BC762" s="1">
        <v>157170</v>
      </c>
      <c r="BD762" t="s">
        <v>74</v>
      </c>
      <c r="BE762" t="s">
        <v>4553</v>
      </c>
      <c r="BF762" t="s">
        <v>4554</v>
      </c>
      <c r="BH762" t="s">
        <v>77</v>
      </c>
      <c r="BI762" t="s">
        <v>204</v>
      </c>
      <c r="BJ762" t="s">
        <v>79</v>
      </c>
      <c r="BM762">
        <v>1</v>
      </c>
      <c r="BN762">
        <v>0</v>
      </c>
      <c r="BO762">
        <v>1</v>
      </c>
      <c r="BP762" t="s">
        <v>80</v>
      </c>
      <c r="BR762">
        <v>0</v>
      </c>
      <c r="BS762">
        <v>6</v>
      </c>
      <c r="BU762" s="1">
        <v>78585</v>
      </c>
    </row>
    <row r="763" spans="1:73" x14ac:dyDescent="0.3">
      <c r="A763" t="s">
        <v>5822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73535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19792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4</v>
      </c>
      <c r="BC763" s="1">
        <v>186654</v>
      </c>
      <c r="BD763" t="s">
        <v>74</v>
      </c>
      <c r="BE763" t="s">
        <v>5823</v>
      </c>
      <c r="BF763" t="s">
        <v>4554</v>
      </c>
      <c r="BH763" t="s">
        <v>77</v>
      </c>
      <c r="BI763" t="s">
        <v>204</v>
      </c>
      <c r="BJ763" t="s">
        <v>79</v>
      </c>
      <c r="BM763">
        <v>2</v>
      </c>
      <c r="BN763">
        <v>0</v>
      </c>
      <c r="BO763">
        <v>2</v>
      </c>
      <c r="BP763" t="s">
        <v>80</v>
      </c>
      <c r="BR763">
        <v>0</v>
      </c>
      <c r="BS763">
        <v>6</v>
      </c>
      <c r="BU763" s="1">
        <v>93327</v>
      </c>
    </row>
    <row r="764" spans="1:73" x14ac:dyDescent="0.3">
      <c r="A764" t="s">
        <v>2861</v>
      </c>
      <c r="B764">
        <v>1</v>
      </c>
      <c r="C764">
        <v>528393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</v>
      </c>
      <c r="BC764" s="1">
        <v>528393</v>
      </c>
      <c r="BD764" t="s">
        <v>74</v>
      </c>
      <c r="BE764" t="s">
        <v>2862</v>
      </c>
      <c r="BF764" t="s">
        <v>2863</v>
      </c>
      <c r="BH764" t="s">
        <v>77</v>
      </c>
      <c r="BI764" t="s">
        <v>92</v>
      </c>
      <c r="BJ764" t="s">
        <v>79</v>
      </c>
      <c r="BM764">
        <v>0</v>
      </c>
      <c r="BN764">
        <v>1</v>
      </c>
      <c r="BO764">
        <v>1</v>
      </c>
      <c r="BP764" t="s">
        <v>80</v>
      </c>
      <c r="BR764">
        <v>0</v>
      </c>
      <c r="BS764">
        <v>6</v>
      </c>
      <c r="BU764" s="1">
        <v>528393</v>
      </c>
    </row>
    <row r="765" spans="1:73" x14ac:dyDescent="0.3">
      <c r="A765" t="s">
        <v>1178</v>
      </c>
      <c r="B765">
        <v>5</v>
      </c>
      <c r="C765">
        <v>1310852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5</v>
      </c>
      <c r="BC765" s="1">
        <v>1310852</v>
      </c>
      <c r="BD765" t="s">
        <v>74</v>
      </c>
      <c r="BE765" t="s">
        <v>1179</v>
      </c>
      <c r="BF765" t="s">
        <v>1180</v>
      </c>
      <c r="BH765" t="s">
        <v>77</v>
      </c>
      <c r="BI765" t="s">
        <v>574</v>
      </c>
      <c r="BJ765" t="s">
        <v>79</v>
      </c>
      <c r="BM765">
        <v>0</v>
      </c>
      <c r="BN765">
        <v>1</v>
      </c>
      <c r="BO765">
        <v>1</v>
      </c>
      <c r="BP765" t="s">
        <v>80</v>
      </c>
      <c r="BR765">
        <v>0</v>
      </c>
      <c r="BS765">
        <v>6</v>
      </c>
      <c r="BU765" s="1">
        <v>1310852</v>
      </c>
    </row>
    <row r="766" spans="1:73" x14ac:dyDescent="0.3">
      <c r="A766" t="s">
        <v>2432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73535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</v>
      </c>
      <c r="BC766" s="1">
        <v>225655</v>
      </c>
      <c r="BD766" t="s">
        <v>74</v>
      </c>
      <c r="BE766" t="s">
        <v>2433</v>
      </c>
      <c r="BF766" t="s">
        <v>2434</v>
      </c>
      <c r="BH766" t="s">
        <v>77</v>
      </c>
      <c r="BI766" t="s">
        <v>281</v>
      </c>
      <c r="BJ766" t="s">
        <v>79</v>
      </c>
      <c r="BM766">
        <v>1</v>
      </c>
      <c r="BN766">
        <v>0</v>
      </c>
      <c r="BO766">
        <v>1</v>
      </c>
      <c r="BP766" t="s">
        <v>80</v>
      </c>
      <c r="BR766">
        <v>0</v>
      </c>
      <c r="BS766">
        <v>0</v>
      </c>
      <c r="BU766" s="1">
        <v>73535</v>
      </c>
    </row>
    <row r="767" spans="1:73" x14ac:dyDescent="0.3">
      <c r="A767" t="s">
        <v>5003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78585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 s="1">
        <v>78585</v>
      </c>
      <c r="BD767" t="s">
        <v>74</v>
      </c>
      <c r="BE767" t="s">
        <v>5004</v>
      </c>
      <c r="BF767" t="s">
        <v>5005</v>
      </c>
      <c r="BH767" t="s">
        <v>77</v>
      </c>
      <c r="BI767" t="s">
        <v>720</v>
      </c>
      <c r="BJ767" t="s">
        <v>79</v>
      </c>
      <c r="BM767">
        <v>1</v>
      </c>
      <c r="BN767">
        <v>0</v>
      </c>
      <c r="BO767">
        <v>1</v>
      </c>
      <c r="BP767" t="s">
        <v>80</v>
      </c>
      <c r="BR767">
        <v>0</v>
      </c>
      <c r="BS767">
        <v>0</v>
      </c>
      <c r="BU767" s="1">
        <v>78585</v>
      </c>
    </row>
    <row r="768" spans="1:73" x14ac:dyDescent="0.3">
      <c r="A768" t="s">
        <v>4337</v>
      </c>
      <c r="B768">
        <v>1</v>
      </c>
      <c r="C768">
        <v>475760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 s="1">
        <v>475760</v>
      </c>
      <c r="BD768" t="s">
        <v>74</v>
      </c>
      <c r="BE768" t="s">
        <v>4338</v>
      </c>
      <c r="BF768" t="s">
        <v>4339</v>
      </c>
      <c r="BH768" t="s">
        <v>77</v>
      </c>
      <c r="BI768" t="s">
        <v>593</v>
      </c>
      <c r="BJ768" t="s">
        <v>79</v>
      </c>
      <c r="BM768">
        <v>0</v>
      </c>
      <c r="BN768">
        <v>1</v>
      </c>
      <c r="BO768">
        <v>1</v>
      </c>
      <c r="BP768" t="s">
        <v>80</v>
      </c>
      <c r="BR768">
        <v>0</v>
      </c>
      <c r="BS768">
        <v>6</v>
      </c>
      <c r="BU768" s="1">
        <v>475760</v>
      </c>
    </row>
    <row r="769" spans="1:73" x14ac:dyDescent="0.3">
      <c r="A769" t="s">
        <v>3466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4</v>
      </c>
      <c r="I769">
        <v>80000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19792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6</v>
      </c>
      <c r="BC769" s="1">
        <v>119584</v>
      </c>
      <c r="BD769" t="s">
        <v>74</v>
      </c>
      <c r="BE769" t="s">
        <v>3467</v>
      </c>
      <c r="BF769" t="s">
        <v>3468</v>
      </c>
      <c r="BH769" t="s">
        <v>77</v>
      </c>
      <c r="BI769" t="s">
        <v>78</v>
      </c>
      <c r="BJ769" t="s">
        <v>79</v>
      </c>
      <c r="BM769">
        <v>1</v>
      </c>
      <c r="BN769">
        <v>1</v>
      </c>
      <c r="BO769">
        <v>2</v>
      </c>
      <c r="BP769" t="s">
        <v>80</v>
      </c>
      <c r="BR769">
        <v>0</v>
      </c>
      <c r="BS769">
        <v>6</v>
      </c>
      <c r="BU769" s="1">
        <v>99792</v>
      </c>
    </row>
    <row r="770" spans="1:73" x14ac:dyDescent="0.3">
      <c r="A770" t="s">
        <v>3712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</v>
      </c>
      <c r="Z770">
        <v>152120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19792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5</v>
      </c>
      <c r="BC770" s="1">
        <v>265239</v>
      </c>
      <c r="BD770" t="s">
        <v>74</v>
      </c>
      <c r="BE770" t="s">
        <v>3713</v>
      </c>
      <c r="BF770" t="s">
        <v>3714</v>
      </c>
      <c r="BH770" t="s">
        <v>77</v>
      </c>
      <c r="BI770" t="s">
        <v>78</v>
      </c>
      <c r="BJ770" t="s">
        <v>79</v>
      </c>
      <c r="BM770">
        <v>2</v>
      </c>
      <c r="BN770">
        <v>0</v>
      </c>
      <c r="BO770">
        <v>2</v>
      </c>
      <c r="BP770" t="s">
        <v>80</v>
      </c>
      <c r="BR770">
        <v>0</v>
      </c>
      <c r="BS770">
        <v>6</v>
      </c>
      <c r="BU770" s="1">
        <v>171912</v>
      </c>
    </row>
    <row r="771" spans="1:73" x14ac:dyDescent="0.3">
      <c r="A771" t="s">
        <v>3070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73535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</v>
      </c>
      <c r="BC771" s="1">
        <v>152120</v>
      </c>
      <c r="BD771" t="s">
        <v>74</v>
      </c>
      <c r="BE771" t="s">
        <v>3071</v>
      </c>
      <c r="BF771" t="s">
        <v>3072</v>
      </c>
      <c r="BH771" t="s">
        <v>77</v>
      </c>
      <c r="BI771" t="s">
        <v>204</v>
      </c>
      <c r="BJ771" t="s">
        <v>79</v>
      </c>
      <c r="BM771">
        <v>1</v>
      </c>
      <c r="BN771">
        <v>0</v>
      </c>
      <c r="BO771">
        <v>1</v>
      </c>
      <c r="BP771" t="s">
        <v>80</v>
      </c>
      <c r="BR771">
        <v>0</v>
      </c>
      <c r="BS771">
        <v>0</v>
      </c>
      <c r="BU771" s="1">
        <v>73535</v>
      </c>
    </row>
    <row r="772" spans="1:73" x14ac:dyDescent="0.3">
      <c r="A772" t="s">
        <v>4609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73535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</v>
      </c>
      <c r="BC772" s="1">
        <v>147070</v>
      </c>
      <c r="BD772" t="s">
        <v>74</v>
      </c>
      <c r="BE772" t="s">
        <v>4610</v>
      </c>
      <c r="BF772" t="s">
        <v>4611</v>
      </c>
      <c r="BH772" t="s">
        <v>77</v>
      </c>
      <c r="BI772" t="s">
        <v>78</v>
      </c>
      <c r="BJ772" t="s">
        <v>79</v>
      </c>
      <c r="BM772">
        <v>1</v>
      </c>
      <c r="BN772">
        <v>0</v>
      </c>
      <c r="BO772">
        <v>1</v>
      </c>
      <c r="BP772" t="s">
        <v>80</v>
      </c>
      <c r="BR772">
        <v>0</v>
      </c>
      <c r="BS772">
        <v>0</v>
      </c>
      <c r="BU772" s="1">
        <v>73535</v>
      </c>
    </row>
    <row r="773" spans="1:73" x14ac:dyDescent="0.3">
      <c r="A773" t="s">
        <v>4606</v>
      </c>
      <c r="B773">
        <v>0</v>
      </c>
      <c r="C773">
        <v>0</v>
      </c>
      <c r="D773">
        <v>2</v>
      </c>
      <c r="E773">
        <v>219464</v>
      </c>
      <c r="F773">
        <v>0</v>
      </c>
      <c r="G773">
        <v>0</v>
      </c>
      <c r="H773">
        <v>2</v>
      </c>
      <c r="I773">
        <v>40746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4</v>
      </c>
      <c r="BC773" s="1">
        <v>438928</v>
      </c>
      <c r="BD773" t="s">
        <v>74</v>
      </c>
      <c r="BE773" t="s">
        <v>4607</v>
      </c>
      <c r="BF773" t="s">
        <v>4608</v>
      </c>
      <c r="BH773" t="s">
        <v>77</v>
      </c>
      <c r="BI773" t="s">
        <v>593</v>
      </c>
      <c r="BJ773" t="s">
        <v>79</v>
      </c>
      <c r="BM773">
        <v>0</v>
      </c>
      <c r="BN773">
        <v>2</v>
      </c>
      <c r="BO773">
        <v>2</v>
      </c>
      <c r="BP773" t="s">
        <v>80</v>
      </c>
      <c r="BR773">
        <v>0</v>
      </c>
      <c r="BS773">
        <v>6</v>
      </c>
      <c r="BU773" s="1">
        <v>260210</v>
      </c>
    </row>
    <row r="774" spans="1:73" x14ac:dyDescent="0.3">
      <c r="A774" t="s">
        <v>2795</v>
      </c>
      <c r="B774">
        <v>1</v>
      </c>
      <c r="C774">
        <v>263845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 s="1">
        <v>263845</v>
      </c>
      <c r="BD774" t="s">
        <v>74</v>
      </c>
      <c r="BE774" t="s">
        <v>2796</v>
      </c>
      <c r="BF774" t="s">
        <v>2797</v>
      </c>
      <c r="BH774" t="s">
        <v>77</v>
      </c>
      <c r="BI774" t="s">
        <v>204</v>
      </c>
      <c r="BJ774" t="s">
        <v>79</v>
      </c>
      <c r="BM774">
        <v>0</v>
      </c>
      <c r="BN774">
        <v>1</v>
      </c>
      <c r="BO774">
        <v>1</v>
      </c>
      <c r="BP774" t="s">
        <v>80</v>
      </c>
      <c r="BR774">
        <v>0</v>
      </c>
      <c r="BS774">
        <v>6</v>
      </c>
      <c r="BU774" s="1">
        <v>263845</v>
      </c>
    </row>
    <row r="775" spans="1:73" x14ac:dyDescent="0.3">
      <c r="A775" t="s">
        <v>5111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96439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 s="1">
        <v>96439</v>
      </c>
      <c r="BD775" t="s">
        <v>74</v>
      </c>
      <c r="BE775" t="s">
        <v>5112</v>
      </c>
      <c r="BF775" t="s">
        <v>5113</v>
      </c>
      <c r="BH775" t="s">
        <v>77</v>
      </c>
      <c r="BI775" t="s">
        <v>739</v>
      </c>
      <c r="BJ775" t="s">
        <v>79</v>
      </c>
      <c r="BM775">
        <v>1</v>
      </c>
      <c r="BN775">
        <v>0</v>
      </c>
      <c r="BO775">
        <v>1</v>
      </c>
      <c r="BP775" t="s">
        <v>80</v>
      </c>
      <c r="BR775">
        <v>0</v>
      </c>
      <c r="BS775">
        <v>6</v>
      </c>
      <c r="BU775" s="1">
        <v>96439</v>
      </c>
    </row>
    <row r="776" spans="1:73" x14ac:dyDescent="0.3">
      <c r="A776" t="s">
        <v>3554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45682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11526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4</v>
      </c>
      <c r="BC776" s="1">
        <v>114416</v>
      </c>
      <c r="BD776" t="s">
        <v>74</v>
      </c>
      <c r="BE776" t="s">
        <v>3555</v>
      </c>
      <c r="BF776" t="s">
        <v>3556</v>
      </c>
      <c r="BH776" t="s">
        <v>77</v>
      </c>
      <c r="BI776" t="s">
        <v>574</v>
      </c>
      <c r="BJ776" t="s">
        <v>79</v>
      </c>
      <c r="BM776">
        <v>2</v>
      </c>
      <c r="BN776">
        <v>0</v>
      </c>
      <c r="BO776">
        <v>2</v>
      </c>
      <c r="BP776" t="s">
        <v>80</v>
      </c>
      <c r="BR776">
        <v>0</v>
      </c>
      <c r="BS776">
        <v>6</v>
      </c>
      <c r="BU776" s="1">
        <v>57208</v>
      </c>
    </row>
    <row r="777" spans="1:73" x14ac:dyDescent="0.3">
      <c r="A777" t="s">
        <v>5887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78585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 s="1">
        <v>78585</v>
      </c>
      <c r="BD777" t="s">
        <v>74</v>
      </c>
      <c r="BE777" t="s">
        <v>5888</v>
      </c>
      <c r="BF777" t="s">
        <v>5889</v>
      </c>
      <c r="BH777" t="s">
        <v>77</v>
      </c>
      <c r="BI777" t="s">
        <v>574</v>
      </c>
      <c r="BJ777" t="s">
        <v>79</v>
      </c>
      <c r="BM777">
        <v>1</v>
      </c>
      <c r="BN777">
        <v>0</v>
      </c>
      <c r="BO777">
        <v>1</v>
      </c>
      <c r="BP777" t="s">
        <v>80</v>
      </c>
      <c r="BR777">
        <v>0</v>
      </c>
      <c r="BS777">
        <v>6</v>
      </c>
      <c r="BU777" s="1">
        <v>78585</v>
      </c>
    </row>
    <row r="778" spans="1:73" x14ac:dyDescent="0.3">
      <c r="A778" t="s">
        <v>3501</v>
      </c>
      <c r="B778">
        <v>0</v>
      </c>
      <c r="C778">
        <v>0</v>
      </c>
      <c r="D778">
        <v>1</v>
      </c>
      <c r="E778">
        <v>20000</v>
      </c>
      <c r="F778">
        <v>0</v>
      </c>
      <c r="G778">
        <v>0</v>
      </c>
      <c r="H778">
        <v>2</v>
      </c>
      <c r="I778">
        <v>40000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73535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4</v>
      </c>
      <c r="BC778" s="1">
        <v>192120</v>
      </c>
      <c r="BD778" t="s">
        <v>74</v>
      </c>
      <c r="BE778" t="s">
        <v>3502</v>
      </c>
      <c r="BF778" t="s">
        <v>3503</v>
      </c>
      <c r="BH778" t="s">
        <v>77</v>
      </c>
      <c r="BI778" t="s">
        <v>593</v>
      </c>
      <c r="BJ778" t="s">
        <v>79</v>
      </c>
      <c r="BM778">
        <v>1</v>
      </c>
      <c r="BN778">
        <v>2</v>
      </c>
      <c r="BO778">
        <v>3</v>
      </c>
      <c r="BP778" t="s">
        <v>80</v>
      </c>
      <c r="BR778">
        <v>0</v>
      </c>
      <c r="BS778">
        <v>6</v>
      </c>
      <c r="BU778" s="1">
        <v>133535</v>
      </c>
    </row>
    <row r="779" spans="1:73" x14ac:dyDescent="0.3">
      <c r="A779" t="s">
        <v>1824</v>
      </c>
      <c r="B779">
        <v>0</v>
      </c>
      <c r="C779">
        <v>0</v>
      </c>
      <c r="D779">
        <v>4</v>
      </c>
      <c r="E779">
        <v>593856</v>
      </c>
      <c r="F779">
        <v>0</v>
      </c>
      <c r="G779">
        <v>0</v>
      </c>
      <c r="H779">
        <v>2</v>
      </c>
      <c r="I779">
        <v>40000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68182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9</v>
      </c>
      <c r="BC779" s="1">
        <v>1125220</v>
      </c>
      <c r="BD779" t="s">
        <v>74</v>
      </c>
      <c r="BE779" t="s">
        <v>1825</v>
      </c>
      <c r="BF779" t="s">
        <v>1826</v>
      </c>
      <c r="BH779" t="s">
        <v>77</v>
      </c>
      <c r="BI779" t="s">
        <v>593</v>
      </c>
      <c r="BJ779" t="s">
        <v>79</v>
      </c>
      <c r="BM779">
        <v>0</v>
      </c>
      <c r="BN779">
        <v>3</v>
      </c>
      <c r="BO779">
        <v>3</v>
      </c>
      <c r="BP779" t="s">
        <v>80</v>
      </c>
      <c r="BR779">
        <v>0</v>
      </c>
      <c r="BS779">
        <v>6</v>
      </c>
      <c r="BU779" s="1">
        <v>702038</v>
      </c>
    </row>
    <row r="780" spans="1:73" x14ac:dyDescent="0.3">
      <c r="A780" t="s">
        <v>3748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78585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2</v>
      </c>
      <c r="BC780" s="1">
        <v>157170</v>
      </c>
      <c r="BD780" t="s">
        <v>74</v>
      </c>
      <c r="BE780" t="s">
        <v>3749</v>
      </c>
      <c r="BF780" t="s">
        <v>3750</v>
      </c>
      <c r="BH780" t="s">
        <v>77</v>
      </c>
      <c r="BI780" t="s">
        <v>204</v>
      </c>
      <c r="BJ780" t="s">
        <v>79</v>
      </c>
      <c r="BM780">
        <v>1</v>
      </c>
      <c r="BN780">
        <v>0</v>
      </c>
      <c r="BO780">
        <v>1</v>
      </c>
      <c r="BP780" t="s">
        <v>80</v>
      </c>
      <c r="BR780">
        <v>0</v>
      </c>
      <c r="BS780">
        <v>6</v>
      </c>
      <c r="BU780" s="1">
        <v>78585</v>
      </c>
    </row>
    <row r="781" spans="1:73" x14ac:dyDescent="0.3">
      <c r="A781" t="s">
        <v>3361</v>
      </c>
      <c r="B781">
        <v>5</v>
      </c>
      <c r="C781">
        <v>1258882</v>
      </c>
      <c r="D781">
        <v>1</v>
      </c>
      <c r="E781">
        <v>134400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</v>
      </c>
      <c r="Z781">
        <v>192878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9</v>
      </c>
      <c r="BC781" s="1">
        <v>1749796</v>
      </c>
      <c r="BD781" t="s">
        <v>74</v>
      </c>
      <c r="BE781" t="s">
        <v>3362</v>
      </c>
      <c r="BF781" t="s">
        <v>3363</v>
      </c>
      <c r="BH781" t="s">
        <v>77</v>
      </c>
      <c r="BI781" t="s">
        <v>204</v>
      </c>
      <c r="BJ781" t="s">
        <v>79</v>
      </c>
      <c r="BM781">
        <v>1</v>
      </c>
      <c r="BN781">
        <v>2</v>
      </c>
      <c r="BO781">
        <v>3</v>
      </c>
      <c r="BP781" t="s">
        <v>99</v>
      </c>
      <c r="BR781">
        <v>0</v>
      </c>
      <c r="BS781">
        <v>6</v>
      </c>
      <c r="BU781" s="1">
        <v>1586160</v>
      </c>
    </row>
    <row r="782" spans="1:73" x14ac:dyDescent="0.3">
      <c r="A782" t="s">
        <v>5752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73535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7916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4</v>
      </c>
      <c r="BC782" s="1">
        <v>162902</v>
      </c>
      <c r="BD782" t="s">
        <v>74</v>
      </c>
      <c r="BE782" t="s">
        <v>5753</v>
      </c>
      <c r="BF782" t="s">
        <v>5754</v>
      </c>
      <c r="BH782" t="s">
        <v>77</v>
      </c>
      <c r="BI782" t="s">
        <v>739</v>
      </c>
      <c r="BJ782" t="s">
        <v>79</v>
      </c>
      <c r="BM782">
        <v>2</v>
      </c>
      <c r="BN782">
        <v>0</v>
      </c>
      <c r="BO782">
        <v>2</v>
      </c>
      <c r="BP782" t="s">
        <v>80</v>
      </c>
      <c r="BR782">
        <v>0</v>
      </c>
      <c r="BS782">
        <v>6</v>
      </c>
      <c r="BU782" s="1">
        <v>81451</v>
      </c>
    </row>
    <row r="783" spans="1:73" x14ac:dyDescent="0.3">
      <c r="A783" t="s">
        <v>4031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2</v>
      </c>
      <c r="I783">
        <v>50000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2</v>
      </c>
      <c r="BC783" s="1">
        <v>50000</v>
      </c>
      <c r="BD783" t="s">
        <v>74</v>
      </c>
      <c r="BE783" t="s">
        <v>4032</v>
      </c>
      <c r="BF783" t="s">
        <v>4033</v>
      </c>
      <c r="BH783" t="s">
        <v>77</v>
      </c>
      <c r="BI783" t="s">
        <v>78</v>
      </c>
      <c r="BJ783" t="s">
        <v>79</v>
      </c>
      <c r="BM783">
        <v>0</v>
      </c>
      <c r="BN783">
        <v>1</v>
      </c>
      <c r="BO783">
        <v>1</v>
      </c>
      <c r="BP783" t="s">
        <v>80</v>
      </c>
      <c r="BR783">
        <v>0</v>
      </c>
      <c r="BS783">
        <v>6</v>
      </c>
      <c r="BU783" s="1">
        <v>50000</v>
      </c>
    </row>
    <row r="784" spans="1:73" x14ac:dyDescent="0.3">
      <c r="A784" t="s">
        <v>4531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82993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7916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3</v>
      </c>
      <c r="BC784" s="1">
        <v>173902</v>
      </c>
      <c r="BD784" t="s">
        <v>74</v>
      </c>
      <c r="BE784" t="s">
        <v>4532</v>
      </c>
      <c r="BF784" t="s">
        <v>4533</v>
      </c>
      <c r="BH784" t="s">
        <v>77</v>
      </c>
      <c r="BI784" t="s">
        <v>204</v>
      </c>
      <c r="BJ784" t="s">
        <v>79</v>
      </c>
      <c r="BM784">
        <v>2</v>
      </c>
      <c r="BN784">
        <v>0</v>
      </c>
      <c r="BO784">
        <v>2</v>
      </c>
      <c r="BP784" t="s">
        <v>80</v>
      </c>
      <c r="BR784">
        <v>0</v>
      </c>
      <c r="BS784">
        <v>6</v>
      </c>
      <c r="BU784" s="1">
        <v>90909</v>
      </c>
    </row>
    <row r="785" spans="1:73" x14ac:dyDescent="0.3">
      <c r="A785" t="s">
        <v>5691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96439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 s="1">
        <v>96439</v>
      </c>
      <c r="BD785" t="s">
        <v>74</v>
      </c>
      <c r="BE785" t="s">
        <v>5692</v>
      </c>
      <c r="BF785" t="s">
        <v>5693</v>
      </c>
      <c r="BH785" t="s">
        <v>77</v>
      </c>
      <c r="BI785" t="s">
        <v>574</v>
      </c>
      <c r="BJ785" t="s">
        <v>79</v>
      </c>
      <c r="BM785">
        <v>1</v>
      </c>
      <c r="BN785">
        <v>0</v>
      </c>
      <c r="BO785">
        <v>1</v>
      </c>
      <c r="BP785" t="s">
        <v>80</v>
      </c>
      <c r="BR785">
        <v>0</v>
      </c>
      <c r="BS785">
        <v>6</v>
      </c>
      <c r="BU785" s="1">
        <v>96439</v>
      </c>
    </row>
    <row r="786" spans="1:73" x14ac:dyDescent="0.3">
      <c r="A786" t="s">
        <v>4633</v>
      </c>
      <c r="B786">
        <v>0</v>
      </c>
      <c r="C786">
        <v>0</v>
      </c>
      <c r="D786">
        <v>1</v>
      </c>
      <c r="E786">
        <v>163636</v>
      </c>
      <c r="F786">
        <v>0</v>
      </c>
      <c r="G786">
        <v>0</v>
      </c>
      <c r="H786">
        <v>1</v>
      </c>
      <c r="I786">
        <v>20000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73535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4</v>
      </c>
      <c r="BC786" s="1">
        <v>330706</v>
      </c>
      <c r="BD786" t="s">
        <v>74</v>
      </c>
      <c r="BE786" t="s">
        <v>4634</v>
      </c>
      <c r="BF786" t="s">
        <v>4635</v>
      </c>
      <c r="BH786" t="s">
        <v>77</v>
      </c>
      <c r="BI786" t="s">
        <v>574</v>
      </c>
      <c r="BJ786" t="s">
        <v>79</v>
      </c>
      <c r="BM786">
        <v>1</v>
      </c>
      <c r="BN786">
        <v>2</v>
      </c>
      <c r="BO786">
        <v>3</v>
      </c>
      <c r="BP786" t="s">
        <v>80</v>
      </c>
      <c r="BR786">
        <v>0</v>
      </c>
      <c r="BS786">
        <v>6</v>
      </c>
      <c r="BU786" s="1">
        <v>257171</v>
      </c>
    </row>
    <row r="787" spans="1:73" x14ac:dyDescent="0.3">
      <c r="A787" t="s">
        <v>3316</v>
      </c>
      <c r="B787">
        <v>4</v>
      </c>
      <c r="C787">
        <v>1298117</v>
      </c>
      <c r="D787">
        <v>4</v>
      </c>
      <c r="E787">
        <v>660400</v>
      </c>
      <c r="F787">
        <v>0</v>
      </c>
      <c r="G787">
        <v>0</v>
      </c>
      <c r="H787">
        <v>4</v>
      </c>
      <c r="I787">
        <v>80000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73535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19792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15</v>
      </c>
      <c r="BC787" s="1">
        <v>2785779</v>
      </c>
      <c r="BD787" t="s">
        <v>74</v>
      </c>
      <c r="BE787" t="s">
        <v>3317</v>
      </c>
      <c r="BF787" t="s">
        <v>3318</v>
      </c>
      <c r="BH787" t="s">
        <v>136</v>
      </c>
      <c r="BI787" t="s">
        <v>333</v>
      </c>
      <c r="BJ787" t="s">
        <v>125</v>
      </c>
      <c r="BM787">
        <v>2</v>
      </c>
      <c r="BN787">
        <v>3</v>
      </c>
      <c r="BO787">
        <v>5</v>
      </c>
      <c r="BP787" t="s">
        <v>80</v>
      </c>
      <c r="BR787">
        <v>0</v>
      </c>
      <c r="BS787">
        <v>6</v>
      </c>
      <c r="BU787" s="1">
        <v>2131844</v>
      </c>
    </row>
    <row r="788" spans="1:73" x14ac:dyDescent="0.3">
      <c r="A788" t="s">
        <v>4594</v>
      </c>
      <c r="B788">
        <v>1</v>
      </c>
      <c r="C788">
        <v>187495</v>
      </c>
      <c r="D788">
        <v>1</v>
      </c>
      <c r="E788">
        <v>300000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73535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19792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6</v>
      </c>
      <c r="BC788" s="1">
        <v>674149</v>
      </c>
      <c r="BD788" t="s">
        <v>74</v>
      </c>
      <c r="BE788" t="s">
        <v>4595</v>
      </c>
      <c r="BF788" t="s">
        <v>4596</v>
      </c>
      <c r="BH788" t="s">
        <v>77</v>
      </c>
      <c r="BI788" t="s">
        <v>574</v>
      </c>
      <c r="BJ788" t="s">
        <v>79</v>
      </c>
      <c r="BM788">
        <v>2</v>
      </c>
      <c r="BN788">
        <v>2</v>
      </c>
      <c r="BO788">
        <v>4</v>
      </c>
      <c r="BP788" t="s">
        <v>80</v>
      </c>
      <c r="BR788">
        <v>0</v>
      </c>
      <c r="BS788">
        <v>6</v>
      </c>
      <c r="BU788" s="1">
        <v>580822</v>
      </c>
    </row>
    <row r="789" spans="1:73" x14ac:dyDescent="0.3">
      <c r="A789" t="s">
        <v>5864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78585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 s="1">
        <v>78585</v>
      </c>
      <c r="BD789" t="s">
        <v>74</v>
      </c>
      <c r="BE789" t="s">
        <v>5865</v>
      </c>
      <c r="BF789" t="s">
        <v>5866</v>
      </c>
      <c r="BH789" t="s">
        <v>77</v>
      </c>
      <c r="BI789" t="s">
        <v>593</v>
      </c>
      <c r="BJ789" t="s">
        <v>79</v>
      </c>
      <c r="BM789">
        <v>1</v>
      </c>
      <c r="BN789">
        <v>0</v>
      </c>
      <c r="BO789">
        <v>1</v>
      </c>
      <c r="BP789" t="s">
        <v>80</v>
      </c>
      <c r="BR789">
        <v>0</v>
      </c>
      <c r="BS789">
        <v>0</v>
      </c>
      <c r="BU789" s="1">
        <v>78585</v>
      </c>
    </row>
    <row r="790" spans="1:73" x14ac:dyDescent="0.3">
      <c r="A790" t="s">
        <v>3644</v>
      </c>
      <c r="B790">
        <v>0</v>
      </c>
      <c r="C790">
        <v>0</v>
      </c>
      <c r="D790">
        <v>1</v>
      </c>
      <c r="E790">
        <v>270000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 s="1">
        <v>270000</v>
      </c>
      <c r="BD790" t="s">
        <v>74</v>
      </c>
      <c r="BE790" t="s">
        <v>3645</v>
      </c>
      <c r="BF790" t="s">
        <v>3646</v>
      </c>
      <c r="BH790" t="s">
        <v>77</v>
      </c>
      <c r="BI790" t="s">
        <v>574</v>
      </c>
      <c r="BJ790" t="s">
        <v>79</v>
      </c>
      <c r="BM790">
        <v>0</v>
      </c>
      <c r="BN790">
        <v>1</v>
      </c>
      <c r="BO790">
        <v>1</v>
      </c>
      <c r="BP790" t="s">
        <v>80</v>
      </c>
      <c r="BR790">
        <v>0</v>
      </c>
      <c r="BS790">
        <v>6</v>
      </c>
      <c r="BU790" s="1">
        <v>270000</v>
      </c>
    </row>
    <row r="791" spans="1:73" x14ac:dyDescent="0.3">
      <c r="A791" t="s">
        <v>2884</v>
      </c>
      <c r="B791">
        <v>2</v>
      </c>
      <c r="C791">
        <v>103636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2</v>
      </c>
      <c r="BC791" s="1">
        <v>103636</v>
      </c>
      <c r="BD791" t="s">
        <v>74</v>
      </c>
      <c r="BE791" t="s">
        <v>2885</v>
      </c>
      <c r="BF791" t="s">
        <v>2886</v>
      </c>
      <c r="BH791" t="s">
        <v>77</v>
      </c>
      <c r="BI791" t="s">
        <v>204</v>
      </c>
      <c r="BJ791" t="s">
        <v>79</v>
      </c>
      <c r="BM791">
        <v>0</v>
      </c>
      <c r="BN791">
        <v>1</v>
      </c>
      <c r="BO791">
        <v>1</v>
      </c>
      <c r="BP791" t="s">
        <v>80</v>
      </c>
      <c r="BR791">
        <v>0</v>
      </c>
      <c r="BS791">
        <v>6</v>
      </c>
      <c r="BU791" s="1">
        <v>103636</v>
      </c>
    </row>
    <row r="792" spans="1:73" x14ac:dyDescent="0.3">
      <c r="A792" t="s">
        <v>2483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82993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2</v>
      </c>
      <c r="BC792" s="1">
        <v>165986</v>
      </c>
      <c r="BD792" t="s">
        <v>74</v>
      </c>
      <c r="BE792" t="s">
        <v>2484</v>
      </c>
      <c r="BF792" t="s">
        <v>2485</v>
      </c>
      <c r="BH792" t="s">
        <v>77</v>
      </c>
      <c r="BI792" t="s">
        <v>593</v>
      </c>
      <c r="BJ792" t="s">
        <v>79</v>
      </c>
      <c r="BM792">
        <v>1</v>
      </c>
      <c r="BN792">
        <v>0</v>
      </c>
      <c r="BO792">
        <v>1</v>
      </c>
      <c r="BP792" t="s">
        <v>80</v>
      </c>
      <c r="BR792">
        <v>0</v>
      </c>
      <c r="BS792">
        <v>0</v>
      </c>
      <c r="BU792" s="1">
        <v>82993</v>
      </c>
    </row>
    <row r="793" spans="1:73" x14ac:dyDescent="0.3">
      <c r="A793" t="s">
        <v>3261</v>
      </c>
      <c r="B793">
        <v>1</v>
      </c>
      <c r="C793">
        <v>235455</v>
      </c>
      <c r="D793">
        <v>3</v>
      </c>
      <c r="E793">
        <v>235627</v>
      </c>
      <c r="F793">
        <v>0</v>
      </c>
      <c r="G793">
        <v>0</v>
      </c>
      <c r="H793">
        <v>6</v>
      </c>
      <c r="I793">
        <v>124854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9</v>
      </c>
      <c r="BC793" s="1">
        <v>746709</v>
      </c>
      <c r="BD793" t="s">
        <v>74</v>
      </c>
      <c r="BE793" t="s">
        <v>3262</v>
      </c>
      <c r="BF793" t="s">
        <v>3263</v>
      </c>
      <c r="BH793" t="s">
        <v>123</v>
      </c>
      <c r="BI793" t="s">
        <v>288</v>
      </c>
      <c r="BJ793" t="s">
        <v>125</v>
      </c>
      <c r="BM793">
        <v>0</v>
      </c>
      <c r="BN793">
        <v>3</v>
      </c>
      <c r="BO793">
        <v>3</v>
      </c>
      <c r="BP793" t="s">
        <v>80</v>
      </c>
      <c r="BR793">
        <v>0</v>
      </c>
      <c r="BS793">
        <v>6</v>
      </c>
      <c r="BU793" s="1">
        <v>595936</v>
      </c>
    </row>
    <row r="794" spans="1:73" x14ac:dyDescent="0.3">
      <c r="A794" t="s">
        <v>212</v>
      </c>
      <c r="B794">
        <v>1</v>
      </c>
      <c r="C794">
        <v>54273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 s="1">
        <v>54273</v>
      </c>
      <c r="BD794" t="s">
        <v>74</v>
      </c>
      <c r="BE794" t="s">
        <v>213</v>
      </c>
      <c r="BF794" t="s">
        <v>214</v>
      </c>
      <c r="BM794">
        <v>0</v>
      </c>
      <c r="BN794">
        <v>1</v>
      </c>
      <c r="BO794">
        <v>1</v>
      </c>
      <c r="BP794" t="s">
        <v>80</v>
      </c>
      <c r="BR794">
        <v>0</v>
      </c>
      <c r="BS794">
        <v>6</v>
      </c>
      <c r="BU794" s="1">
        <v>54273</v>
      </c>
    </row>
    <row r="795" spans="1:73" x14ac:dyDescent="0.3">
      <c r="A795" t="s">
        <v>1776</v>
      </c>
      <c r="B795">
        <v>0</v>
      </c>
      <c r="C795">
        <v>0</v>
      </c>
      <c r="D795">
        <v>1</v>
      </c>
      <c r="E795">
        <v>350000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 s="1">
        <v>350000</v>
      </c>
      <c r="BD795" t="s">
        <v>74</v>
      </c>
      <c r="BE795" t="s">
        <v>1777</v>
      </c>
      <c r="BF795" t="s">
        <v>1778</v>
      </c>
      <c r="BH795" t="s">
        <v>77</v>
      </c>
      <c r="BI795" t="s">
        <v>204</v>
      </c>
      <c r="BJ795" t="s">
        <v>79</v>
      </c>
      <c r="BM795">
        <v>0</v>
      </c>
      <c r="BN795">
        <v>1</v>
      </c>
      <c r="BO795">
        <v>1</v>
      </c>
      <c r="BP795" t="s">
        <v>80</v>
      </c>
      <c r="BR795">
        <v>0</v>
      </c>
      <c r="BS795">
        <v>6</v>
      </c>
      <c r="BU795" s="1">
        <v>350000</v>
      </c>
    </row>
    <row r="796" spans="1:73" x14ac:dyDescent="0.3">
      <c r="A796" t="s">
        <v>3022</v>
      </c>
      <c r="B796">
        <v>1</v>
      </c>
      <c r="C796">
        <v>573481</v>
      </c>
      <c r="D796">
        <v>2</v>
      </c>
      <c r="E796">
        <v>214000</v>
      </c>
      <c r="F796">
        <v>0</v>
      </c>
      <c r="G796">
        <v>0</v>
      </c>
      <c r="H796">
        <v>2</v>
      </c>
      <c r="I796">
        <v>40000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8</v>
      </c>
      <c r="BC796" s="1">
        <v>1598909</v>
      </c>
      <c r="BD796" t="s">
        <v>74</v>
      </c>
      <c r="BE796" t="s">
        <v>3023</v>
      </c>
      <c r="BF796" t="s">
        <v>3024</v>
      </c>
      <c r="BH796" t="s">
        <v>77</v>
      </c>
      <c r="BI796" t="s">
        <v>204</v>
      </c>
      <c r="BJ796" t="s">
        <v>79</v>
      </c>
      <c r="BM796">
        <v>0</v>
      </c>
      <c r="BN796">
        <v>3</v>
      </c>
      <c r="BO796">
        <v>3</v>
      </c>
      <c r="BP796" t="s">
        <v>80</v>
      </c>
      <c r="BR796">
        <v>0</v>
      </c>
      <c r="BS796">
        <v>6</v>
      </c>
      <c r="BU796" s="1">
        <v>827481</v>
      </c>
    </row>
    <row r="797" spans="1:73" x14ac:dyDescent="0.3">
      <c r="A797" t="s">
        <v>4464</v>
      </c>
      <c r="B797">
        <v>0</v>
      </c>
      <c r="C797">
        <v>107273</v>
      </c>
      <c r="D797">
        <v>1</v>
      </c>
      <c r="E797">
        <v>163636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73535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19792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4</v>
      </c>
      <c r="BC797" s="1">
        <v>437771</v>
      </c>
      <c r="BD797" t="s">
        <v>74</v>
      </c>
      <c r="BE797" t="s">
        <v>4465</v>
      </c>
      <c r="BF797" t="s">
        <v>3024</v>
      </c>
      <c r="BH797" t="s">
        <v>77</v>
      </c>
      <c r="BI797" t="s">
        <v>204</v>
      </c>
      <c r="BJ797" t="s">
        <v>79</v>
      </c>
      <c r="BM797">
        <v>2</v>
      </c>
      <c r="BN797">
        <v>1</v>
      </c>
      <c r="BO797">
        <v>3</v>
      </c>
      <c r="BP797" t="s">
        <v>80</v>
      </c>
      <c r="BR797">
        <v>0</v>
      </c>
      <c r="BS797">
        <v>6</v>
      </c>
      <c r="BU797" s="1">
        <v>364236</v>
      </c>
    </row>
    <row r="798" spans="1:73" x14ac:dyDescent="0.3">
      <c r="A798" t="s">
        <v>5065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73535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2</v>
      </c>
      <c r="BC798" s="1">
        <v>81451</v>
      </c>
      <c r="BD798" t="s">
        <v>74</v>
      </c>
      <c r="BE798" t="s">
        <v>5066</v>
      </c>
      <c r="BF798" t="s">
        <v>5067</v>
      </c>
      <c r="BH798" t="s">
        <v>77</v>
      </c>
      <c r="BI798" t="s">
        <v>204</v>
      </c>
      <c r="BJ798" t="s">
        <v>79</v>
      </c>
      <c r="BM798">
        <v>1</v>
      </c>
      <c r="BN798">
        <v>0</v>
      </c>
      <c r="BO798">
        <v>1</v>
      </c>
      <c r="BP798" t="s">
        <v>80</v>
      </c>
      <c r="BR798">
        <v>0</v>
      </c>
      <c r="BS798">
        <v>6</v>
      </c>
      <c r="BU798" s="1">
        <v>73535</v>
      </c>
    </row>
    <row r="799" spans="1:73" x14ac:dyDescent="0.3">
      <c r="A799" t="s">
        <v>4063</v>
      </c>
      <c r="B799">
        <v>0</v>
      </c>
      <c r="C799">
        <v>0</v>
      </c>
      <c r="D799">
        <v>1</v>
      </c>
      <c r="E799">
        <v>20000</v>
      </c>
      <c r="F799">
        <v>0</v>
      </c>
      <c r="G799">
        <v>0</v>
      </c>
      <c r="H799">
        <v>1</v>
      </c>
      <c r="I799">
        <v>20000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73535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3</v>
      </c>
      <c r="BC799" s="1">
        <v>167070</v>
      </c>
      <c r="BD799" t="s">
        <v>74</v>
      </c>
      <c r="BE799" t="s">
        <v>4064</v>
      </c>
      <c r="BF799" t="s">
        <v>4065</v>
      </c>
      <c r="BH799" t="s">
        <v>77</v>
      </c>
      <c r="BI799" t="s">
        <v>78</v>
      </c>
      <c r="BJ799" t="s">
        <v>79</v>
      </c>
      <c r="BM799">
        <v>1</v>
      </c>
      <c r="BN799">
        <v>2</v>
      </c>
      <c r="BO799">
        <v>3</v>
      </c>
      <c r="BP799" t="s">
        <v>80</v>
      </c>
      <c r="BR799">
        <v>0</v>
      </c>
      <c r="BS799">
        <v>6</v>
      </c>
      <c r="BU799" s="1">
        <v>113535</v>
      </c>
    </row>
    <row r="800" spans="1:73" x14ac:dyDescent="0.3">
      <c r="A800" t="s">
        <v>1619</v>
      </c>
      <c r="B800">
        <v>4</v>
      </c>
      <c r="C800">
        <v>1230673</v>
      </c>
      <c r="D800">
        <v>3</v>
      </c>
      <c r="E800">
        <v>382724</v>
      </c>
      <c r="F800">
        <v>0</v>
      </c>
      <c r="G800">
        <v>0</v>
      </c>
      <c r="H800">
        <v>2</v>
      </c>
      <c r="I800">
        <v>40000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19792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11</v>
      </c>
      <c r="BC800" s="1">
        <v>2015913</v>
      </c>
      <c r="BD800" t="s">
        <v>74</v>
      </c>
      <c r="BE800" t="s">
        <v>1620</v>
      </c>
      <c r="BF800" t="s">
        <v>1621</v>
      </c>
      <c r="BH800" t="s">
        <v>77</v>
      </c>
      <c r="BI800" t="s">
        <v>204</v>
      </c>
      <c r="BJ800" t="s">
        <v>79</v>
      </c>
      <c r="BM800">
        <v>1</v>
      </c>
      <c r="BN800">
        <v>3</v>
      </c>
      <c r="BO800">
        <v>4</v>
      </c>
      <c r="BP800" t="s">
        <v>80</v>
      </c>
      <c r="BR800">
        <v>0</v>
      </c>
      <c r="BS800">
        <v>6</v>
      </c>
      <c r="BU800" s="1">
        <v>1673189</v>
      </c>
    </row>
    <row r="801" spans="1:73" x14ac:dyDescent="0.3">
      <c r="A801" t="s">
        <v>4448</v>
      </c>
      <c r="B801">
        <v>0</v>
      </c>
      <c r="C801">
        <v>0</v>
      </c>
      <c r="D801">
        <v>1</v>
      </c>
      <c r="E801">
        <v>231428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</v>
      </c>
      <c r="BC801" s="1">
        <v>231428</v>
      </c>
      <c r="BD801" t="s">
        <v>74</v>
      </c>
      <c r="BE801" t="s">
        <v>4449</v>
      </c>
      <c r="BF801" t="s">
        <v>4450</v>
      </c>
      <c r="BH801" t="s">
        <v>77</v>
      </c>
      <c r="BI801" t="s">
        <v>593</v>
      </c>
      <c r="BJ801" t="s">
        <v>79</v>
      </c>
      <c r="BM801">
        <v>0</v>
      </c>
      <c r="BN801">
        <v>1</v>
      </c>
      <c r="BO801">
        <v>1</v>
      </c>
      <c r="BP801" t="s">
        <v>80</v>
      </c>
      <c r="BR801">
        <v>0</v>
      </c>
      <c r="BS801">
        <v>6</v>
      </c>
      <c r="BU801" s="1">
        <v>231428</v>
      </c>
    </row>
    <row r="802" spans="1:73" x14ac:dyDescent="0.3">
      <c r="A802" t="s">
        <v>2294</v>
      </c>
      <c r="B802">
        <v>0</v>
      </c>
      <c r="C802">
        <v>0</v>
      </c>
      <c r="D802">
        <v>1</v>
      </c>
      <c r="E802">
        <v>700000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2</v>
      </c>
      <c r="BC802" s="1">
        <v>1400000</v>
      </c>
      <c r="BD802" t="s">
        <v>74</v>
      </c>
      <c r="BE802" t="s">
        <v>2295</v>
      </c>
      <c r="BF802" t="s">
        <v>2296</v>
      </c>
      <c r="BH802" t="s">
        <v>77</v>
      </c>
      <c r="BI802" t="s">
        <v>78</v>
      </c>
      <c r="BJ802" t="s">
        <v>79</v>
      </c>
      <c r="BM802">
        <v>0</v>
      </c>
      <c r="BN802">
        <v>1</v>
      </c>
      <c r="BO802">
        <v>1</v>
      </c>
      <c r="BP802" t="s">
        <v>80</v>
      </c>
      <c r="BR802">
        <v>0</v>
      </c>
      <c r="BS802">
        <v>6</v>
      </c>
      <c r="BU802" s="1">
        <v>700000</v>
      </c>
    </row>
    <row r="803" spans="1:73" x14ac:dyDescent="0.3">
      <c r="A803" t="s">
        <v>5627</v>
      </c>
      <c r="B803">
        <v>0</v>
      </c>
      <c r="C803">
        <v>0</v>
      </c>
      <c r="D803">
        <v>2</v>
      </c>
      <c r="E803">
        <v>210000</v>
      </c>
      <c r="F803">
        <v>0</v>
      </c>
      <c r="G803">
        <v>0</v>
      </c>
      <c r="H803">
        <v>2</v>
      </c>
      <c r="I803">
        <v>40000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4</v>
      </c>
      <c r="BC803" s="1">
        <v>420000</v>
      </c>
      <c r="BD803" t="s">
        <v>74</v>
      </c>
      <c r="BE803" t="s">
        <v>5628</v>
      </c>
      <c r="BF803" t="s">
        <v>5629</v>
      </c>
      <c r="BH803" t="s">
        <v>77</v>
      </c>
      <c r="BI803" t="s">
        <v>593</v>
      </c>
      <c r="BJ803" t="s">
        <v>79</v>
      </c>
      <c r="BM803">
        <v>0</v>
      </c>
      <c r="BN803">
        <v>2</v>
      </c>
      <c r="BO803">
        <v>2</v>
      </c>
      <c r="BP803" t="s">
        <v>80</v>
      </c>
      <c r="BR803">
        <v>0</v>
      </c>
      <c r="BS803">
        <v>6</v>
      </c>
      <c r="BU803" s="1">
        <v>250000</v>
      </c>
    </row>
    <row r="804" spans="1:73" x14ac:dyDescent="0.3">
      <c r="A804" t="s">
        <v>4858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73535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2</v>
      </c>
      <c r="BC804" s="1">
        <v>147070</v>
      </c>
      <c r="BD804" t="s">
        <v>74</v>
      </c>
      <c r="BE804" t="s">
        <v>4859</v>
      </c>
      <c r="BF804" t="s">
        <v>4860</v>
      </c>
      <c r="BH804" t="s">
        <v>77</v>
      </c>
      <c r="BI804" t="s">
        <v>204</v>
      </c>
      <c r="BJ804" t="s">
        <v>79</v>
      </c>
      <c r="BM804">
        <v>1</v>
      </c>
      <c r="BN804">
        <v>0</v>
      </c>
      <c r="BO804">
        <v>1</v>
      </c>
      <c r="BP804" t="s">
        <v>80</v>
      </c>
      <c r="BR804">
        <v>0</v>
      </c>
      <c r="BS804">
        <v>6</v>
      </c>
      <c r="BU804" s="1">
        <v>73535</v>
      </c>
    </row>
    <row r="805" spans="1:73" x14ac:dyDescent="0.3">
      <c r="A805" t="s">
        <v>2435</v>
      </c>
      <c r="B805">
        <v>1</v>
      </c>
      <c r="C805">
        <v>271542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19792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2</v>
      </c>
      <c r="BC805" s="1">
        <v>291334</v>
      </c>
      <c r="BD805" t="s">
        <v>74</v>
      </c>
      <c r="BE805" t="s">
        <v>2436</v>
      </c>
      <c r="BF805" t="s">
        <v>2437</v>
      </c>
      <c r="BH805" t="s">
        <v>77</v>
      </c>
      <c r="BI805" t="s">
        <v>204</v>
      </c>
      <c r="BJ805" t="s">
        <v>79</v>
      </c>
      <c r="BM805">
        <v>1</v>
      </c>
      <c r="BN805">
        <v>1</v>
      </c>
      <c r="BO805">
        <v>2</v>
      </c>
      <c r="BP805" t="s">
        <v>80</v>
      </c>
      <c r="BR805">
        <v>0</v>
      </c>
      <c r="BS805">
        <v>6</v>
      </c>
      <c r="BU805" s="1">
        <v>291334</v>
      </c>
    </row>
    <row r="806" spans="1:73" x14ac:dyDescent="0.3">
      <c r="A806" t="s">
        <v>2583</v>
      </c>
      <c r="B806">
        <v>1</v>
      </c>
      <c r="C806">
        <v>515278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 s="1">
        <v>515278</v>
      </c>
      <c r="BD806" t="s">
        <v>74</v>
      </c>
      <c r="BE806" t="s">
        <v>2584</v>
      </c>
      <c r="BF806" t="s">
        <v>2585</v>
      </c>
      <c r="BH806" t="s">
        <v>77</v>
      </c>
      <c r="BI806" t="s">
        <v>204</v>
      </c>
      <c r="BJ806" t="s">
        <v>79</v>
      </c>
      <c r="BM806">
        <v>0</v>
      </c>
      <c r="BN806">
        <v>1</v>
      </c>
      <c r="BO806">
        <v>1</v>
      </c>
      <c r="BP806" t="s">
        <v>80</v>
      </c>
      <c r="BR806">
        <v>0</v>
      </c>
      <c r="BS806">
        <v>6</v>
      </c>
      <c r="BU806" s="1">
        <v>515278</v>
      </c>
    </row>
    <row r="807" spans="1:73" x14ac:dyDescent="0.3">
      <c r="A807" t="s">
        <v>3424</v>
      </c>
      <c r="B807">
        <v>3</v>
      </c>
      <c r="C807">
        <v>481716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3</v>
      </c>
      <c r="BC807" s="1">
        <v>481716</v>
      </c>
      <c r="BD807" t="s">
        <v>74</v>
      </c>
      <c r="BE807" t="s">
        <v>3425</v>
      </c>
      <c r="BF807" t="s">
        <v>3426</v>
      </c>
      <c r="BH807" t="s">
        <v>77</v>
      </c>
      <c r="BI807" t="s">
        <v>88</v>
      </c>
      <c r="BJ807" t="s">
        <v>79</v>
      </c>
      <c r="BM807">
        <v>0</v>
      </c>
      <c r="BN807">
        <v>1</v>
      </c>
      <c r="BO807">
        <v>1</v>
      </c>
      <c r="BP807" t="s">
        <v>80</v>
      </c>
      <c r="BR807">
        <v>0</v>
      </c>
      <c r="BS807">
        <v>6</v>
      </c>
      <c r="BU807" s="1">
        <v>481716</v>
      </c>
    </row>
    <row r="808" spans="1:73" x14ac:dyDescent="0.3">
      <c r="A808" t="s">
        <v>2915</v>
      </c>
      <c r="B808">
        <v>1</v>
      </c>
      <c r="C808">
        <v>146887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 s="1">
        <v>146887</v>
      </c>
      <c r="BD808" t="s">
        <v>74</v>
      </c>
      <c r="BE808" t="s">
        <v>2916</v>
      </c>
      <c r="BF808" t="s">
        <v>2917</v>
      </c>
      <c r="BM808">
        <v>0</v>
      </c>
      <c r="BN808">
        <v>1</v>
      </c>
      <c r="BO808">
        <v>1</v>
      </c>
      <c r="BP808" t="s">
        <v>80</v>
      </c>
      <c r="BR808">
        <v>0</v>
      </c>
      <c r="BS808">
        <v>6</v>
      </c>
      <c r="BU808" s="1">
        <v>146887</v>
      </c>
    </row>
    <row r="809" spans="1:73" x14ac:dyDescent="0.3">
      <c r="A809" t="s">
        <v>2600</v>
      </c>
      <c r="B809">
        <v>2</v>
      </c>
      <c r="C809">
        <v>709976</v>
      </c>
      <c r="D809">
        <v>1</v>
      </c>
      <c r="E809">
        <v>320000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179432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19792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7</v>
      </c>
      <c r="BC809" s="1">
        <v>1549200</v>
      </c>
      <c r="BD809" t="s">
        <v>74</v>
      </c>
      <c r="BE809" t="s">
        <v>2601</v>
      </c>
      <c r="BF809" t="s">
        <v>2602</v>
      </c>
      <c r="BH809" t="s">
        <v>77</v>
      </c>
      <c r="BI809" t="s">
        <v>720</v>
      </c>
      <c r="BJ809" t="s">
        <v>79</v>
      </c>
      <c r="BM809">
        <v>2</v>
      </c>
      <c r="BN809">
        <v>2</v>
      </c>
      <c r="BO809">
        <v>4</v>
      </c>
      <c r="BP809" t="s">
        <v>80</v>
      </c>
      <c r="BR809">
        <v>0</v>
      </c>
      <c r="BS809">
        <v>6</v>
      </c>
      <c r="BU809" s="1">
        <v>1229200</v>
      </c>
    </row>
    <row r="810" spans="1:73" x14ac:dyDescent="0.3">
      <c r="A810" t="s">
        <v>5368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78585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</v>
      </c>
      <c r="BC810" s="1">
        <v>157170</v>
      </c>
      <c r="BD810" t="s">
        <v>74</v>
      </c>
      <c r="BE810" t="s">
        <v>5369</v>
      </c>
      <c r="BF810" t="s">
        <v>5370</v>
      </c>
      <c r="BH810" t="s">
        <v>77</v>
      </c>
      <c r="BI810" t="s">
        <v>88</v>
      </c>
      <c r="BJ810" t="s">
        <v>79</v>
      </c>
      <c r="BM810">
        <v>1</v>
      </c>
      <c r="BN810">
        <v>0</v>
      </c>
      <c r="BO810">
        <v>1</v>
      </c>
      <c r="BP810" t="s">
        <v>80</v>
      </c>
      <c r="BR810">
        <v>0</v>
      </c>
      <c r="BS810">
        <v>6</v>
      </c>
      <c r="BU810" s="1">
        <v>78585</v>
      </c>
    </row>
    <row r="811" spans="1:73" x14ac:dyDescent="0.3">
      <c r="A811" t="s">
        <v>4039</v>
      </c>
      <c r="B811">
        <v>1</v>
      </c>
      <c r="C811">
        <v>257908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 s="1">
        <v>257908</v>
      </c>
      <c r="BD811" t="s">
        <v>74</v>
      </c>
      <c r="BE811" t="s">
        <v>4040</v>
      </c>
      <c r="BF811" t="s">
        <v>4041</v>
      </c>
      <c r="BH811" t="s">
        <v>77</v>
      </c>
      <c r="BI811" t="s">
        <v>88</v>
      </c>
      <c r="BJ811" t="s">
        <v>79</v>
      </c>
      <c r="BM811">
        <v>0</v>
      </c>
      <c r="BN811">
        <v>1</v>
      </c>
      <c r="BO811">
        <v>1</v>
      </c>
      <c r="BP811" t="s">
        <v>80</v>
      </c>
      <c r="BR811">
        <v>0</v>
      </c>
      <c r="BS811">
        <v>6</v>
      </c>
      <c r="BU811" s="1">
        <v>257908</v>
      </c>
    </row>
    <row r="812" spans="1:73" x14ac:dyDescent="0.3">
      <c r="A812" t="s">
        <v>5893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78585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 s="1">
        <v>78585</v>
      </c>
      <c r="BD812" t="s">
        <v>74</v>
      </c>
      <c r="BE812" t="s">
        <v>5894</v>
      </c>
      <c r="BF812" t="s">
        <v>5895</v>
      </c>
      <c r="BH812" t="s">
        <v>77</v>
      </c>
      <c r="BI812" t="s">
        <v>84</v>
      </c>
      <c r="BJ812" t="s">
        <v>79</v>
      </c>
      <c r="BM812">
        <v>1</v>
      </c>
      <c r="BN812">
        <v>0</v>
      </c>
      <c r="BO812">
        <v>1</v>
      </c>
      <c r="BP812" t="s">
        <v>80</v>
      </c>
      <c r="BR812">
        <v>0</v>
      </c>
      <c r="BS812">
        <v>0</v>
      </c>
      <c r="BU812" s="1">
        <v>78585</v>
      </c>
    </row>
    <row r="813" spans="1:73" x14ac:dyDescent="0.3">
      <c r="A813" t="s">
        <v>4270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73535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2</v>
      </c>
      <c r="BC813" s="1">
        <v>147070</v>
      </c>
      <c r="BD813" t="s">
        <v>74</v>
      </c>
      <c r="BE813" t="s">
        <v>4271</v>
      </c>
      <c r="BF813" t="s">
        <v>4272</v>
      </c>
      <c r="BH813" t="s">
        <v>77</v>
      </c>
      <c r="BI813" t="s">
        <v>92</v>
      </c>
      <c r="BJ813" t="s">
        <v>79</v>
      </c>
      <c r="BM813">
        <v>1</v>
      </c>
      <c r="BN813">
        <v>0</v>
      </c>
      <c r="BO813">
        <v>1</v>
      </c>
      <c r="BP813" t="s">
        <v>80</v>
      </c>
      <c r="BR813">
        <v>0</v>
      </c>
      <c r="BS813">
        <v>0</v>
      </c>
      <c r="BU813" s="1">
        <v>73535</v>
      </c>
    </row>
    <row r="814" spans="1:73" x14ac:dyDescent="0.3">
      <c r="A814" t="s">
        <v>1164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45682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11526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</v>
      </c>
      <c r="BC814" s="1">
        <v>57208</v>
      </c>
      <c r="BD814" t="s">
        <v>74</v>
      </c>
      <c r="BE814" t="s">
        <v>1165</v>
      </c>
      <c r="BF814" t="s">
        <v>1166</v>
      </c>
      <c r="BH814" t="s">
        <v>77</v>
      </c>
      <c r="BI814" t="s">
        <v>78</v>
      </c>
      <c r="BJ814" t="s">
        <v>79</v>
      </c>
      <c r="BM814">
        <v>2</v>
      </c>
      <c r="BN814">
        <v>0</v>
      </c>
      <c r="BO814">
        <v>2</v>
      </c>
      <c r="BP814" t="s">
        <v>80</v>
      </c>
      <c r="BR814">
        <v>0</v>
      </c>
      <c r="BS814">
        <v>0</v>
      </c>
      <c r="BU814" s="1">
        <v>57208</v>
      </c>
    </row>
    <row r="815" spans="1:73" x14ac:dyDescent="0.3">
      <c r="A815" t="s">
        <v>1753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53167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26017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3</v>
      </c>
      <c r="BC815" s="1">
        <v>79184</v>
      </c>
      <c r="BD815" t="s">
        <v>74</v>
      </c>
      <c r="BE815" t="s">
        <v>1754</v>
      </c>
      <c r="BF815" t="s">
        <v>1755</v>
      </c>
      <c r="BH815" t="s">
        <v>77</v>
      </c>
      <c r="BI815" t="s">
        <v>92</v>
      </c>
      <c r="BJ815" t="s">
        <v>79</v>
      </c>
      <c r="BM815">
        <v>2</v>
      </c>
      <c r="BN815">
        <v>0</v>
      </c>
      <c r="BO815">
        <v>2</v>
      </c>
      <c r="BP815" t="s">
        <v>80</v>
      </c>
      <c r="BR815">
        <v>0</v>
      </c>
      <c r="BS815">
        <v>0</v>
      </c>
      <c r="BU815" s="1">
        <v>79184</v>
      </c>
    </row>
    <row r="816" spans="1:73" x14ac:dyDescent="0.3">
      <c r="A816" t="s">
        <v>5595</v>
      </c>
      <c r="B816">
        <v>1</v>
      </c>
      <c r="C816">
        <v>318181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 s="1">
        <v>318181</v>
      </c>
      <c r="BD816" t="s">
        <v>74</v>
      </c>
      <c r="BE816" t="s">
        <v>5596</v>
      </c>
      <c r="BF816" t="s">
        <v>5597</v>
      </c>
      <c r="BH816" t="s">
        <v>77</v>
      </c>
      <c r="BI816" t="s">
        <v>92</v>
      </c>
      <c r="BJ816" t="s">
        <v>79</v>
      </c>
      <c r="BM816">
        <v>0</v>
      </c>
      <c r="BN816">
        <v>1</v>
      </c>
      <c r="BO816">
        <v>1</v>
      </c>
      <c r="BP816" t="s">
        <v>80</v>
      </c>
      <c r="BR816">
        <v>0</v>
      </c>
      <c r="BS816">
        <v>6</v>
      </c>
      <c r="BU816" s="1">
        <v>318181</v>
      </c>
    </row>
    <row r="817" spans="1:73" x14ac:dyDescent="0.3">
      <c r="A817" t="s">
        <v>3406</v>
      </c>
      <c r="B817">
        <v>0</v>
      </c>
      <c r="C817">
        <v>75454</v>
      </c>
      <c r="D817">
        <v>1</v>
      </c>
      <c r="E817">
        <v>195455</v>
      </c>
      <c r="F817">
        <v>0</v>
      </c>
      <c r="G817">
        <v>0</v>
      </c>
      <c r="H817">
        <v>1</v>
      </c>
      <c r="I817">
        <v>20000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</v>
      </c>
      <c r="BC817" s="1">
        <v>290909</v>
      </c>
      <c r="BD817" t="s">
        <v>74</v>
      </c>
      <c r="BE817" t="s">
        <v>3407</v>
      </c>
      <c r="BF817" t="s">
        <v>3408</v>
      </c>
      <c r="BH817" t="s">
        <v>77</v>
      </c>
      <c r="BI817" t="s">
        <v>593</v>
      </c>
      <c r="BJ817" t="s">
        <v>79</v>
      </c>
      <c r="BM817">
        <v>0</v>
      </c>
      <c r="BN817">
        <v>2</v>
      </c>
      <c r="BO817">
        <v>2</v>
      </c>
      <c r="BP817" t="s">
        <v>80</v>
      </c>
      <c r="BR817">
        <v>0</v>
      </c>
      <c r="BS817">
        <v>6</v>
      </c>
      <c r="BU817" s="1">
        <v>290909</v>
      </c>
    </row>
    <row r="818" spans="1:73" x14ac:dyDescent="0.3">
      <c r="A818" t="s">
        <v>861</v>
      </c>
      <c r="B818">
        <v>0</v>
      </c>
      <c r="C818">
        <v>136364</v>
      </c>
      <c r="D818">
        <v>1</v>
      </c>
      <c r="E818">
        <v>181818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2</v>
      </c>
      <c r="BC818" s="1">
        <v>500000</v>
      </c>
      <c r="BD818" t="s">
        <v>74</v>
      </c>
      <c r="BE818" t="s">
        <v>862</v>
      </c>
      <c r="BF818" t="s">
        <v>863</v>
      </c>
      <c r="BH818" t="s">
        <v>77</v>
      </c>
      <c r="BI818" t="s">
        <v>204</v>
      </c>
      <c r="BJ818" t="s">
        <v>79</v>
      </c>
      <c r="BM818">
        <v>0</v>
      </c>
      <c r="BN818">
        <v>1</v>
      </c>
      <c r="BO818">
        <v>1</v>
      </c>
      <c r="BP818" t="s">
        <v>80</v>
      </c>
      <c r="BR818">
        <v>0</v>
      </c>
      <c r="BS818">
        <v>6</v>
      </c>
      <c r="BU818" s="1">
        <v>318182</v>
      </c>
    </row>
    <row r="819" spans="1:73" x14ac:dyDescent="0.3">
      <c r="A819" t="s">
        <v>5781</v>
      </c>
      <c r="B819">
        <v>0</v>
      </c>
      <c r="C819">
        <v>0</v>
      </c>
      <c r="D819">
        <v>1</v>
      </c>
      <c r="E819">
        <v>246856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2</v>
      </c>
      <c r="BC819" s="1">
        <v>493712</v>
      </c>
      <c r="BD819" t="s">
        <v>74</v>
      </c>
      <c r="BE819" t="s">
        <v>5782</v>
      </c>
      <c r="BF819" t="s">
        <v>5783</v>
      </c>
      <c r="BH819" t="s">
        <v>77</v>
      </c>
      <c r="BI819" t="s">
        <v>204</v>
      </c>
      <c r="BJ819" t="s">
        <v>79</v>
      </c>
      <c r="BM819">
        <v>0</v>
      </c>
      <c r="BN819">
        <v>1</v>
      </c>
      <c r="BO819">
        <v>1</v>
      </c>
      <c r="BP819" t="s">
        <v>80</v>
      </c>
      <c r="BR819">
        <v>0</v>
      </c>
      <c r="BS819">
        <v>6</v>
      </c>
      <c r="BU819" s="1">
        <v>246856</v>
      </c>
    </row>
    <row r="820" spans="1:73" x14ac:dyDescent="0.3">
      <c r="A820" t="s">
        <v>3204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73535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2</v>
      </c>
      <c r="BC820" s="1">
        <v>147070</v>
      </c>
      <c r="BD820" t="s">
        <v>74</v>
      </c>
      <c r="BE820" t="s">
        <v>3205</v>
      </c>
      <c r="BF820" t="s">
        <v>3206</v>
      </c>
      <c r="BH820" t="s">
        <v>77</v>
      </c>
      <c r="BI820" t="s">
        <v>78</v>
      </c>
      <c r="BJ820" t="s">
        <v>79</v>
      </c>
      <c r="BM820">
        <v>1</v>
      </c>
      <c r="BN820">
        <v>0</v>
      </c>
      <c r="BO820">
        <v>1</v>
      </c>
      <c r="BP820" t="s">
        <v>80</v>
      </c>
      <c r="BR820">
        <v>0</v>
      </c>
      <c r="BS820">
        <v>0</v>
      </c>
      <c r="BU820" s="1">
        <v>73535</v>
      </c>
    </row>
    <row r="821" spans="1:73" x14ac:dyDescent="0.3">
      <c r="A821" t="s">
        <v>2211</v>
      </c>
      <c r="B821">
        <v>1</v>
      </c>
      <c r="C821">
        <v>393403</v>
      </c>
      <c r="D821">
        <v>1</v>
      </c>
      <c r="E821">
        <v>230000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3</v>
      </c>
      <c r="BC821" s="1">
        <v>853403</v>
      </c>
      <c r="BD821" t="s">
        <v>74</v>
      </c>
      <c r="BE821" t="s">
        <v>2212</v>
      </c>
      <c r="BF821" t="s">
        <v>2213</v>
      </c>
      <c r="BH821" t="s">
        <v>175</v>
      </c>
      <c r="BI821" t="s">
        <v>255</v>
      </c>
      <c r="BJ821" t="s">
        <v>125</v>
      </c>
      <c r="BM821">
        <v>0</v>
      </c>
      <c r="BN821">
        <v>2</v>
      </c>
      <c r="BO821">
        <v>2</v>
      </c>
      <c r="BP821" t="s">
        <v>80</v>
      </c>
      <c r="BR821">
        <v>0</v>
      </c>
      <c r="BS821">
        <v>6</v>
      </c>
      <c r="BU821" s="1">
        <v>623403</v>
      </c>
    </row>
    <row r="822" spans="1:73" x14ac:dyDescent="0.3">
      <c r="A822" t="s">
        <v>1719</v>
      </c>
      <c r="B822">
        <v>3</v>
      </c>
      <c r="C822">
        <v>1574913</v>
      </c>
      <c r="D822">
        <v>1</v>
      </c>
      <c r="E822">
        <v>350000</v>
      </c>
      <c r="F822">
        <v>0</v>
      </c>
      <c r="G822">
        <v>0</v>
      </c>
      <c r="H822">
        <v>2</v>
      </c>
      <c r="I822">
        <v>50000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7</v>
      </c>
      <c r="BC822" s="1">
        <v>2324913</v>
      </c>
      <c r="BD822" t="s">
        <v>74</v>
      </c>
      <c r="BE822" t="s">
        <v>1720</v>
      </c>
      <c r="BF822" t="s">
        <v>1721</v>
      </c>
      <c r="BH822" t="s">
        <v>77</v>
      </c>
      <c r="BI822" t="s">
        <v>524</v>
      </c>
      <c r="BJ822" t="s">
        <v>79</v>
      </c>
      <c r="BM822">
        <v>0</v>
      </c>
      <c r="BN822">
        <v>3</v>
      </c>
      <c r="BO822">
        <v>3</v>
      </c>
      <c r="BP822" t="s">
        <v>80</v>
      </c>
      <c r="BR822">
        <v>0</v>
      </c>
      <c r="BS822">
        <v>6</v>
      </c>
      <c r="BU822" s="1">
        <v>1974913</v>
      </c>
    </row>
    <row r="823" spans="1:73" x14ac:dyDescent="0.3">
      <c r="A823" t="s">
        <v>2192</v>
      </c>
      <c r="B823">
        <v>1</v>
      </c>
      <c r="C823">
        <v>343017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89861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3</v>
      </c>
      <c r="BC823" s="1">
        <v>432878</v>
      </c>
      <c r="BD823" t="s">
        <v>74</v>
      </c>
      <c r="BE823" t="s">
        <v>2193</v>
      </c>
      <c r="BF823" t="s">
        <v>2194</v>
      </c>
      <c r="BH823" t="s">
        <v>77</v>
      </c>
      <c r="BI823" t="s">
        <v>204</v>
      </c>
      <c r="BJ823" t="s">
        <v>79</v>
      </c>
      <c r="BM823">
        <v>0</v>
      </c>
      <c r="BN823">
        <v>2</v>
      </c>
      <c r="BO823">
        <v>2</v>
      </c>
      <c r="BP823" t="s">
        <v>80</v>
      </c>
      <c r="BR823">
        <v>0</v>
      </c>
      <c r="BS823">
        <v>6</v>
      </c>
      <c r="BU823" s="1">
        <v>432878</v>
      </c>
    </row>
    <row r="824" spans="1:73" x14ac:dyDescent="0.3">
      <c r="A824" t="s">
        <v>4036</v>
      </c>
      <c r="B824">
        <v>0</v>
      </c>
      <c r="C824">
        <v>0</v>
      </c>
      <c r="D824">
        <v>4</v>
      </c>
      <c r="E824">
        <v>394545</v>
      </c>
      <c r="F824">
        <v>0</v>
      </c>
      <c r="G824">
        <v>0</v>
      </c>
      <c r="H824">
        <v>4</v>
      </c>
      <c r="I824">
        <v>80000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8</v>
      </c>
      <c r="BC824" s="1">
        <v>789090</v>
      </c>
      <c r="BD824" t="s">
        <v>74</v>
      </c>
      <c r="BE824" t="s">
        <v>4037</v>
      </c>
      <c r="BF824" t="s">
        <v>4038</v>
      </c>
      <c r="BH824" t="s">
        <v>77</v>
      </c>
      <c r="BI824" t="s">
        <v>204</v>
      </c>
      <c r="BJ824" t="s">
        <v>79</v>
      </c>
      <c r="BM824">
        <v>0</v>
      </c>
      <c r="BN824">
        <v>2</v>
      </c>
      <c r="BO824">
        <v>2</v>
      </c>
      <c r="BP824" t="s">
        <v>80</v>
      </c>
      <c r="BR824">
        <v>0</v>
      </c>
      <c r="BS824">
        <v>6</v>
      </c>
      <c r="BU824" s="1">
        <v>474545</v>
      </c>
    </row>
    <row r="825" spans="1:73" x14ac:dyDescent="0.3">
      <c r="A825" t="s">
        <v>2463</v>
      </c>
      <c r="B825">
        <v>5</v>
      </c>
      <c r="C825">
        <v>1994706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5</v>
      </c>
      <c r="BC825" s="1">
        <v>1994706</v>
      </c>
      <c r="BD825" t="s">
        <v>74</v>
      </c>
      <c r="BE825" t="s">
        <v>2464</v>
      </c>
      <c r="BF825" t="s">
        <v>2465</v>
      </c>
      <c r="BH825" t="s">
        <v>77</v>
      </c>
      <c r="BI825" t="s">
        <v>204</v>
      </c>
      <c r="BJ825" t="s">
        <v>79</v>
      </c>
      <c r="BM825">
        <v>0</v>
      </c>
      <c r="BN825">
        <v>1</v>
      </c>
      <c r="BO825">
        <v>1</v>
      </c>
      <c r="BP825" t="s">
        <v>80</v>
      </c>
      <c r="BR825">
        <v>0</v>
      </c>
      <c r="BS825">
        <v>6</v>
      </c>
      <c r="BU825" s="1">
        <v>1994706</v>
      </c>
    </row>
    <row r="826" spans="1:73" x14ac:dyDescent="0.3">
      <c r="A826" t="s">
        <v>2253</v>
      </c>
      <c r="B826">
        <v>2</v>
      </c>
      <c r="C826">
        <v>540867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2</v>
      </c>
      <c r="BC826" s="1">
        <v>540867</v>
      </c>
      <c r="BD826" t="s">
        <v>74</v>
      </c>
      <c r="BE826" t="s">
        <v>2254</v>
      </c>
      <c r="BF826" t="s">
        <v>2255</v>
      </c>
      <c r="BH826" t="s">
        <v>77</v>
      </c>
      <c r="BI826" t="s">
        <v>204</v>
      </c>
      <c r="BJ826" t="s">
        <v>79</v>
      </c>
      <c r="BM826">
        <v>0</v>
      </c>
      <c r="BN826">
        <v>1</v>
      </c>
      <c r="BO826">
        <v>1</v>
      </c>
      <c r="BP826" t="s">
        <v>80</v>
      </c>
      <c r="BR826">
        <v>0</v>
      </c>
      <c r="BS826">
        <v>6</v>
      </c>
      <c r="BU826" s="1">
        <v>540867</v>
      </c>
    </row>
    <row r="827" spans="1:73" x14ac:dyDescent="0.3">
      <c r="A827" t="s">
        <v>436</v>
      </c>
      <c r="B827">
        <v>1</v>
      </c>
      <c r="C827">
        <v>435936</v>
      </c>
      <c r="D827">
        <v>5</v>
      </c>
      <c r="E827">
        <v>985948</v>
      </c>
      <c r="F827">
        <v>0</v>
      </c>
      <c r="G827">
        <v>0</v>
      </c>
      <c r="H827">
        <v>6</v>
      </c>
      <c r="I827">
        <v>371896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12</v>
      </c>
      <c r="BC827" s="1">
        <v>2427624</v>
      </c>
      <c r="BD827" t="s">
        <v>74</v>
      </c>
      <c r="BE827" t="s">
        <v>437</v>
      </c>
      <c r="BF827" t="s">
        <v>438</v>
      </c>
      <c r="BH827" t="s">
        <v>136</v>
      </c>
      <c r="BI827" t="s">
        <v>439</v>
      </c>
      <c r="BJ827" t="s">
        <v>125</v>
      </c>
      <c r="BM827">
        <v>0</v>
      </c>
      <c r="BN827">
        <v>3</v>
      </c>
      <c r="BO827">
        <v>3</v>
      </c>
      <c r="BP827" t="s">
        <v>80</v>
      </c>
      <c r="BR827">
        <v>0</v>
      </c>
      <c r="BS827">
        <v>6</v>
      </c>
      <c r="BU827" s="1">
        <v>1793780</v>
      </c>
    </row>
    <row r="828" spans="1:73" x14ac:dyDescent="0.3">
      <c r="A828" t="s">
        <v>3014</v>
      </c>
      <c r="B828">
        <v>0</v>
      </c>
      <c r="C828">
        <v>0</v>
      </c>
      <c r="D828">
        <v>1</v>
      </c>
      <c r="E828">
        <v>145162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73535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19792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</v>
      </c>
      <c r="BC828" s="1">
        <v>457186</v>
      </c>
      <c r="BD828" t="s">
        <v>74</v>
      </c>
      <c r="BE828" t="s">
        <v>3015</v>
      </c>
      <c r="BF828" t="s">
        <v>438</v>
      </c>
      <c r="BH828" t="s">
        <v>77</v>
      </c>
      <c r="BI828" t="s">
        <v>204</v>
      </c>
      <c r="BM828">
        <v>2</v>
      </c>
      <c r="BN828">
        <v>1</v>
      </c>
      <c r="BO828">
        <v>3</v>
      </c>
      <c r="BP828" t="s">
        <v>80</v>
      </c>
      <c r="BR828">
        <v>0</v>
      </c>
      <c r="BS828">
        <v>6</v>
      </c>
      <c r="BU828" s="1">
        <v>238489</v>
      </c>
    </row>
    <row r="829" spans="1:73" x14ac:dyDescent="0.3">
      <c r="A829" t="s">
        <v>2568</v>
      </c>
      <c r="B829">
        <v>1</v>
      </c>
      <c r="C829">
        <v>156336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 s="1">
        <v>156336</v>
      </c>
      <c r="BD829" t="s">
        <v>74</v>
      </c>
      <c r="BE829" t="s">
        <v>2569</v>
      </c>
      <c r="BF829" t="s">
        <v>2570</v>
      </c>
      <c r="BM829">
        <v>0</v>
      </c>
      <c r="BN829">
        <v>1</v>
      </c>
      <c r="BO829">
        <v>1</v>
      </c>
      <c r="BP829" t="s">
        <v>80</v>
      </c>
      <c r="BR829">
        <v>0</v>
      </c>
      <c r="BS829">
        <v>6</v>
      </c>
      <c r="BU829" s="1">
        <v>156336</v>
      </c>
    </row>
    <row r="830" spans="1:73" x14ac:dyDescent="0.3">
      <c r="A830" t="s">
        <v>1880</v>
      </c>
      <c r="B830">
        <v>1</v>
      </c>
      <c r="C830">
        <v>316863</v>
      </c>
      <c r="D830">
        <v>3</v>
      </c>
      <c r="E830">
        <v>517091</v>
      </c>
      <c r="F830">
        <v>0</v>
      </c>
      <c r="G830">
        <v>0</v>
      </c>
      <c r="H830">
        <v>2</v>
      </c>
      <c r="I830">
        <v>40000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18182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152120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19792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14</v>
      </c>
      <c r="BC830" s="1">
        <v>1652648</v>
      </c>
      <c r="BD830" t="s">
        <v>74</v>
      </c>
      <c r="BE830" t="s">
        <v>1881</v>
      </c>
      <c r="BF830" t="s">
        <v>1882</v>
      </c>
      <c r="BH830" t="s">
        <v>77</v>
      </c>
      <c r="BI830" t="s">
        <v>78</v>
      </c>
      <c r="BJ830" t="s">
        <v>79</v>
      </c>
      <c r="BM830">
        <v>2</v>
      </c>
      <c r="BN830">
        <v>4</v>
      </c>
      <c r="BO830">
        <v>6</v>
      </c>
      <c r="BP830" t="s">
        <v>80</v>
      </c>
      <c r="BR830">
        <v>0</v>
      </c>
      <c r="BS830">
        <v>6</v>
      </c>
      <c r="BU830" s="1">
        <v>1064048</v>
      </c>
    </row>
    <row r="831" spans="1:73" x14ac:dyDescent="0.3">
      <c r="A831" t="s">
        <v>2452</v>
      </c>
      <c r="B831">
        <v>1</v>
      </c>
      <c r="C831">
        <v>268165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96439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</v>
      </c>
      <c r="BC831" s="1">
        <v>364604</v>
      </c>
      <c r="BD831" t="s">
        <v>74</v>
      </c>
      <c r="BE831" t="s">
        <v>2453</v>
      </c>
      <c r="BF831" t="s">
        <v>2454</v>
      </c>
      <c r="BH831" t="s">
        <v>77</v>
      </c>
      <c r="BI831" t="s">
        <v>204</v>
      </c>
      <c r="BJ831" t="s">
        <v>79</v>
      </c>
      <c r="BM831">
        <v>1</v>
      </c>
      <c r="BN831">
        <v>1</v>
      </c>
      <c r="BO831">
        <v>2</v>
      </c>
      <c r="BP831" t="s">
        <v>80</v>
      </c>
      <c r="BR831">
        <v>0</v>
      </c>
      <c r="BS831">
        <v>6</v>
      </c>
      <c r="BU831" s="1">
        <v>364604</v>
      </c>
    </row>
    <row r="832" spans="1:73" x14ac:dyDescent="0.3">
      <c r="A832" t="s">
        <v>5490</v>
      </c>
      <c r="B832">
        <v>2</v>
      </c>
      <c r="C832">
        <v>412383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2</v>
      </c>
      <c r="BC832" s="1">
        <v>412383</v>
      </c>
      <c r="BD832" t="s">
        <v>74</v>
      </c>
      <c r="BE832" t="s">
        <v>5491</v>
      </c>
      <c r="BF832" t="s">
        <v>5492</v>
      </c>
      <c r="BH832" t="s">
        <v>77</v>
      </c>
      <c r="BI832" t="s">
        <v>574</v>
      </c>
      <c r="BJ832" t="s">
        <v>79</v>
      </c>
      <c r="BM832">
        <v>0</v>
      </c>
      <c r="BN832">
        <v>1</v>
      </c>
      <c r="BO832">
        <v>1</v>
      </c>
      <c r="BP832" t="s">
        <v>80</v>
      </c>
      <c r="BR832">
        <v>0</v>
      </c>
      <c r="BS832">
        <v>0</v>
      </c>
      <c r="BU832" s="1">
        <v>412383</v>
      </c>
    </row>
    <row r="833" spans="1:73" x14ac:dyDescent="0.3">
      <c r="A833" t="s">
        <v>2241</v>
      </c>
      <c r="B833">
        <v>0</v>
      </c>
      <c r="C833">
        <v>0</v>
      </c>
      <c r="D833">
        <v>1</v>
      </c>
      <c r="E833">
        <v>250000</v>
      </c>
      <c r="F833">
        <v>0</v>
      </c>
      <c r="G833">
        <v>0</v>
      </c>
      <c r="H833">
        <v>1</v>
      </c>
      <c r="I833">
        <v>20000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</v>
      </c>
      <c r="BC833" s="1">
        <v>270000</v>
      </c>
      <c r="BD833" t="s">
        <v>74</v>
      </c>
      <c r="BE833" t="s">
        <v>2242</v>
      </c>
      <c r="BF833" t="s">
        <v>2243</v>
      </c>
      <c r="BH833" t="s">
        <v>77</v>
      </c>
      <c r="BI833" t="s">
        <v>524</v>
      </c>
      <c r="BJ833" t="s">
        <v>79</v>
      </c>
      <c r="BM833">
        <v>0</v>
      </c>
      <c r="BN833">
        <v>2</v>
      </c>
      <c r="BO833">
        <v>2</v>
      </c>
      <c r="BP833" t="s">
        <v>514</v>
      </c>
      <c r="BR833">
        <v>0</v>
      </c>
      <c r="BS833">
        <v>6</v>
      </c>
      <c r="BU833" s="1">
        <v>270000</v>
      </c>
    </row>
    <row r="834" spans="1:73" x14ac:dyDescent="0.3">
      <c r="A834" t="s">
        <v>1013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73535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19792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</v>
      </c>
      <c r="BC834" s="1">
        <v>166862</v>
      </c>
      <c r="BD834" t="s">
        <v>74</v>
      </c>
      <c r="BE834" t="s">
        <v>1014</v>
      </c>
      <c r="BF834" t="s">
        <v>1015</v>
      </c>
      <c r="BH834" t="s">
        <v>77</v>
      </c>
      <c r="BI834" t="s">
        <v>92</v>
      </c>
      <c r="BJ834" t="s">
        <v>79</v>
      </c>
      <c r="BM834">
        <v>2</v>
      </c>
      <c r="BN834">
        <v>0</v>
      </c>
      <c r="BO834">
        <v>2</v>
      </c>
      <c r="BP834" t="s">
        <v>80</v>
      </c>
      <c r="BR834">
        <v>0</v>
      </c>
      <c r="BS834">
        <v>6</v>
      </c>
      <c r="BU834" s="1">
        <v>93327</v>
      </c>
    </row>
    <row r="835" spans="1:73" x14ac:dyDescent="0.3">
      <c r="A835" t="s">
        <v>4152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73535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19792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</v>
      </c>
      <c r="BC835" s="1">
        <v>166862</v>
      </c>
      <c r="BD835" t="s">
        <v>74</v>
      </c>
      <c r="BE835" t="s">
        <v>4153</v>
      </c>
      <c r="BF835" t="s">
        <v>4154</v>
      </c>
      <c r="BH835" t="s">
        <v>77</v>
      </c>
      <c r="BI835" t="s">
        <v>92</v>
      </c>
      <c r="BJ835" t="s">
        <v>79</v>
      </c>
      <c r="BM835">
        <v>2</v>
      </c>
      <c r="BN835">
        <v>0</v>
      </c>
      <c r="BO835">
        <v>2</v>
      </c>
      <c r="BP835" t="s">
        <v>80</v>
      </c>
      <c r="BR835">
        <v>0</v>
      </c>
      <c r="BS835">
        <v>6</v>
      </c>
      <c r="BU835" s="1">
        <v>93327</v>
      </c>
    </row>
    <row r="836" spans="1:73" x14ac:dyDescent="0.3">
      <c r="A836" t="s">
        <v>4352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19792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 s="1">
        <v>19792</v>
      </c>
      <c r="BD836" t="s">
        <v>74</v>
      </c>
      <c r="BE836" t="s">
        <v>4353</v>
      </c>
      <c r="BF836" t="s">
        <v>1015</v>
      </c>
      <c r="BH836" t="s">
        <v>77</v>
      </c>
      <c r="BI836" t="s">
        <v>92</v>
      </c>
      <c r="BJ836" t="s">
        <v>79</v>
      </c>
      <c r="BM836">
        <v>1</v>
      </c>
      <c r="BN836">
        <v>0</v>
      </c>
      <c r="BO836">
        <v>1</v>
      </c>
      <c r="BP836" t="s">
        <v>80</v>
      </c>
      <c r="BR836">
        <v>0</v>
      </c>
      <c r="BS836">
        <v>0</v>
      </c>
      <c r="BU836" s="1">
        <v>19792</v>
      </c>
    </row>
    <row r="837" spans="1:73" x14ac:dyDescent="0.3">
      <c r="A837" t="s">
        <v>3207</v>
      </c>
      <c r="B837">
        <v>0</v>
      </c>
      <c r="C837">
        <v>0</v>
      </c>
      <c r="D837">
        <v>2</v>
      </c>
      <c r="E837">
        <v>150386</v>
      </c>
      <c r="F837">
        <v>0</v>
      </c>
      <c r="G837">
        <v>0</v>
      </c>
      <c r="H837">
        <v>2</v>
      </c>
      <c r="I837">
        <v>772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73535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6</v>
      </c>
      <c r="BC837" s="1">
        <v>447842</v>
      </c>
      <c r="BD837" t="s">
        <v>74</v>
      </c>
      <c r="BE837" t="s">
        <v>3208</v>
      </c>
      <c r="BF837" t="s">
        <v>3209</v>
      </c>
      <c r="BH837" t="s">
        <v>77</v>
      </c>
      <c r="BI837" t="s">
        <v>593</v>
      </c>
      <c r="BJ837" t="s">
        <v>79</v>
      </c>
      <c r="BM837">
        <v>1</v>
      </c>
      <c r="BN837">
        <v>2</v>
      </c>
      <c r="BO837">
        <v>3</v>
      </c>
      <c r="BP837" t="s">
        <v>80</v>
      </c>
      <c r="BR837">
        <v>0</v>
      </c>
      <c r="BS837">
        <v>6</v>
      </c>
      <c r="BU837" s="1">
        <v>224693</v>
      </c>
    </row>
    <row r="838" spans="1:73" x14ac:dyDescent="0.3">
      <c r="A838" t="s">
        <v>3305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</v>
      </c>
      <c r="Z838">
        <v>152120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</v>
      </c>
      <c r="BC838" s="1">
        <v>230705</v>
      </c>
      <c r="BD838" t="s">
        <v>74</v>
      </c>
      <c r="BE838" t="s">
        <v>3306</v>
      </c>
      <c r="BF838" t="s">
        <v>3307</v>
      </c>
      <c r="BH838" t="s">
        <v>77</v>
      </c>
      <c r="BI838" t="s">
        <v>281</v>
      </c>
      <c r="BJ838" t="s">
        <v>79</v>
      </c>
      <c r="BM838">
        <v>1</v>
      </c>
      <c r="BN838">
        <v>0</v>
      </c>
      <c r="BO838">
        <v>1</v>
      </c>
      <c r="BP838" t="s">
        <v>80</v>
      </c>
      <c r="BR838">
        <v>0</v>
      </c>
      <c r="BS838">
        <v>6</v>
      </c>
      <c r="BU838" s="1">
        <v>152120</v>
      </c>
    </row>
    <row r="839" spans="1:73" x14ac:dyDescent="0.3">
      <c r="A839" t="s">
        <v>458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20000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 s="1">
        <v>20000</v>
      </c>
      <c r="BD839" t="s">
        <v>74</v>
      </c>
      <c r="BE839" t="s">
        <v>459</v>
      </c>
      <c r="BF839" t="s">
        <v>460</v>
      </c>
      <c r="BH839" t="s">
        <v>77</v>
      </c>
      <c r="BI839" t="s">
        <v>92</v>
      </c>
      <c r="BJ839" t="s">
        <v>79</v>
      </c>
      <c r="BM839">
        <v>0</v>
      </c>
      <c r="BN839">
        <v>1</v>
      </c>
      <c r="BO839">
        <v>1</v>
      </c>
      <c r="BP839" t="s">
        <v>80</v>
      </c>
      <c r="BR839">
        <v>0</v>
      </c>
      <c r="BS839">
        <v>6</v>
      </c>
      <c r="BU839" s="1">
        <v>20000</v>
      </c>
    </row>
    <row r="840" spans="1:73" x14ac:dyDescent="0.3">
      <c r="A840" t="s">
        <v>1258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17273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 s="1">
        <v>17273</v>
      </c>
      <c r="BD840" t="s">
        <v>74</v>
      </c>
      <c r="BE840" t="s">
        <v>1259</v>
      </c>
      <c r="BF840" t="s">
        <v>1260</v>
      </c>
      <c r="BH840" t="s">
        <v>77</v>
      </c>
      <c r="BI840" t="s">
        <v>88</v>
      </c>
      <c r="BJ840" t="s">
        <v>79</v>
      </c>
      <c r="BM840">
        <v>0</v>
      </c>
      <c r="BN840">
        <v>1</v>
      </c>
      <c r="BO840">
        <v>1</v>
      </c>
      <c r="BP840" t="s">
        <v>80</v>
      </c>
      <c r="BR840">
        <v>0</v>
      </c>
      <c r="BS840">
        <v>0</v>
      </c>
      <c r="BU840" s="1">
        <v>17273</v>
      </c>
    </row>
    <row r="841" spans="1:73" x14ac:dyDescent="0.3">
      <c r="A841" t="s">
        <v>5350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41665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25000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4</v>
      </c>
      <c r="BC841" s="1">
        <v>133330</v>
      </c>
      <c r="BD841" t="s">
        <v>74</v>
      </c>
      <c r="BE841" t="s">
        <v>5351</v>
      </c>
      <c r="BF841" t="s">
        <v>5352</v>
      </c>
      <c r="BH841" t="s">
        <v>77</v>
      </c>
      <c r="BI841" t="s">
        <v>84</v>
      </c>
      <c r="BJ841" t="s">
        <v>79</v>
      </c>
      <c r="BM841">
        <v>2</v>
      </c>
      <c r="BN841">
        <v>0</v>
      </c>
      <c r="BO841">
        <v>2</v>
      </c>
      <c r="BP841" t="s">
        <v>80</v>
      </c>
      <c r="BR841">
        <v>0</v>
      </c>
      <c r="BS841">
        <v>6</v>
      </c>
      <c r="BU841" s="1">
        <v>66665</v>
      </c>
    </row>
    <row r="842" spans="1:73" x14ac:dyDescent="0.3">
      <c r="A842" t="s">
        <v>2755</v>
      </c>
      <c r="B842">
        <v>0</v>
      </c>
      <c r="C842">
        <v>0</v>
      </c>
      <c r="D842">
        <v>4</v>
      </c>
      <c r="E842">
        <v>111936</v>
      </c>
      <c r="F842">
        <v>0</v>
      </c>
      <c r="G842">
        <v>0</v>
      </c>
      <c r="H842">
        <v>6</v>
      </c>
      <c r="I842">
        <v>120000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8</v>
      </c>
      <c r="BC842" s="1">
        <v>223872</v>
      </c>
      <c r="BD842" t="s">
        <v>74</v>
      </c>
      <c r="BE842" t="s">
        <v>2756</v>
      </c>
      <c r="BF842" t="s">
        <v>2757</v>
      </c>
      <c r="BH842" t="s">
        <v>77</v>
      </c>
      <c r="BI842" t="s">
        <v>228</v>
      </c>
      <c r="BJ842" t="s">
        <v>79</v>
      </c>
      <c r="BM842">
        <v>0</v>
      </c>
      <c r="BN842">
        <v>2</v>
      </c>
      <c r="BO842">
        <v>2</v>
      </c>
      <c r="BP842" t="s">
        <v>80</v>
      </c>
      <c r="BR842">
        <v>0</v>
      </c>
      <c r="BS842">
        <v>6</v>
      </c>
      <c r="BU842" s="1">
        <v>231936</v>
      </c>
    </row>
    <row r="843" spans="1:73" x14ac:dyDescent="0.3">
      <c r="A843" t="s">
        <v>3937</v>
      </c>
      <c r="B843">
        <v>0</v>
      </c>
      <c r="C843">
        <v>0</v>
      </c>
      <c r="D843">
        <v>1</v>
      </c>
      <c r="E843">
        <v>700000</v>
      </c>
      <c r="F843">
        <v>0</v>
      </c>
      <c r="G843">
        <v>0</v>
      </c>
      <c r="H843">
        <v>2</v>
      </c>
      <c r="I843">
        <v>42480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3</v>
      </c>
      <c r="BC843" s="1">
        <v>742480</v>
      </c>
      <c r="BD843" t="s">
        <v>74</v>
      </c>
      <c r="BE843" t="s">
        <v>3938</v>
      </c>
      <c r="BF843" t="s">
        <v>3939</v>
      </c>
      <c r="BH843" t="s">
        <v>77</v>
      </c>
      <c r="BI843" t="s">
        <v>228</v>
      </c>
      <c r="BJ843" t="s">
        <v>79</v>
      </c>
      <c r="BM843">
        <v>0</v>
      </c>
      <c r="BN843">
        <v>2</v>
      </c>
      <c r="BO843">
        <v>2</v>
      </c>
      <c r="BP843" t="s">
        <v>80</v>
      </c>
      <c r="BR843">
        <v>0</v>
      </c>
      <c r="BS843">
        <v>6</v>
      </c>
      <c r="BU843" s="1">
        <v>742480</v>
      </c>
    </row>
    <row r="844" spans="1:73" x14ac:dyDescent="0.3">
      <c r="A844" t="s">
        <v>4015</v>
      </c>
      <c r="B844">
        <v>0</v>
      </c>
      <c r="C844">
        <v>0</v>
      </c>
      <c r="D844">
        <v>1</v>
      </c>
      <c r="E844">
        <v>400000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 s="1">
        <v>400000</v>
      </c>
      <c r="BD844" t="s">
        <v>74</v>
      </c>
      <c r="BE844" t="s">
        <v>4016</v>
      </c>
      <c r="BF844" t="s">
        <v>3939</v>
      </c>
      <c r="BH844" t="s">
        <v>77</v>
      </c>
      <c r="BI844" t="s">
        <v>228</v>
      </c>
      <c r="BJ844" t="s">
        <v>79</v>
      </c>
      <c r="BM844">
        <v>0</v>
      </c>
      <c r="BN844">
        <v>1</v>
      </c>
      <c r="BO844">
        <v>1</v>
      </c>
      <c r="BP844" t="s">
        <v>80</v>
      </c>
      <c r="BR844">
        <v>0</v>
      </c>
      <c r="BS844">
        <v>6</v>
      </c>
      <c r="BU844" s="1">
        <v>400000</v>
      </c>
    </row>
    <row r="845" spans="1:73" x14ac:dyDescent="0.3">
      <c r="A845" t="s">
        <v>1661</v>
      </c>
      <c r="B845">
        <v>1</v>
      </c>
      <c r="C845">
        <v>262564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</v>
      </c>
      <c r="BC845" s="1">
        <v>262564</v>
      </c>
      <c r="BD845" t="s">
        <v>74</v>
      </c>
      <c r="BE845" t="s">
        <v>1662</v>
      </c>
      <c r="BF845" t="s">
        <v>1663</v>
      </c>
      <c r="BH845" t="s">
        <v>77</v>
      </c>
      <c r="BI845" t="s">
        <v>228</v>
      </c>
      <c r="BJ845" t="s">
        <v>79</v>
      </c>
      <c r="BM845">
        <v>0</v>
      </c>
      <c r="BN845">
        <v>1</v>
      </c>
      <c r="BO845">
        <v>1</v>
      </c>
      <c r="BP845" t="s">
        <v>80</v>
      </c>
      <c r="BR845">
        <v>0</v>
      </c>
      <c r="BS845">
        <v>6</v>
      </c>
      <c r="BU845" s="1">
        <v>262564</v>
      </c>
    </row>
    <row r="846" spans="1:73" x14ac:dyDescent="0.3">
      <c r="A846" t="s">
        <v>4334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78585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 s="1">
        <v>78585</v>
      </c>
      <c r="BD846" t="s">
        <v>74</v>
      </c>
      <c r="BE846" t="s">
        <v>4335</v>
      </c>
      <c r="BF846" t="s">
        <v>4336</v>
      </c>
      <c r="BH846" t="s">
        <v>77</v>
      </c>
      <c r="BI846" t="s">
        <v>92</v>
      </c>
      <c r="BJ846" t="s">
        <v>79</v>
      </c>
      <c r="BM846">
        <v>1</v>
      </c>
      <c r="BN846">
        <v>0</v>
      </c>
      <c r="BO846">
        <v>1</v>
      </c>
      <c r="BP846" t="s">
        <v>80</v>
      </c>
      <c r="BR846">
        <v>0</v>
      </c>
      <c r="BS846">
        <v>0</v>
      </c>
      <c r="BU846" s="1">
        <v>78585</v>
      </c>
    </row>
    <row r="847" spans="1:73" x14ac:dyDescent="0.3">
      <c r="A847" t="s">
        <v>5262</v>
      </c>
      <c r="B847">
        <v>0</v>
      </c>
      <c r="C847">
        <v>0</v>
      </c>
      <c r="D847">
        <v>2</v>
      </c>
      <c r="E847">
        <v>433628</v>
      </c>
      <c r="F847">
        <v>0</v>
      </c>
      <c r="G847">
        <v>0</v>
      </c>
      <c r="H847">
        <v>4</v>
      </c>
      <c r="I847">
        <v>84400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6</v>
      </c>
      <c r="BC847" s="1">
        <v>907256</v>
      </c>
      <c r="BD847" t="s">
        <v>74</v>
      </c>
      <c r="BE847" t="s">
        <v>5263</v>
      </c>
      <c r="BF847" t="s">
        <v>5264</v>
      </c>
      <c r="BH847" t="s">
        <v>77</v>
      </c>
      <c r="BI847" t="s">
        <v>92</v>
      </c>
      <c r="BJ847" t="s">
        <v>79</v>
      </c>
      <c r="BM847">
        <v>0</v>
      </c>
      <c r="BN847">
        <v>2</v>
      </c>
      <c r="BO847">
        <v>2</v>
      </c>
      <c r="BP847" t="s">
        <v>80</v>
      </c>
      <c r="BR847">
        <v>0</v>
      </c>
      <c r="BS847">
        <v>6</v>
      </c>
      <c r="BU847" s="1">
        <v>518028</v>
      </c>
    </row>
    <row r="848" spans="1:73" x14ac:dyDescent="0.3">
      <c r="A848" t="s">
        <v>5513</v>
      </c>
      <c r="B848">
        <v>0</v>
      </c>
      <c r="C848">
        <v>0</v>
      </c>
      <c r="D848">
        <v>1</v>
      </c>
      <c r="E848">
        <v>59500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 s="1">
        <v>59500</v>
      </c>
      <c r="BD848" t="s">
        <v>74</v>
      </c>
      <c r="BE848" t="s">
        <v>5514</v>
      </c>
      <c r="BF848" t="s">
        <v>5515</v>
      </c>
      <c r="BH848" t="s">
        <v>77</v>
      </c>
      <c r="BI848" t="s">
        <v>78</v>
      </c>
      <c r="BJ848" t="s">
        <v>79</v>
      </c>
      <c r="BM848">
        <v>0</v>
      </c>
      <c r="BN848">
        <v>1</v>
      </c>
      <c r="BO848">
        <v>1</v>
      </c>
      <c r="BP848" t="s">
        <v>80</v>
      </c>
      <c r="BR848">
        <v>0</v>
      </c>
      <c r="BS848">
        <v>6</v>
      </c>
      <c r="BU848" s="1">
        <v>59500</v>
      </c>
    </row>
    <row r="849" spans="1:73" x14ac:dyDescent="0.3">
      <c r="A849" t="s">
        <v>5833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73535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</v>
      </c>
      <c r="BC849" s="1">
        <v>147070</v>
      </c>
      <c r="BD849" t="s">
        <v>74</v>
      </c>
      <c r="BE849" t="s">
        <v>5834</v>
      </c>
      <c r="BF849" t="s">
        <v>5835</v>
      </c>
      <c r="BH849" t="s">
        <v>77</v>
      </c>
      <c r="BI849" t="s">
        <v>574</v>
      </c>
      <c r="BJ849" t="s">
        <v>79</v>
      </c>
      <c r="BM849">
        <v>1</v>
      </c>
      <c r="BN849">
        <v>0</v>
      </c>
      <c r="BO849">
        <v>1</v>
      </c>
      <c r="BP849" t="s">
        <v>80</v>
      </c>
      <c r="BR849">
        <v>0</v>
      </c>
      <c r="BS849">
        <v>6</v>
      </c>
      <c r="BU849" s="1">
        <v>73535</v>
      </c>
    </row>
    <row r="850" spans="1:73" x14ac:dyDescent="0.3">
      <c r="A850" t="s">
        <v>2067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96439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2</v>
      </c>
      <c r="BC850" s="1">
        <v>192878</v>
      </c>
      <c r="BD850" t="s">
        <v>74</v>
      </c>
      <c r="BE850" t="s">
        <v>2068</v>
      </c>
      <c r="BF850" t="s">
        <v>2069</v>
      </c>
      <c r="BH850" t="s">
        <v>77</v>
      </c>
      <c r="BI850" t="s">
        <v>574</v>
      </c>
      <c r="BJ850" t="s">
        <v>79</v>
      </c>
      <c r="BM850">
        <v>1</v>
      </c>
      <c r="BN850">
        <v>0</v>
      </c>
      <c r="BO850">
        <v>1</v>
      </c>
      <c r="BP850" t="s">
        <v>80</v>
      </c>
      <c r="BR850">
        <v>0</v>
      </c>
      <c r="BS850">
        <v>6</v>
      </c>
      <c r="BU850" s="1">
        <v>96439</v>
      </c>
    </row>
    <row r="851" spans="1:73" x14ac:dyDescent="0.3">
      <c r="A851" t="s">
        <v>5259</v>
      </c>
      <c r="B851">
        <v>0</v>
      </c>
      <c r="C851">
        <v>0</v>
      </c>
      <c r="D851">
        <v>2</v>
      </c>
      <c r="E851">
        <v>1346285</v>
      </c>
      <c r="F851">
        <v>0</v>
      </c>
      <c r="G851">
        <v>0</v>
      </c>
      <c r="H851">
        <v>2</v>
      </c>
      <c r="I851">
        <v>106285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4</v>
      </c>
      <c r="BC851" s="1">
        <v>2626285</v>
      </c>
      <c r="BD851" t="s">
        <v>74</v>
      </c>
      <c r="BE851" t="s">
        <v>5260</v>
      </c>
      <c r="BF851" t="s">
        <v>5261</v>
      </c>
      <c r="BH851" t="s">
        <v>77</v>
      </c>
      <c r="BI851" t="s">
        <v>204</v>
      </c>
      <c r="BJ851" t="s">
        <v>79</v>
      </c>
      <c r="BM851">
        <v>0</v>
      </c>
      <c r="BN851">
        <v>2</v>
      </c>
      <c r="BO851">
        <v>2</v>
      </c>
      <c r="BP851" t="s">
        <v>514</v>
      </c>
      <c r="BR851">
        <v>0</v>
      </c>
      <c r="BS851">
        <v>6</v>
      </c>
      <c r="BU851" s="1">
        <v>1452570</v>
      </c>
    </row>
    <row r="852" spans="1:73" x14ac:dyDescent="0.3">
      <c r="A852" t="s">
        <v>1645</v>
      </c>
      <c r="B852">
        <v>1</v>
      </c>
      <c r="C852">
        <v>379396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 s="1">
        <v>379396</v>
      </c>
      <c r="BD852" t="s">
        <v>74</v>
      </c>
      <c r="BE852" t="s">
        <v>1646</v>
      </c>
      <c r="BF852" t="s">
        <v>1647</v>
      </c>
      <c r="BH852" t="s">
        <v>77</v>
      </c>
      <c r="BI852" t="s">
        <v>204</v>
      </c>
      <c r="BJ852" t="s">
        <v>79</v>
      </c>
      <c r="BM852">
        <v>0</v>
      </c>
      <c r="BN852">
        <v>1</v>
      </c>
      <c r="BO852">
        <v>1</v>
      </c>
      <c r="BP852" t="s">
        <v>80</v>
      </c>
      <c r="BR852">
        <v>0</v>
      </c>
      <c r="BS852">
        <v>6</v>
      </c>
      <c r="BU852" s="1">
        <v>379396</v>
      </c>
    </row>
    <row r="853" spans="1:73" x14ac:dyDescent="0.3">
      <c r="A853" t="s">
        <v>2758</v>
      </c>
      <c r="B853">
        <v>2</v>
      </c>
      <c r="C853">
        <v>296928</v>
      </c>
      <c r="D853">
        <v>5</v>
      </c>
      <c r="E853">
        <v>414392</v>
      </c>
      <c r="F853">
        <v>0</v>
      </c>
      <c r="G853">
        <v>0</v>
      </c>
      <c r="H853">
        <v>3</v>
      </c>
      <c r="I853">
        <v>78392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9</v>
      </c>
      <c r="BC853" s="1">
        <v>1047320</v>
      </c>
      <c r="BD853" t="s">
        <v>74</v>
      </c>
      <c r="BE853" t="s">
        <v>2759</v>
      </c>
      <c r="BF853" t="s">
        <v>2760</v>
      </c>
      <c r="BH853" t="s">
        <v>136</v>
      </c>
      <c r="BI853" t="s">
        <v>439</v>
      </c>
      <c r="BJ853" t="s">
        <v>125</v>
      </c>
      <c r="BM853">
        <v>0</v>
      </c>
      <c r="BN853">
        <v>3</v>
      </c>
      <c r="BO853">
        <v>3</v>
      </c>
      <c r="BP853" t="s">
        <v>80</v>
      </c>
      <c r="BR853">
        <v>0</v>
      </c>
      <c r="BS853">
        <v>6</v>
      </c>
      <c r="BU853" s="1">
        <v>789712</v>
      </c>
    </row>
    <row r="854" spans="1:73" x14ac:dyDescent="0.3">
      <c r="A854" t="s">
        <v>2265</v>
      </c>
      <c r="B854">
        <v>1</v>
      </c>
      <c r="C854">
        <v>211377</v>
      </c>
      <c r="D854">
        <v>1</v>
      </c>
      <c r="E854">
        <v>272000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3</v>
      </c>
      <c r="BC854" s="1">
        <v>755377</v>
      </c>
      <c r="BD854" t="s">
        <v>74</v>
      </c>
      <c r="BE854" t="s">
        <v>2266</v>
      </c>
      <c r="BF854" t="s">
        <v>2267</v>
      </c>
      <c r="BH854" t="s">
        <v>136</v>
      </c>
      <c r="BI854" t="s">
        <v>439</v>
      </c>
      <c r="BJ854" t="s">
        <v>125</v>
      </c>
      <c r="BM854">
        <v>0</v>
      </c>
      <c r="BN854">
        <v>2</v>
      </c>
      <c r="BO854">
        <v>2</v>
      </c>
      <c r="BP854" t="s">
        <v>80</v>
      </c>
      <c r="BR854">
        <v>0</v>
      </c>
      <c r="BS854">
        <v>6</v>
      </c>
      <c r="BU854" s="1">
        <v>483377</v>
      </c>
    </row>
    <row r="855" spans="1:73" x14ac:dyDescent="0.3">
      <c r="A855" t="s">
        <v>2247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15000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 s="1">
        <v>15000</v>
      </c>
      <c r="BD855" t="s">
        <v>74</v>
      </c>
      <c r="BE855" t="s">
        <v>2248</v>
      </c>
      <c r="BF855" t="s">
        <v>2249</v>
      </c>
      <c r="BH855" t="s">
        <v>77</v>
      </c>
      <c r="BI855" t="s">
        <v>204</v>
      </c>
      <c r="BJ855" t="s">
        <v>79</v>
      </c>
      <c r="BM855">
        <v>0</v>
      </c>
      <c r="BN855">
        <v>1</v>
      </c>
      <c r="BO855">
        <v>1</v>
      </c>
      <c r="BP855" t="s">
        <v>80</v>
      </c>
      <c r="BR855">
        <v>0</v>
      </c>
      <c r="BS855">
        <v>6</v>
      </c>
      <c r="BU855" s="1">
        <v>15000</v>
      </c>
    </row>
    <row r="856" spans="1:73" x14ac:dyDescent="0.3">
      <c r="A856" t="s">
        <v>711</v>
      </c>
      <c r="B856">
        <v>0</v>
      </c>
      <c r="C856">
        <v>0</v>
      </c>
      <c r="D856">
        <v>1</v>
      </c>
      <c r="E856">
        <v>340000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73535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4</v>
      </c>
      <c r="BC856" s="1">
        <v>827070</v>
      </c>
      <c r="BD856" t="s">
        <v>74</v>
      </c>
      <c r="BE856" t="s">
        <v>712</v>
      </c>
      <c r="BF856" t="s">
        <v>713</v>
      </c>
      <c r="BH856" t="s">
        <v>77</v>
      </c>
      <c r="BI856" t="s">
        <v>204</v>
      </c>
      <c r="BJ856" t="s">
        <v>79</v>
      </c>
      <c r="BM856">
        <v>1</v>
      </c>
      <c r="BN856">
        <v>1</v>
      </c>
      <c r="BO856">
        <v>2</v>
      </c>
      <c r="BP856" t="s">
        <v>80</v>
      </c>
      <c r="BR856">
        <v>0</v>
      </c>
      <c r="BS856">
        <v>6</v>
      </c>
      <c r="BU856" s="1">
        <v>413535</v>
      </c>
    </row>
    <row r="857" spans="1:73" x14ac:dyDescent="0.3">
      <c r="A857" t="s">
        <v>2673</v>
      </c>
      <c r="B857">
        <v>0</v>
      </c>
      <c r="C857">
        <v>0</v>
      </c>
      <c r="D857">
        <v>1</v>
      </c>
      <c r="E857">
        <v>168000</v>
      </c>
      <c r="F857">
        <v>0</v>
      </c>
      <c r="G857">
        <v>0</v>
      </c>
      <c r="H857">
        <v>2</v>
      </c>
      <c r="I857">
        <v>45000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8</v>
      </c>
      <c r="BC857" s="1">
        <v>1083546</v>
      </c>
      <c r="BD857" t="s">
        <v>74</v>
      </c>
      <c r="BE857" t="s">
        <v>2674</v>
      </c>
      <c r="BF857" t="s">
        <v>2675</v>
      </c>
      <c r="BH857" t="s">
        <v>77</v>
      </c>
      <c r="BI857" t="s">
        <v>204</v>
      </c>
      <c r="BJ857" t="s">
        <v>79</v>
      </c>
      <c r="BM857">
        <v>0</v>
      </c>
      <c r="BN857">
        <v>2</v>
      </c>
      <c r="BO857">
        <v>2</v>
      </c>
      <c r="BP857" t="s">
        <v>80</v>
      </c>
      <c r="BR857">
        <v>0</v>
      </c>
      <c r="BS857">
        <v>6</v>
      </c>
      <c r="BU857" s="1">
        <v>213000</v>
      </c>
    </row>
    <row r="858" spans="1:73" x14ac:dyDescent="0.3">
      <c r="A858" t="s">
        <v>1466</v>
      </c>
      <c r="B858">
        <v>0</v>
      </c>
      <c r="C858">
        <v>0</v>
      </c>
      <c r="D858">
        <v>1</v>
      </c>
      <c r="E858">
        <v>480000</v>
      </c>
      <c r="F858">
        <v>0</v>
      </c>
      <c r="G858">
        <v>0</v>
      </c>
      <c r="H858">
        <v>2</v>
      </c>
      <c r="I858">
        <v>45000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3</v>
      </c>
      <c r="BC858" s="1">
        <v>525000</v>
      </c>
      <c r="BD858" t="s">
        <v>74</v>
      </c>
      <c r="BE858" t="s">
        <v>1467</v>
      </c>
      <c r="BF858" t="s">
        <v>1468</v>
      </c>
      <c r="BH858" t="s">
        <v>77</v>
      </c>
      <c r="BI858" t="s">
        <v>204</v>
      </c>
      <c r="BJ858" t="s">
        <v>79</v>
      </c>
      <c r="BM858">
        <v>0</v>
      </c>
      <c r="BN858">
        <v>2</v>
      </c>
      <c r="BO858">
        <v>2</v>
      </c>
      <c r="BP858" t="s">
        <v>80</v>
      </c>
      <c r="BR858">
        <v>0</v>
      </c>
      <c r="BS858">
        <v>6</v>
      </c>
      <c r="BU858" s="1">
        <v>525000</v>
      </c>
    </row>
    <row r="859" spans="1:73" x14ac:dyDescent="0.3">
      <c r="A859" t="s">
        <v>2554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78585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</v>
      </c>
      <c r="BC859" s="1">
        <v>157170</v>
      </c>
      <c r="BD859" t="s">
        <v>74</v>
      </c>
      <c r="BE859" t="s">
        <v>2555</v>
      </c>
      <c r="BF859" t="s">
        <v>2556</v>
      </c>
      <c r="BH859" t="s">
        <v>77</v>
      </c>
      <c r="BI859" t="s">
        <v>204</v>
      </c>
      <c r="BJ859" t="s">
        <v>79</v>
      </c>
      <c r="BM859">
        <v>1</v>
      </c>
      <c r="BN859">
        <v>0</v>
      </c>
      <c r="BO859">
        <v>1</v>
      </c>
      <c r="BP859" t="s">
        <v>80</v>
      </c>
      <c r="BR859">
        <v>0</v>
      </c>
      <c r="BS859">
        <v>6</v>
      </c>
      <c r="BU859" s="1">
        <v>78585</v>
      </c>
    </row>
    <row r="860" spans="1:73" x14ac:dyDescent="0.3">
      <c r="A860" t="s">
        <v>2446</v>
      </c>
      <c r="B860">
        <v>1</v>
      </c>
      <c r="C860">
        <v>180031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 s="1">
        <v>180031</v>
      </c>
      <c r="BD860" t="s">
        <v>74</v>
      </c>
      <c r="BE860" t="s">
        <v>2447</v>
      </c>
      <c r="BF860" t="s">
        <v>2448</v>
      </c>
      <c r="BM860">
        <v>0</v>
      </c>
      <c r="BN860">
        <v>1</v>
      </c>
      <c r="BO860">
        <v>1</v>
      </c>
      <c r="BP860" t="s">
        <v>80</v>
      </c>
      <c r="BR860">
        <v>0</v>
      </c>
      <c r="BS860">
        <v>6</v>
      </c>
      <c r="BU860" s="1">
        <v>180031</v>
      </c>
    </row>
    <row r="861" spans="1:73" x14ac:dyDescent="0.3">
      <c r="A861" t="s">
        <v>2449</v>
      </c>
      <c r="B861">
        <v>1</v>
      </c>
      <c r="C861">
        <v>97491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 s="1">
        <v>97491</v>
      </c>
      <c r="BD861" t="s">
        <v>74</v>
      </c>
      <c r="BE861" t="s">
        <v>2450</v>
      </c>
      <c r="BF861" t="s">
        <v>2451</v>
      </c>
      <c r="BH861" t="s">
        <v>77</v>
      </c>
      <c r="BI861" t="s">
        <v>204</v>
      </c>
      <c r="BJ861" t="s">
        <v>79</v>
      </c>
      <c r="BM861">
        <v>0</v>
      </c>
      <c r="BN861">
        <v>1</v>
      </c>
      <c r="BO861">
        <v>1</v>
      </c>
      <c r="BP861" t="s">
        <v>80</v>
      </c>
      <c r="BR861">
        <v>0</v>
      </c>
      <c r="BS861">
        <v>6</v>
      </c>
      <c r="BU861" s="1">
        <v>97491</v>
      </c>
    </row>
    <row r="862" spans="1:73" x14ac:dyDescent="0.3">
      <c r="A862" t="s">
        <v>1056</v>
      </c>
      <c r="B862">
        <v>0</v>
      </c>
      <c r="C862">
        <v>0</v>
      </c>
      <c r="D862">
        <v>1</v>
      </c>
      <c r="E862">
        <v>250000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</v>
      </c>
      <c r="BC862" s="1">
        <v>250000</v>
      </c>
      <c r="BD862" t="s">
        <v>74</v>
      </c>
      <c r="BE862" t="s">
        <v>1057</v>
      </c>
      <c r="BF862" t="s">
        <v>1058</v>
      </c>
      <c r="BH862" t="s">
        <v>77</v>
      </c>
      <c r="BI862" t="s">
        <v>281</v>
      </c>
      <c r="BJ862" t="s">
        <v>79</v>
      </c>
      <c r="BM862">
        <v>0</v>
      </c>
      <c r="BN862">
        <v>1</v>
      </c>
      <c r="BO862">
        <v>1</v>
      </c>
      <c r="BP862" t="s">
        <v>80</v>
      </c>
      <c r="BR862">
        <v>0</v>
      </c>
      <c r="BS862">
        <v>6</v>
      </c>
      <c r="BU862" s="1">
        <v>250000</v>
      </c>
    </row>
    <row r="863" spans="1:73" x14ac:dyDescent="0.3">
      <c r="A863" t="s">
        <v>4597</v>
      </c>
      <c r="B863">
        <v>0</v>
      </c>
      <c r="C863">
        <v>0</v>
      </c>
      <c r="D863">
        <v>1</v>
      </c>
      <c r="E863">
        <v>190909</v>
      </c>
      <c r="F863">
        <v>0</v>
      </c>
      <c r="G863">
        <v>0</v>
      </c>
      <c r="H863">
        <v>2</v>
      </c>
      <c r="I863">
        <v>45020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11364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8</v>
      </c>
      <c r="BC863" s="1">
        <v>829716</v>
      </c>
      <c r="BD863" t="s">
        <v>74</v>
      </c>
      <c r="BE863" t="s">
        <v>4598</v>
      </c>
      <c r="BF863" t="s">
        <v>4599</v>
      </c>
      <c r="BH863" t="s">
        <v>77</v>
      </c>
      <c r="BI863" t="s">
        <v>524</v>
      </c>
      <c r="BJ863" t="s">
        <v>79</v>
      </c>
      <c r="BM863">
        <v>1</v>
      </c>
      <c r="BN863">
        <v>2</v>
      </c>
      <c r="BO863">
        <v>3</v>
      </c>
      <c r="BP863" t="s">
        <v>514</v>
      </c>
      <c r="BR863">
        <v>0</v>
      </c>
      <c r="BS863">
        <v>6</v>
      </c>
      <c r="BU863" s="1">
        <v>247293</v>
      </c>
    </row>
    <row r="864" spans="1:73" x14ac:dyDescent="0.3">
      <c r="A864" t="s">
        <v>530</v>
      </c>
      <c r="B864">
        <v>0</v>
      </c>
      <c r="C864">
        <v>0</v>
      </c>
      <c r="D864">
        <v>1</v>
      </c>
      <c r="E864">
        <v>190000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</v>
      </c>
      <c r="BC864" s="1">
        <v>380000</v>
      </c>
      <c r="BD864" t="s">
        <v>74</v>
      </c>
      <c r="BE864" t="s">
        <v>531</v>
      </c>
      <c r="BF864" t="s">
        <v>532</v>
      </c>
      <c r="BH864" t="s">
        <v>175</v>
      </c>
      <c r="BI864" t="s">
        <v>176</v>
      </c>
      <c r="BJ864" t="s">
        <v>125</v>
      </c>
      <c r="BM864">
        <v>0</v>
      </c>
      <c r="BN864">
        <v>1</v>
      </c>
      <c r="BO864">
        <v>1</v>
      </c>
      <c r="BP864" t="s">
        <v>80</v>
      </c>
      <c r="BR864">
        <v>0</v>
      </c>
      <c r="BS864">
        <v>6</v>
      </c>
      <c r="BU864" s="1">
        <v>190000</v>
      </c>
    </row>
    <row r="865" spans="1:73" x14ac:dyDescent="0.3">
      <c r="A865" t="s">
        <v>4206</v>
      </c>
      <c r="B865">
        <v>1</v>
      </c>
      <c r="C865">
        <v>241526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</v>
      </c>
      <c r="BC865" s="1">
        <v>241526</v>
      </c>
      <c r="BD865" t="s">
        <v>74</v>
      </c>
      <c r="BE865" t="s">
        <v>4207</v>
      </c>
      <c r="BF865" t="s">
        <v>4208</v>
      </c>
      <c r="BH865" t="s">
        <v>77</v>
      </c>
      <c r="BI865" t="s">
        <v>593</v>
      </c>
      <c r="BJ865" t="s">
        <v>79</v>
      </c>
      <c r="BM865">
        <v>0</v>
      </c>
      <c r="BN865">
        <v>1</v>
      </c>
      <c r="BO865">
        <v>1</v>
      </c>
      <c r="BP865" t="s">
        <v>80</v>
      </c>
      <c r="BR865">
        <v>0</v>
      </c>
      <c r="BS865">
        <v>6</v>
      </c>
      <c r="BU865" s="1">
        <v>241526</v>
      </c>
    </row>
    <row r="866" spans="1:73" x14ac:dyDescent="0.3">
      <c r="A866" t="s">
        <v>5059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78585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  <c r="BC866" s="1">
        <v>78585</v>
      </c>
      <c r="BD866" t="s">
        <v>74</v>
      </c>
      <c r="BE866" t="s">
        <v>5060</v>
      </c>
      <c r="BF866" t="s">
        <v>5061</v>
      </c>
      <c r="BH866" t="s">
        <v>77</v>
      </c>
      <c r="BI866" t="s">
        <v>593</v>
      </c>
      <c r="BJ866" t="s">
        <v>79</v>
      </c>
      <c r="BM866">
        <v>1</v>
      </c>
      <c r="BN866">
        <v>0</v>
      </c>
      <c r="BO866">
        <v>1</v>
      </c>
      <c r="BP866" t="s">
        <v>80</v>
      </c>
      <c r="BR866">
        <v>0</v>
      </c>
      <c r="BS866">
        <v>0</v>
      </c>
      <c r="BU866" s="1">
        <v>78585</v>
      </c>
    </row>
    <row r="867" spans="1:73" x14ac:dyDescent="0.3">
      <c r="A867" t="s">
        <v>5295</v>
      </c>
      <c r="B867">
        <v>0</v>
      </c>
      <c r="C867">
        <v>0</v>
      </c>
      <c r="D867">
        <v>1</v>
      </c>
      <c r="E867">
        <v>338709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2</v>
      </c>
      <c r="BC867" s="1">
        <v>677418</v>
      </c>
      <c r="BD867" t="s">
        <v>74</v>
      </c>
      <c r="BE867" t="s">
        <v>5296</v>
      </c>
      <c r="BF867" t="s">
        <v>5297</v>
      </c>
      <c r="BH867" t="s">
        <v>77</v>
      </c>
      <c r="BI867" t="s">
        <v>593</v>
      </c>
      <c r="BJ867" t="s">
        <v>79</v>
      </c>
      <c r="BM867">
        <v>0</v>
      </c>
      <c r="BN867">
        <v>1</v>
      </c>
      <c r="BO867">
        <v>1</v>
      </c>
      <c r="BP867" t="s">
        <v>80</v>
      </c>
      <c r="BR867">
        <v>0</v>
      </c>
      <c r="BS867">
        <v>6</v>
      </c>
      <c r="BU867" s="1">
        <v>338709</v>
      </c>
    </row>
    <row r="868" spans="1:73" x14ac:dyDescent="0.3">
      <c r="A868" t="s">
        <v>3490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20000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45682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11526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5</v>
      </c>
      <c r="BC868" s="1">
        <v>617208</v>
      </c>
      <c r="BD868" t="s">
        <v>74</v>
      </c>
      <c r="BE868" t="s">
        <v>3491</v>
      </c>
      <c r="BF868" t="s">
        <v>3492</v>
      </c>
      <c r="BH868" t="s">
        <v>77</v>
      </c>
      <c r="BI868" t="s">
        <v>92</v>
      </c>
      <c r="BJ868" t="s">
        <v>79</v>
      </c>
      <c r="BM868">
        <v>2</v>
      </c>
      <c r="BN868">
        <v>1</v>
      </c>
      <c r="BO868">
        <v>3</v>
      </c>
      <c r="BP868" t="s">
        <v>80</v>
      </c>
      <c r="BR868">
        <v>0</v>
      </c>
      <c r="BS868">
        <v>0</v>
      </c>
      <c r="BU868" s="1">
        <v>77208</v>
      </c>
    </row>
    <row r="869" spans="1:73" x14ac:dyDescent="0.3">
      <c r="A869" t="s">
        <v>2983</v>
      </c>
      <c r="B869">
        <v>0</v>
      </c>
      <c r="C869">
        <v>0</v>
      </c>
      <c r="D869">
        <v>1</v>
      </c>
      <c r="E869">
        <v>170000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2</v>
      </c>
      <c r="BC869" s="1">
        <v>340000</v>
      </c>
      <c r="BD869" t="s">
        <v>74</v>
      </c>
      <c r="BE869" t="s">
        <v>2984</v>
      </c>
      <c r="BF869" t="s">
        <v>2985</v>
      </c>
      <c r="BH869" t="s">
        <v>77</v>
      </c>
      <c r="BI869" t="s">
        <v>228</v>
      </c>
      <c r="BJ869" t="s">
        <v>79</v>
      </c>
      <c r="BM869">
        <v>0</v>
      </c>
      <c r="BN869">
        <v>1</v>
      </c>
      <c r="BO869">
        <v>1</v>
      </c>
      <c r="BP869" t="s">
        <v>80</v>
      </c>
      <c r="BR869">
        <v>0</v>
      </c>
      <c r="BS869">
        <v>6</v>
      </c>
      <c r="BU869" s="1">
        <v>170000</v>
      </c>
    </row>
    <row r="870" spans="1:73" x14ac:dyDescent="0.3">
      <c r="A870" t="s">
        <v>5618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73535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57208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3</v>
      </c>
      <c r="BC870" s="1">
        <v>204278</v>
      </c>
      <c r="BD870" t="s">
        <v>74</v>
      </c>
      <c r="BE870" t="s">
        <v>5619</v>
      </c>
      <c r="BF870" t="s">
        <v>5620</v>
      </c>
      <c r="BH870" t="s">
        <v>77</v>
      </c>
      <c r="BI870" t="s">
        <v>228</v>
      </c>
      <c r="BJ870" t="s">
        <v>79</v>
      </c>
      <c r="BM870">
        <v>2</v>
      </c>
      <c r="BN870">
        <v>0</v>
      </c>
      <c r="BO870">
        <v>2</v>
      </c>
      <c r="BP870" t="s">
        <v>80</v>
      </c>
      <c r="BR870">
        <v>0</v>
      </c>
      <c r="BS870">
        <v>6</v>
      </c>
      <c r="BU870" s="1">
        <v>130743</v>
      </c>
    </row>
    <row r="871" spans="1:73" x14ac:dyDescent="0.3">
      <c r="A871" t="s">
        <v>495</v>
      </c>
      <c r="B871">
        <v>1</v>
      </c>
      <c r="C871">
        <v>176363</v>
      </c>
      <c r="D871">
        <v>2</v>
      </c>
      <c r="E871">
        <v>750000</v>
      </c>
      <c r="F871">
        <v>0</v>
      </c>
      <c r="G871">
        <v>0</v>
      </c>
      <c r="H871">
        <v>7</v>
      </c>
      <c r="I871">
        <v>160000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18182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45682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11526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15</v>
      </c>
      <c r="BC871" s="1">
        <v>1679935</v>
      </c>
      <c r="BD871" t="s">
        <v>74</v>
      </c>
      <c r="BE871" t="s">
        <v>496</v>
      </c>
      <c r="BF871" t="s">
        <v>497</v>
      </c>
      <c r="BH871" t="s">
        <v>77</v>
      </c>
      <c r="BI871" t="s">
        <v>228</v>
      </c>
      <c r="BJ871" t="s">
        <v>79</v>
      </c>
      <c r="BM871">
        <v>2</v>
      </c>
      <c r="BN871">
        <v>4</v>
      </c>
      <c r="BO871">
        <v>6</v>
      </c>
      <c r="BP871" t="s">
        <v>80</v>
      </c>
      <c r="BR871">
        <v>0</v>
      </c>
      <c r="BS871">
        <v>6</v>
      </c>
      <c r="BU871" s="1">
        <v>1161753</v>
      </c>
    </row>
    <row r="872" spans="1:73" x14ac:dyDescent="0.3">
      <c r="A872" t="s">
        <v>3433</v>
      </c>
      <c r="B872">
        <v>0</v>
      </c>
      <c r="C872">
        <v>0</v>
      </c>
      <c r="D872">
        <v>1</v>
      </c>
      <c r="E872">
        <v>272000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45682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11526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4</v>
      </c>
      <c r="BC872" s="1">
        <v>601208</v>
      </c>
      <c r="BD872" t="s">
        <v>74</v>
      </c>
      <c r="BE872" t="s">
        <v>3434</v>
      </c>
      <c r="BF872" t="s">
        <v>3435</v>
      </c>
      <c r="BH872" t="s">
        <v>77</v>
      </c>
      <c r="BI872" t="s">
        <v>228</v>
      </c>
      <c r="BJ872" t="s">
        <v>79</v>
      </c>
      <c r="BM872">
        <v>2</v>
      </c>
      <c r="BN872">
        <v>1</v>
      </c>
      <c r="BO872">
        <v>3</v>
      </c>
      <c r="BP872" t="s">
        <v>80</v>
      </c>
      <c r="BR872">
        <v>0</v>
      </c>
      <c r="BS872">
        <v>6</v>
      </c>
      <c r="BU872" s="1">
        <v>329208</v>
      </c>
    </row>
    <row r="873" spans="1:73" x14ac:dyDescent="0.3">
      <c r="A873" t="s">
        <v>4822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57208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</v>
      </c>
      <c r="BC873" s="1">
        <v>57208</v>
      </c>
      <c r="BD873" t="s">
        <v>74</v>
      </c>
      <c r="BE873" t="s">
        <v>4823</v>
      </c>
      <c r="BF873" t="s">
        <v>4824</v>
      </c>
      <c r="BH873" t="s">
        <v>77</v>
      </c>
      <c r="BI873" t="s">
        <v>228</v>
      </c>
      <c r="BJ873" t="s">
        <v>79</v>
      </c>
      <c r="BM873">
        <v>1</v>
      </c>
      <c r="BN873">
        <v>0</v>
      </c>
      <c r="BO873">
        <v>1</v>
      </c>
      <c r="BP873" t="s">
        <v>80</v>
      </c>
      <c r="BR873">
        <v>0</v>
      </c>
      <c r="BS873">
        <v>0</v>
      </c>
      <c r="BU873" s="1">
        <v>57208</v>
      </c>
    </row>
    <row r="874" spans="1:73" x14ac:dyDescent="0.3">
      <c r="A874" t="s">
        <v>4258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39584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3</v>
      </c>
      <c r="BC874" s="1">
        <v>113119</v>
      </c>
      <c r="BD874" t="s">
        <v>74</v>
      </c>
      <c r="BE874" t="s">
        <v>4259</v>
      </c>
      <c r="BF874" t="s">
        <v>4260</v>
      </c>
      <c r="BH874" t="s">
        <v>77</v>
      </c>
      <c r="BI874" t="s">
        <v>78</v>
      </c>
      <c r="BJ874" t="s">
        <v>79</v>
      </c>
      <c r="BM874">
        <v>1</v>
      </c>
      <c r="BN874">
        <v>0</v>
      </c>
      <c r="BO874">
        <v>1</v>
      </c>
      <c r="BP874" t="s">
        <v>80</v>
      </c>
      <c r="BR874">
        <v>0</v>
      </c>
      <c r="BS874">
        <v>6</v>
      </c>
      <c r="BU874" s="1">
        <v>39584</v>
      </c>
    </row>
    <row r="875" spans="1:73" x14ac:dyDescent="0.3">
      <c r="A875" t="s">
        <v>3852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73535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2</v>
      </c>
      <c r="BC875" s="1">
        <v>147070</v>
      </c>
      <c r="BD875" t="s">
        <v>74</v>
      </c>
      <c r="BE875" t="s">
        <v>3853</v>
      </c>
      <c r="BF875" t="s">
        <v>3854</v>
      </c>
      <c r="BH875" t="s">
        <v>77</v>
      </c>
      <c r="BI875" t="s">
        <v>228</v>
      </c>
      <c r="BJ875" t="s">
        <v>79</v>
      </c>
      <c r="BM875">
        <v>1</v>
      </c>
      <c r="BN875">
        <v>0</v>
      </c>
      <c r="BO875">
        <v>1</v>
      </c>
      <c r="BP875" t="s">
        <v>80</v>
      </c>
      <c r="BR875">
        <v>0</v>
      </c>
      <c r="BS875">
        <v>0</v>
      </c>
      <c r="BU875" s="1">
        <v>73535</v>
      </c>
    </row>
    <row r="876" spans="1:73" x14ac:dyDescent="0.3">
      <c r="A876" t="s">
        <v>5279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73535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</v>
      </c>
      <c r="BC876" s="1">
        <v>147070</v>
      </c>
      <c r="BD876" t="s">
        <v>74</v>
      </c>
      <c r="BE876" t="s">
        <v>5280</v>
      </c>
      <c r="BF876" t="s">
        <v>3854</v>
      </c>
      <c r="BH876" t="s">
        <v>77</v>
      </c>
      <c r="BI876" t="s">
        <v>228</v>
      </c>
      <c r="BJ876" t="s">
        <v>79</v>
      </c>
      <c r="BM876">
        <v>1</v>
      </c>
      <c r="BN876">
        <v>0</v>
      </c>
      <c r="BO876">
        <v>1</v>
      </c>
      <c r="BP876" t="s">
        <v>80</v>
      </c>
      <c r="BR876">
        <v>0</v>
      </c>
      <c r="BS876">
        <v>0</v>
      </c>
      <c r="BU876" s="1">
        <v>73535</v>
      </c>
    </row>
    <row r="877" spans="1:73" x14ac:dyDescent="0.3">
      <c r="A877" t="s">
        <v>2586</v>
      </c>
      <c r="B877">
        <v>0</v>
      </c>
      <c r="C877">
        <v>0</v>
      </c>
      <c r="D877">
        <v>1</v>
      </c>
      <c r="E877">
        <v>145454</v>
      </c>
      <c r="F877">
        <v>0</v>
      </c>
      <c r="G877">
        <v>0</v>
      </c>
      <c r="H877">
        <v>2</v>
      </c>
      <c r="I877">
        <v>40000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4</v>
      </c>
      <c r="BC877" s="1">
        <v>330908</v>
      </c>
      <c r="BD877" t="s">
        <v>74</v>
      </c>
      <c r="BE877" t="s">
        <v>2587</v>
      </c>
      <c r="BF877" t="s">
        <v>2588</v>
      </c>
      <c r="BH877" t="s">
        <v>77</v>
      </c>
      <c r="BI877" t="s">
        <v>593</v>
      </c>
      <c r="BJ877" t="s">
        <v>79</v>
      </c>
      <c r="BM877">
        <v>0</v>
      </c>
      <c r="BN877">
        <v>2</v>
      </c>
      <c r="BO877">
        <v>2</v>
      </c>
      <c r="BP877" t="s">
        <v>80</v>
      </c>
      <c r="BR877">
        <v>0</v>
      </c>
      <c r="BS877">
        <v>6</v>
      </c>
      <c r="BU877" s="1">
        <v>185454</v>
      </c>
    </row>
    <row r="878" spans="1:73" x14ac:dyDescent="0.3">
      <c r="A878" t="s">
        <v>3742</v>
      </c>
      <c r="B878">
        <v>0</v>
      </c>
      <c r="C878">
        <v>0</v>
      </c>
      <c r="D878">
        <v>1</v>
      </c>
      <c r="E878">
        <v>350000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2</v>
      </c>
      <c r="BC878" s="1">
        <v>700000</v>
      </c>
      <c r="BD878" t="s">
        <v>74</v>
      </c>
      <c r="BE878" t="s">
        <v>3743</v>
      </c>
      <c r="BF878" t="s">
        <v>3744</v>
      </c>
      <c r="BH878" t="s">
        <v>77</v>
      </c>
      <c r="BI878" t="s">
        <v>593</v>
      </c>
      <c r="BJ878" t="s">
        <v>79</v>
      </c>
      <c r="BM878">
        <v>0</v>
      </c>
      <c r="BN878">
        <v>1</v>
      </c>
      <c r="BO878">
        <v>1</v>
      </c>
      <c r="BP878" t="s">
        <v>80</v>
      </c>
      <c r="BR878">
        <v>0</v>
      </c>
      <c r="BS878">
        <v>6</v>
      </c>
      <c r="BU878" s="1">
        <v>350000</v>
      </c>
    </row>
    <row r="879" spans="1:73" x14ac:dyDescent="0.3">
      <c r="A879" t="s">
        <v>746</v>
      </c>
      <c r="B879">
        <v>0</v>
      </c>
      <c r="C879">
        <v>0</v>
      </c>
      <c r="D879">
        <v>1</v>
      </c>
      <c r="E879">
        <v>246857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2</v>
      </c>
      <c r="BC879" s="1">
        <v>493714</v>
      </c>
      <c r="BD879" t="s">
        <v>74</v>
      </c>
      <c r="BE879" t="s">
        <v>747</v>
      </c>
      <c r="BF879" t="s">
        <v>748</v>
      </c>
      <c r="BH879" t="s">
        <v>136</v>
      </c>
      <c r="BI879" t="s">
        <v>333</v>
      </c>
      <c r="BJ879" t="s">
        <v>125</v>
      </c>
      <c r="BM879">
        <v>0</v>
      </c>
      <c r="BN879">
        <v>1</v>
      </c>
      <c r="BO879">
        <v>1</v>
      </c>
      <c r="BP879" t="s">
        <v>80</v>
      </c>
      <c r="BR879">
        <v>0</v>
      </c>
      <c r="BS879">
        <v>6</v>
      </c>
      <c r="BU879" s="1">
        <v>246857</v>
      </c>
    </row>
    <row r="880" spans="1:73" x14ac:dyDescent="0.3">
      <c r="A880" t="s">
        <v>3239</v>
      </c>
      <c r="B880">
        <v>2</v>
      </c>
      <c r="C880">
        <v>541935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2</v>
      </c>
      <c r="BC880" s="1">
        <v>541935</v>
      </c>
      <c r="BD880" t="s">
        <v>74</v>
      </c>
      <c r="BE880" t="s">
        <v>3240</v>
      </c>
      <c r="BF880" t="s">
        <v>3241</v>
      </c>
      <c r="BH880" t="s">
        <v>77</v>
      </c>
      <c r="BI880" t="s">
        <v>204</v>
      </c>
      <c r="BJ880" t="s">
        <v>79</v>
      </c>
      <c r="BM880">
        <v>0</v>
      </c>
      <c r="BN880">
        <v>1</v>
      </c>
      <c r="BO880">
        <v>1</v>
      </c>
      <c r="BP880" t="s">
        <v>80</v>
      </c>
      <c r="BR880">
        <v>0</v>
      </c>
      <c r="BS880">
        <v>6</v>
      </c>
      <c r="BU880" s="1">
        <v>541935</v>
      </c>
    </row>
    <row r="881" spans="1:73" x14ac:dyDescent="0.3">
      <c r="A881" t="s">
        <v>4949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47916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 s="1">
        <v>47916</v>
      </c>
      <c r="BD881" t="s">
        <v>74</v>
      </c>
      <c r="BE881" t="s">
        <v>4950</v>
      </c>
      <c r="BF881" t="s">
        <v>4951</v>
      </c>
      <c r="BH881" t="s">
        <v>77</v>
      </c>
      <c r="BI881" t="s">
        <v>204</v>
      </c>
      <c r="BJ881" t="s">
        <v>79</v>
      </c>
      <c r="BM881">
        <v>1</v>
      </c>
      <c r="BN881">
        <v>0</v>
      </c>
      <c r="BO881">
        <v>1</v>
      </c>
      <c r="BP881" t="s">
        <v>80</v>
      </c>
      <c r="BR881">
        <v>0</v>
      </c>
      <c r="BS881">
        <v>0</v>
      </c>
      <c r="BU881" s="1">
        <v>47916</v>
      </c>
    </row>
    <row r="882" spans="1:73" x14ac:dyDescent="0.3">
      <c r="A882" t="s">
        <v>2855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96439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2</v>
      </c>
      <c r="BC882" s="1">
        <v>192878</v>
      </c>
      <c r="BD882" t="s">
        <v>74</v>
      </c>
      <c r="BE882" t="s">
        <v>2856</v>
      </c>
      <c r="BF882" t="s">
        <v>2857</v>
      </c>
      <c r="BH882" t="s">
        <v>77</v>
      </c>
      <c r="BI882" t="s">
        <v>88</v>
      </c>
      <c r="BJ882" t="s">
        <v>79</v>
      </c>
      <c r="BM882">
        <v>1</v>
      </c>
      <c r="BN882">
        <v>0</v>
      </c>
      <c r="BO882">
        <v>1</v>
      </c>
      <c r="BP882" t="s">
        <v>80</v>
      </c>
      <c r="BR882">
        <v>0</v>
      </c>
      <c r="BS882">
        <v>6</v>
      </c>
      <c r="BU882" s="1">
        <v>96439</v>
      </c>
    </row>
    <row r="883" spans="1:73" x14ac:dyDescent="0.3">
      <c r="A883" t="s">
        <v>4069</v>
      </c>
      <c r="B883">
        <v>0</v>
      </c>
      <c r="C883">
        <v>0</v>
      </c>
      <c r="D883">
        <v>1</v>
      </c>
      <c r="E883">
        <v>200000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18182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4</v>
      </c>
      <c r="BC883" s="1">
        <v>436364</v>
      </c>
      <c r="BD883" t="s">
        <v>74</v>
      </c>
      <c r="BE883" t="s">
        <v>4070</v>
      </c>
      <c r="BF883" t="s">
        <v>4071</v>
      </c>
      <c r="BH883" t="s">
        <v>77</v>
      </c>
      <c r="BI883" t="s">
        <v>281</v>
      </c>
      <c r="BJ883" t="s">
        <v>79</v>
      </c>
      <c r="BM883">
        <v>0</v>
      </c>
      <c r="BN883">
        <v>2</v>
      </c>
      <c r="BO883">
        <v>2</v>
      </c>
      <c r="BP883" t="s">
        <v>80</v>
      </c>
      <c r="BR883">
        <v>0</v>
      </c>
      <c r="BS883">
        <v>6</v>
      </c>
      <c r="BU883" s="1">
        <v>218182</v>
      </c>
    </row>
    <row r="884" spans="1:73" x14ac:dyDescent="0.3">
      <c r="A884" t="s">
        <v>3779</v>
      </c>
      <c r="B884">
        <v>0</v>
      </c>
      <c r="C884">
        <v>0</v>
      </c>
      <c r="D884">
        <v>1</v>
      </c>
      <c r="E884">
        <v>350000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2</v>
      </c>
      <c r="BC884" s="1">
        <v>700000</v>
      </c>
      <c r="BD884" t="s">
        <v>74</v>
      </c>
      <c r="BE884" t="s">
        <v>3780</v>
      </c>
      <c r="BF884" t="s">
        <v>3781</v>
      </c>
      <c r="BH884" t="s">
        <v>77</v>
      </c>
      <c r="BI884" t="s">
        <v>92</v>
      </c>
      <c r="BJ884" t="s">
        <v>79</v>
      </c>
      <c r="BM884">
        <v>0</v>
      </c>
      <c r="BN884">
        <v>1</v>
      </c>
      <c r="BO884">
        <v>1</v>
      </c>
      <c r="BP884" t="s">
        <v>80</v>
      </c>
      <c r="BR884">
        <v>0</v>
      </c>
      <c r="BS884">
        <v>6</v>
      </c>
      <c r="BU884" s="1">
        <v>350000</v>
      </c>
    </row>
    <row r="885" spans="1:73" x14ac:dyDescent="0.3">
      <c r="A885" t="s">
        <v>4034</v>
      </c>
      <c r="B885">
        <v>0</v>
      </c>
      <c r="C885">
        <v>0</v>
      </c>
      <c r="D885">
        <v>1</v>
      </c>
      <c r="E885">
        <v>500000</v>
      </c>
      <c r="F885">
        <v>0</v>
      </c>
      <c r="G885">
        <v>0</v>
      </c>
      <c r="H885">
        <v>2</v>
      </c>
      <c r="I885">
        <v>40000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3</v>
      </c>
      <c r="BC885" s="1">
        <v>540000</v>
      </c>
      <c r="BD885" t="s">
        <v>74</v>
      </c>
      <c r="BE885" t="s">
        <v>4035</v>
      </c>
      <c r="BF885" t="s">
        <v>3781</v>
      </c>
      <c r="BH885" t="s">
        <v>77</v>
      </c>
      <c r="BI885" t="s">
        <v>92</v>
      </c>
      <c r="BJ885" t="s">
        <v>79</v>
      </c>
      <c r="BM885">
        <v>0</v>
      </c>
      <c r="BN885">
        <v>2</v>
      </c>
      <c r="BO885">
        <v>2</v>
      </c>
      <c r="BP885" t="s">
        <v>80</v>
      </c>
      <c r="BR885">
        <v>0</v>
      </c>
      <c r="BS885">
        <v>6</v>
      </c>
      <c r="BU885" s="1">
        <v>540000</v>
      </c>
    </row>
    <row r="886" spans="1:73" x14ac:dyDescent="0.3">
      <c r="A886" t="s">
        <v>5604</v>
      </c>
      <c r="B886">
        <v>0</v>
      </c>
      <c r="C886">
        <v>0</v>
      </c>
      <c r="D886">
        <v>1</v>
      </c>
      <c r="E886">
        <v>240000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</v>
      </c>
      <c r="BC886" s="1">
        <v>480000</v>
      </c>
      <c r="BD886" t="s">
        <v>74</v>
      </c>
      <c r="BE886" t="s">
        <v>5605</v>
      </c>
      <c r="BF886" t="s">
        <v>3781</v>
      </c>
      <c r="BH886" t="s">
        <v>77</v>
      </c>
      <c r="BI886" t="s">
        <v>92</v>
      </c>
      <c r="BJ886" t="s">
        <v>79</v>
      </c>
      <c r="BM886">
        <v>0</v>
      </c>
      <c r="BN886">
        <v>1</v>
      </c>
      <c r="BO886">
        <v>1</v>
      </c>
      <c r="BP886" t="s">
        <v>80</v>
      </c>
      <c r="BR886">
        <v>0</v>
      </c>
      <c r="BS886">
        <v>6</v>
      </c>
      <c r="BU886" s="1">
        <v>240000</v>
      </c>
    </row>
    <row r="887" spans="1:73" x14ac:dyDescent="0.3">
      <c r="A887" t="s">
        <v>5927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78585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2</v>
      </c>
      <c r="BC887" s="1">
        <v>157170</v>
      </c>
      <c r="BD887" t="s">
        <v>74</v>
      </c>
      <c r="BE887" t="s">
        <v>5928</v>
      </c>
      <c r="BF887" t="s">
        <v>5929</v>
      </c>
      <c r="BH887" t="s">
        <v>77</v>
      </c>
      <c r="BI887" t="s">
        <v>92</v>
      </c>
      <c r="BJ887" t="s">
        <v>79</v>
      </c>
      <c r="BM887">
        <v>1</v>
      </c>
      <c r="BN887">
        <v>0</v>
      </c>
      <c r="BO887">
        <v>1</v>
      </c>
      <c r="BP887" t="s">
        <v>80</v>
      </c>
      <c r="BR887">
        <v>0</v>
      </c>
      <c r="BS887">
        <v>6</v>
      </c>
      <c r="BU887" s="1">
        <v>78585</v>
      </c>
    </row>
    <row r="888" spans="1:73" x14ac:dyDescent="0.3">
      <c r="A888" t="s">
        <v>5763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43523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4394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4</v>
      </c>
      <c r="BC888" s="1">
        <v>95834</v>
      </c>
      <c r="BD888" t="s">
        <v>74</v>
      </c>
      <c r="BE888" t="s">
        <v>5764</v>
      </c>
      <c r="BF888" t="s">
        <v>5765</v>
      </c>
      <c r="BH888" t="s">
        <v>77</v>
      </c>
      <c r="BI888" t="s">
        <v>593</v>
      </c>
      <c r="BJ888" t="s">
        <v>79</v>
      </c>
      <c r="BM888">
        <v>2</v>
      </c>
      <c r="BN888">
        <v>0</v>
      </c>
      <c r="BO888">
        <v>2</v>
      </c>
      <c r="BP888" t="s">
        <v>80</v>
      </c>
      <c r="BR888">
        <v>0</v>
      </c>
      <c r="BS888">
        <v>6</v>
      </c>
      <c r="BU888" s="1">
        <v>47917</v>
      </c>
    </row>
    <row r="889" spans="1:73" x14ac:dyDescent="0.3">
      <c r="A889" t="s">
        <v>1334</v>
      </c>
      <c r="B889">
        <v>0</v>
      </c>
      <c r="C889">
        <v>0</v>
      </c>
      <c r="D889">
        <v>4</v>
      </c>
      <c r="E889">
        <v>311291</v>
      </c>
      <c r="F889">
        <v>0</v>
      </c>
      <c r="G889">
        <v>0</v>
      </c>
      <c r="H889">
        <v>6</v>
      </c>
      <c r="I889">
        <v>100000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8</v>
      </c>
      <c r="BC889" s="1">
        <v>622582</v>
      </c>
      <c r="BD889" t="s">
        <v>74</v>
      </c>
      <c r="BE889" t="s">
        <v>1335</v>
      </c>
      <c r="BF889" t="s">
        <v>1336</v>
      </c>
      <c r="BH889" t="s">
        <v>77</v>
      </c>
      <c r="BI889" t="s">
        <v>88</v>
      </c>
      <c r="BJ889" t="s">
        <v>79</v>
      </c>
      <c r="BM889">
        <v>0</v>
      </c>
      <c r="BN889">
        <v>2</v>
      </c>
      <c r="BO889">
        <v>2</v>
      </c>
      <c r="BP889" t="s">
        <v>80</v>
      </c>
      <c r="BR889">
        <v>0</v>
      </c>
      <c r="BS889">
        <v>6</v>
      </c>
      <c r="BU889" s="1">
        <v>411291</v>
      </c>
    </row>
    <row r="890" spans="1:73" x14ac:dyDescent="0.3">
      <c r="A890" t="s">
        <v>236</v>
      </c>
      <c r="B890">
        <v>0</v>
      </c>
      <c r="C890">
        <v>0</v>
      </c>
      <c r="D890">
        <v>1</v>
      </c>
      <c r="E890">
        <v>468000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 s="1">
        <v>468000</v>
      </c>
      <c r="BD890" t="s">
        <v>74</v>
      </c>
      <c r="BE890" t="s">
        <v>237</v>
      </c>
      <c r="BF890" t="s">
        <v>238</v>
      </c>
      <c r="BH890" t="s">
        <v>77</v>
      </c>
      <c r="BI890" t="s">
        <v>92</v>
      </c>
      <c r="BJ890" t="s">
        <v>79</v>
      </c>
      <c r="BM890">
        <v>0</v>
      </c>
      <c r="BN890">
        <v>1</v>
      </c>
      <c r="BO890">
        <v>1</v>
      </c>
      <c r="BP890" t="s">
        <v>80</v>
      </c>
      <c r="BR890">
        <v>0</v>
      </c>
      <c r="BS890">
        <v>6</v>
      </c>
      <c r="BU890" s="1">
        <v>468000</v>
      </c>
    </row>
    <row r="891" spans="1:73" x14ac:dyDescent="0.3">
      <c r="A891" t="s">
        <v>3377</v>
      </c>
      <c r="B891">
        <v>0</v>
      </c>
      <c r="C891">
        <v>0</v>
      </c>
      <c r="D891">
        <v>3</v>
      </c>
      <c r="E891">
        <v>554545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6</v>
      </c>
      <c r="BC891" s="1">
        <v>1084545</v>
      </c>
      <c r="BD891" t="s">
        <v>74</v>
      </c>
      <c r="BE891" t="s">
        <v>3378</v>
      </c>
      <c r="BF891" t="s">
        <v>3379</v>
      </c>
      <c r="BH891" t="s">
        <v>77</v>
      </c>
      <c r="BI891" t="s">
        <v>574</v>
      </c>
      <c r="BJ891" t="s">
        <v>79</v>
      </c>
      <c r="BM891">
        <v>0</v>
      </c>
      <c r="BN891">
        <v>1</v>
      </c>
      <c r="BO891">
        <v>1</v>
      </c>
      <c r="BP891" t="s">
        <v>80</v>
      </c>
      <c r="BR891">
        <v>0</v>
      </c>
      <c r="BS891">
        <v>6</v>
      </c>
      <c r="BU891" s="1">
        <v>554545</v>
      </c>
    </row>
    <row r="892" spans="1:73" x14ac:dyDescent="0.3">
      <c r="A892" t="s">
        <v>3691</v>
      </c>
      <c r="B892">
        <v>16</v>
      </c>
      <c r="C892">
        <v>5620680</v>
      </c>
      <c r="D892">
        <v>1</v>
      </c>
      <c r="E892">
        <v>500000</v>
      </c>
      <c r="F892">
        <v>0</v>
      </c>
      <c r="G892">
        <v>0</v>
      </c>
      <c r="H892">
        <v>1</v>
      </c>
      <c r="I892">
        <v>20000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67878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21</v>
      </c>
      <c r="BC892" s="1">
        <v>6312547</v>
      </c>
      <c r="BD892" t="s">
        <v>74</v>
      </c>
      <c r="BE892" t="s">
        <v>3692</v>
      </c>
      <c r="BF892" t="s">
        <v>3693</v>
      </c>
      <c r="BH892" t="s">
        <v>77</v>
      </c>
      <c r="BI892" t="s">
        <v>129</v>
      </c>
      <c r="BJ892" t="s">
        <v>79</v>
      </c>
      <c r="BM892">
        <v>1</v>
      </c>
      <c r="BN892">
        <v>3</v>
      </c>
      <c r="BO892">
        <v>4</v>
      </c>
      <c r="BP892" t="s">
        <v>80</v>
      </c>
      <c r="BR892">
        <v>0</v>
      </c>
      <c r="BS892">
        <v>6</v>
      </c>
      <c r="BU892" s="1">
        <v>6208558</v>
      </c>
    </row>
    <row r="893" spans="1:73" x14ac:dyDescent="0.3">
      <c r="A893" t="s">
        <v>5156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78585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2</v>
      </c>
      <c r="BC893" s="1">
        <v>157170</v>
      </c>
      <c r="BD893" t="s">
        <v>74</v>
      </c>
      <c r="BE893" t="s">
        <v>5157</v>
      </c>
      <c r="BF893" t="s">
        <v>5158</v>
      </c>
      <c r="BH893" t="s">
        <v>77</v>
      </c>
      <c r="BI893" t="s">
        <v>129</v>
      </c>
      <c r="BJ893" t="s">
        <v>79</v>
      </c>
      <c r="BM893">
        <v>1</v>
      </c>
      <c r="BN893">
        <v>0</v>
      </c>
      <c r="BO893">
        <v>1</v>
      </c>
      <c r="BP893" t="s">
        <v>80</v>
      </c>
      <c r="BR893">
        <v>0</v>
      </c>
      <c r="BS893">
        <v>6</v>
      </c>
      <c r="BU893" s="1">
        <v>78585</v>
      </c>
    </row>
    <row r="894" spans="1:73" x14ac:dyDescent="0.3">
      <c r="A894" t="s">
        <v>1510</v>
      </c>
      <c r="B894">
        <v>1</v>
      </c>
      <c r="C894">
        <v>51026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 s="1">
        <v>51026</v>
      </c>
      <c r="BD894" t="s">
        <v>74</v>
      </c>
      <c r="BE894" t="s">
        <v>1511</v>
      </c>
      <c r="BF894" t="s">
        <v>1512</v>
      </c>
      <c r="BH894" t="s">
        <v>77</v>
      </c>
      <c r="BI894" t="s">
        <v>574</v>
      </c>
      <c r="BJ894" t="s">
        <v>79</v>
      </c>
      <c r="BM894">
        <v>0</v>
      </c>
      <c r="BN894">
        <v>1</v>
      </c>
      <c r="BO894">
        <v>1</v>
      </c>
      <c r="BP894" t="s">
        <v>80</v>
      </c>
      <c r="BR894">
        <v>0</v>
      </c>
      <c r="BS894">
        <v>6</v>
      </c>
      <c r="BU894" s="1">
        <v>51026</v>
      </c>
    </row>
    <row r="895" spans="1:73" x14ac:dyDescent="0.3">
      <c r="A895" t="s">
        <v>2416</v>
      </c>
      <c r="B895">
        <v>0</v>
      </c>
      <c r="C895">
        <v>0</v>
      </c>
      <c r="D895">
        <v>1</v>
      </c>
      <c r="E895">
        <v>411428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5</v>
      </c>
      <c r="BC895" s="1">
        <v>1269089</v>
      </c>
      <c r="BD895" t="s">
        <v>74</v>
      </c>
      <c r="BE895" t="s">
        <v>2417</v>
      </c>
      <c r="BF895" t="s">
        <v>2418</v>
      </c>
      <c r="BH895" t="s">
        <v>77</v>
      </c>
      <c r="BI895" t="s">
        <v>281</v>
      </c>
      <c r="BJ895" t="s">
        <v>79</v>
      </c>
      <c r="BM895">
        <v>0</v>
      </c>
      <c r="BN895">
        <v>1</v>
      </c>
      <c r="BO895">
        <v>1</v>
      </c>
      <c r="BP895" t="s">
        <v>80</v>
      </c>
      <c r="BR895">
        <v>0</v>
      </c>
      <c r="BS895">
        <v>6</v>
      </c>
      <c r="BU895" s="1">
        <v>411428</v>
      </c>
    </row>
    <row r="896" spans="1:73" x14ac:dyDescent="0.3">
      <c r="A896" t="s">
        <v>4296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73535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2</v>
      </c>
      <c r="BC896" s="1">
        <v>147070</v>
      </c>
      <c r="BD896" t="s">
        <v>74</v>
      </c>
      <c r="BE896" t="s">
        <v>4297</v>
      </c>
      <c r="BF896" t="s">
        <v>4298</v>
      </c>
      <c r="BH896" t="s">
        <v>77</v>
      </c>
      <c r="BI896" t="s">
        <v>92</v>
      </c>
      <c r="BJ896" t="s">
        <v>79</v>
      </c>
      <c r="BM896">
        <v>1</v>
      </c>
      <c r="BN896">
        <v>0</v>
      </c>
      <c r="BO896">
        <v>1</v>
      </c>
      <c r="BP896" t="s">
        <v>80</v>
      </c>
      <c r="BR896">
        <v>0</v>
      </c>
      <c r="BS896">
        <v>6</v>
      </c>
      <c r="BU896" s="1">
        <v>73535</v>
      </c>
    </row>
    <row r="897" spans="1:73" x14ac:dyDescent="0.3">
      <c r="A897" t="s">
        <v>2421</v>
      </c>
      <c r="B897">
        <v>1</v>
      </c>
      <c r="C897">
        <v>365612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82993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3</v>
      </c>
      <c r="BC897" s="1">
        <v>531598</v>
      </c>
      <c r="BD897" t="s">
        <v>74</v>
      </c>
      <c r="BE897" t="s">
        <v>2422</v>
      </c>
      <c r="BF897" t="s">
        <v>2423</v>
      </c>
      <c r="BH897" t="s">
        <v>77</v>
      </c>
      <c r="BI897" t="s">
        <v>228</v>
      </c>
      <c r="BJ897" t="s">
        <v>79</v>
      </c>
      <c r="BM897">
        <v>1</v>
      </c>
      <c r="BN897">
        <v>1</v>
      </c>
      <c r="BO897">
        <v>2</v>
      </c>
      <c r="BP897" t="s">
        <v>80</v>
      </c>
      <c r="BR897">
        <v>0</v>
      </c>
      <c r="BS897">
        <v>6</v>
      </c>
      <c r="BU897" s="1">
        <v>448605</v>
      </c>
    </row>
    <row r="898" spans="1:73" x14ac:dyDescent="0.3">
      <c r="A898" t="s">
        <v>4528</v>
      </c>
      <c r="B898">
        <v>0</v>
      </c>
      <c r="C898">
        <v>0</v>
      </c>
      <c r="D898">
        <v>1</v>
      </c>
      <c r="E898">
        <v>480000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2</v>
      </c>
      <c r="BC898" s="1">
        <v>960000</v>
      </c>
      <c r="BD898" t="s">
        <v>74</v>
      </c>
      <c r="BE898" t="s">
        <v>4529</v>
      </c>
      <c r="BF898" t="s">
        <v>4530</v>
      </c>
      <c r="BH898" t="s">
        <v>77</v>
      </c>
      <c r="BI898" t="s">
        <v>78</v>
      </c>
      <c r="BJ898" t="s">
        <v>79</v>
      </c>
      <c r="BM898">
        <v>0</v>
      </c>
      <c r="BN898">
        <v>1</v>
      </c>
      <c r="BO898">
        <v>1</v>
      </c>
      <c r="BP898" t="s">
        <v>80</v>
      </c>
      <c r="BR898">
        <v>0</v>
      </c>
      <c r="BS898">
        <v>6</v>
      </c>
      <c r="BU898" s="1">
        <v>480000</v>
      </c>
    </row>
    <row r="899" spans="1:73" x14ac:dyDescent="0.3">
      <c r="A899" t="s">
        <v>1294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19792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 s="1">
        <v>19792</v>
      </c>
      <c r="BD899" t="s">
        <v>74</v>
      </c>
      <c r="BE899" t="s">
        <v>1295</v>
      </c>
      <c r="BF899" t="s">
        <v>1296</v>
      </c>
      <c r="BH899" t="s">
        <v>77</v>
      </c>
      <c r="BI899" t="s">
        <v>78</v>
      </c>
      <c r="BJ899" t="s">
        <v>79</v>
      </c>
      <c r="BM899">
        <v>1</v>
      </c>
      <c r="BN899">
        <v>0</v>
      </c>
      <c r="BO899">
        <v>1</v>
      </c>
      <c r="BP899" t="s">
        <v>80</v>
      </c>
      <c r="BR899">
        <v>0</v>
      </c>
      <c r="BS899">
        <v>0</v>
      </c>
      <c r="BU899" s="1">
        <v>19792</v>
      </c>
    </row>
    <row r="900" spans="1:73" x14ac:dyDescent="0.3">
      <c r="A900" t="s">
        <v>4651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19792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</v>
      </c>
      <c r="BC900" s="1">
        <v>19792</v>
      </c>
      <c r="BD900" t="s">
        <v>74</v>
      </c>
      <c r="BE900" t="s">
        <v>4652</v>
      </c>
      <c r="BF900" t="s">
        <v>4653</v>
      </c>
      <c r="BH900" t="s">
        <v>77</v>
      </c>
      <c r="BI900" t="s">
        <v>129</v>
      </c>
      <c r="BJ900" t="s">
        <v>79</v>
      </c>
      <c r="BM900">
        <v>1</v>
      </c>
      <c r="BN900">
        <v>0</v>
      </c>
      <c r="BO900">
        <v>1</v>
      </c>
      <c r="BP900" t="s">
        <v>80</v>
      </c>
      <c r="BR900">
        <v>0</v>
      </c>
      <c r="BS900">
        <v>0</v>
      </c>
      <c r="BU900" s="1">
        <v>19792</v>
      </c>
    </row>
    <row r="901" spans="1:73" x14ac:dyDescent="0.3">
      <c r="A901" t="s">
        <v>693</v>
      </c>
      <c r="B901">
        <v>2</v>
      </c>
      <c r="C901">
        <v>421661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</v>
      </c>
      <c r="BC901" s="1">
        <v>421661</v>
      </c>
      <c r="BD901" t="s">
        <v>74</v>
      </c>
      <c r="BE901" t="s">
        <v>694</v>
      </c>
      <c r="BF901" t="s">
        <v>695</v>
      </c>
      <c r="BH901" t="s">
        <v>114</v>
      </c>
      <c r="BI901" t="s">
        <v>141</v>
      </c>
      <c r="BJ901" t="s">
        <v>79</v>
      </c>
      <c r="BM901">
        <v>0</v>
      </c>
      <c r="BN901">
        <v>1</v>
      </c>
      <c r="BO901">
        <v>1</v>
      </c>
      <c r="BP901" t="s">
        <v>80</v>
      </c>
      <c r="BR901">
        <v>0</v>
      </c>
      <c r="BS901">
        <v>6</v>
      </c>
      <c r="BU901" s="1">
        <v>421661</v>
      </c>
    </row>
    <row r="902" spans="1:73" x14ac:dyDescent="0.3">
      <c r="A902" t="s">
        <v>1406</v>
      </c>
      <c r="B902">
        <v>0</v>
      </c>
      <c r="C902">
        <v>0</v>
      </c>
      <c r="D902">
        <v>1</v>
      </c>
      <c r="E902">
        <v>864000</v>
      </c>
      <c r="F902">
        <v>0</v>
      </c>
      <c r="G902">
        <v>0</v>
      </c>
      <c r="H902">
        <v>2</v>
      </c>
      <c r="I902">
        <v>40089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3</v>
      </c>
      <c r="BC902" s="1">
        <v>904089</v>
      </c>
      <c r="BD902" t="s">
        <v>74</v>
      </c>
      <c r="BE902" t="s">
        <v>1407</v>
      </c>
      <c r="BF902" t="s">
        <v>1408</v>
      </c>
      <c r="BH902" t="s">
        <v>77</v>
      </c>
      <c r="BI902" t="s">
        <v>228</v>
      </c>
      <c r="BJ902" t="s">
        <v>79</v>
      </c>
      <c r="BM902">
        <v>0</v>
      </c>
      <c r="BN902">
        <v>2</v>
      </c>
      <c r="BO902">
        <v>2</v>
      </c>
      <c r="BP902" t="s">
        <v>80</v>
      </c>
      <c r="BR902">
        <v>0</v>
      </c>
      <c r="BS902">
        <v>6</v>
      </c>
      <c r="BU902" s="1">
        <v>904089</v>
      </c>
    </row>
    <row r="903" spans="1:73" x14ac:dyDescent="0.3">
      <c r="A903" t="s">
        <v>3236</v>
      </c>
      <c r="B903">
        <v>1</v>
      </c>
      <c r="C903">
        <v>262464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 s="1">
        <v>262464</v>
      </c>
      <c r="BD903" t="s">
        <v>74</v>
      </c>
      <c r="BE903" t="s">
        <v>3237</v>
      </c>
      <c r="BF903" t="s">
        <v>3238</v>
      </c>
      <c r="BH903" t="s">
        <v>77</v>
      </c>
      <c r="BI903" t="s">
        <v>593</v>
      </c>
      <c r="BJ903" t="s">
        <v>79</v>
      </c>
      <c r="BM903">
        <v>0</v>
      </c>
      <c r="BN903">
        <v>1</v>
      </c>
      <c r="BO903">
        <v>1</v>
      </c>
      <c r="BP903" t="s">
        <v>80</v>
      </c>
      <c r="BR903">
        <v>0</v>
      </c>
      <c r="BS903">
        <v>6</v>
      </c>
      <c r="BU903" s="1">
        <v>262464</v>
      </c>
    </row>
    <row r="904" spans="1:73" x14ac:dyDescent="0.3">
      <c r="A904" t="s">
        <v>2741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73535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3</v>
      </c>
      <c r="BC904" s="1">
        <v>166862</v>
      </c>
      <c r="BD904" t="s">
        <v>74</v>
      </c>
      <c r="BE904" t="s">
        <v>2742</v>
      </c>
      <c r="BF904" t="s">
        <v>2743</v>
      </c>
      <c r="BH904" t="s">
        <v>77</v>
      </c>
      <c r="BI904" t="s">
        <v>92</v>
      </c>
      <c r="BJ904" t="s">
        <v>79</v>
      </c>
      <c r="BM904">
        <v>1</v>
      </c>
      <c r="BN904">
        <v>0</v>
      </c>
      <c r="BO904">
        <v>1</v>
      </c>
      <c r="BP904" t="s">
        <v>80</v>
      </c>
      <c r="BR904">
        <v>0</v>
      </c>
      <c r="BS904">
        <v>6</v>
      </c>
      <c r="BU904" s="1">
        <v>73535</v>
      </c>
    </row>
    <row r="905" spans="1:73" x14ac:dyDescent="0.3">
      <c r="A905" t="s">
        <v>4819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78585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19792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2</v>
      </c>
      <c r="BC905" s="1">
        <v>98377</v>
      </c>
      <c r="BD905" t="s">
        <v>74</v>
      </c>
      <c r="BE905" t="s">
        <v>4820</v>
      </c>
      <c r="BF905" t="s">
        <v>4821</v>
      </c>
      <c r="BH905" t="s">
        <v>77</v>
      </c>
      <c r="BI905" t="s">
        <v>92</v>
      </c>
      <c r="BJ905" t="s">
        <v>79</v>
      </c>
      <c r="BM905">
        <v>2</v>
      </c>
      <c r="BN905">
        <v>0</v>
      </c>
      <c r="BO905">
        <v>2</v>
      </c>
      <c r="BP905" t="s">
        <v>80</v>
      </c>
      <c r="BR905">
        <v>0</v>
      </c>
      <c r="BS905">
        <v>0</v>
      </c>
      <c r="BU905" s="1">
        <v>98377</v>
      </c>
    </row>
    <row r="906" spans="1:73" x14ac:dyDescent="0.3">
      <c r="A906" t="s">
        <v>3931</v>
      </c>
      <c r="B906">
        <v>0</v>
      </c>
      <c r="C906">
        <v>118182</v>
      </c>
      <c r="D906">
        <v>3</v>
      </c>
      <c r="E906">
        <v>194545</v>
      </c>
      <c r="F906">
        <v>0</v>
      </c>
      <c r="G906">
        <v>0</v>
      </c>
      <c r="H906">
        <v>7</v>
      </c>
      <c r="I906">
        <v>342006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9</v>
      </c>
      <c r="BC906" s="1">
        <v>769278</v>
      </c>
      <c r="BD906" t="s">
        <v>74</v>
      </c>
      <c r="BE906" t="s">
        <v>3932</v>
      </c>
      <c r="BF906" t="s">
        <v>3933</v>
      </c>
      <c r="BH906" t="s">
        <v>77</v>
      </c>
      <c r="BI906" t="s">
        <v>593</v>
      </c>
      <c r="BJ906" t="s">
        <v>79</v>
      </c>
      <c r="BM906">
        <v>0</v>
      </c>
      <c r="BN906">
        <v>2</v>
      </c>
      <c r="BO906">
        <v>2</v>
      </c>
      <c r="BP906" t="s">
        <v>80</v>
      </c>
      <c r="BR906">
        <v>0</v>
      </c>
      <c r="BS906">
        <v>6</v>
      </c>
      <c r="BU906" s="1">
        <v>654733</v>
      </c>
    </row>
    <row r="907" spans="1:73" x14ac:dyDescent="0.3">
      <c r="A907" t="s">
        <v>4471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78585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 s="1">
        <v>78585</v>
      </c>
      <c r="BD907" t="s">
        <v>74</v>
      </c>
      <c r="BE907" t="s">
        <v>4472</v>
      </c>
      <c r="BF907" t="s">
        <v>4473</v>
      </c>
      <c r="BH907" t="s">
        <v>77</v>
      </c>
      <c r="BI907" t="s">
        <v>92</v>
      </c>
      <c r="BJ907" t="s">
        <v>79</v>
      </c>
      <c r="BM907">
        <v>1</v>
      </c>
      <c r="BN907">
        <v>0</v>
      </c>
      <c r="BO907">
        <v>1</v>
      </c>
      <c r="BP907" t="s">
        <v>80</v>
      </c>
      <c r="BR907">
        <v>0</v>
      </c>
      <c r="BS907">
        <v>0</v>
      </c>
      <c r="BU907" s="1">
        <v>78585</v>
      </c>
    </row>
    <row r="908" spans="1:73" x14ac:dyDescent="0.3">
      <c r="A908" t="s">
        <v>3151</v>
      </c>
      <c r="B908">
        <v>0</v>
      </c>
      <c r="C908">
        <v>0</v>
      </c>
      <c r="D908">
        <v>1</v>
      </c>
      <c r="E908">
        <v>280000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4</v>
      </c>
      <c r="BC908" s="1">
        <v>718643</v>
      </c>
      <c r="BD908" t="s">
        <v>74</v>
      </c>
      <c r="BE908" t="s">
        <v>3152</v>
      </c>
      <c r="BF908" t="s">
        <v>3153</v>
      </c>
      <c r="BH908" t="s">
        <v>77</v>
      </c>
      <c r="BI908" t="s">
        <v>204</v>
      </c>
      <c r="BJ908" t="s">
        <v>79</v>
      </c>
      <c r="BM908">
        <v>0</v>
      </c>
      <c r="BN908">
        <v>1</v>
      </c>
      <c r="BO908">
        <v>1</v>
      </c>
      <c r="BP908" t="s">
        <v>80</v>
      </c>
      <c r="BR908">
        <v>0</v>
      </c>
      <c r="BS908">
        <v>6</v>
      </c>
      <c r="BU908" s="1">
        <v>280000</v>
      </c>
    </row>
    <row r="909" spans="1:73" x14ac:dyDescent="0.3">
      <c r="A909" t="s">
        <v>3504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73535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2</v>
      </c>
      <c r="BC909" s="1">
        <v>147070</v>
      </c>
      <c r="BD909" t="s">
        <v>74</v>
      </c>
      <c r="BE909" t="s">
        <v>3505</v>
      </c>
      <c r="BF909" t="s">
        <v>3506</v>
      </c>
      <c r="BH909" t="s">
        <v>77</v>
      </c>
      <c r="BI909" t="s">
        <v>78</v>
      </c>
      <c r="BJ909" t="s">
        <v>79</v>
      </c>
      <c r="BM909">
        <v>1</v>
      </c>
      <c r="BN909">
        <v>0</v>
      </c>
      <c r="BO909">
        <v>1</v>
      </c>
      <c r="BP909" t="s">
        <v>80</v>
      </c>
      <c r="BR909">
        <v>0</v>
      </c>
      <c r="BS909">
        <v>6</v>
      </c>
      <c r="BU909" s="1">
        <v>73535</v>
      </c>
    </row>
    <row r="910" spans="1:73" x14ac:dyDescent="0.3">
      <c r="A910" t="s">
        <v>2330</v>
      </c>
      <c r="B910">
        <v>0</v>
      </c>
      <c r="C910">
        <v>0</v>
      </c>
      <c r="D910">
        <v>6</v>
      </c>
      <c r="E910">
        <v>670000</v>
      </c>
      <c r="F910">
        <v>0</v>
      </c>
      <c r="G910">
        <v>0</v>
      </c>
      <c r="H910">
        <v>1</v>
      </c>
      <c r="I910">
        <v>20000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7</v>
      </c>
      <c r="BC910" s="1">
        <v>690000</v>
      </c>
      <c r="BD910" t="s">
        <v>74</v>
      </c>
      <c r="BE910" t="s">
        <v>2331</v>
      </c>
      <c r="BF910" t="s">
        <v>2332</v>
      </c>
      <c r="BH910" t="s">
        <v>77</v>
      </c>
      <c r="BI910" t="s">
        <v>524</v>
      </c>
      <c r="BJ910" t="s">
        <v>79</v>
      </c>
      <c r="BM910">
        <v>0</v>
      </c>
      <c r="BN910">
        <v>2</v>
      </c>
      <c r="BO910">
        <v>2</v>
      </c>
      <c r="BP910" t="s">
        <v>514</v>
      </c>
      <c r="BR910">
        <v>0</v>
      </c>
      <c r="BS910">
        <v>6</v>
      </c>
      <c r="BU910" s="1">
        <v>690000</v>
      </c>
    </row>
    <row r="911" spans="1:73" x14ac:dyDescent="0.3">
      <c r="A911" t="s">
        <v>671</v>
      </c>
      <c r="B911">
        <v>1</v>
      </c>
      <c r="C911">
        <v>479494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</v>
      </c>
      <c r="BC911" s="1">
        <v>479494</v>
      </c>
      <c r="BD911" t="s">
        <v>74</v>
      </c>
      <c r="BE911" t="s">
        <v>672</v>
      </c>
      <c r="BF911" t="s">
        <v>673</v>
      </c>
      <c r="BH911" t="s">
        <v>77</v>
      </c>
      <c r="BI911" t="s">
        <v>78</v>
      </c>
      <c r="BJ911" t="s">
        <v>79</v>
      </c>
      <c r="BM911">
        <v>0</v>
      </c>
      <c r="BN911">
        <v>1</v>
      </c>
      <c r="BO911">
        <v>1</v>
      </c>
      <c r="BP911" t="s">
        <v>80</v>
      </c>
      <c r="BR911">
        <v>0</v>
      </c>
      <c r="BS911">
        <v>6</v>
      </c>
      <c r="BU911" s="1">
        <v>479494</v>
      </c>
    </row>
    <row r="912" spans="1:73" x14ac:dyDescent="0.3">
      <c r="A912" t="s">
        <v>3011</v>
      </c>
      <c r="B912">
        <v>1</v>
      </c>
      <c r="C912">
        <v>232506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 s="1">
        <v>232506</v>
      </c>
      <c r="BD912" t="s">
        <v>74</v>
      </c>
      <c r="BE912" t="s">
        <v>3012</v>
      </c>
      <c r="BF912" t="s">
        <v>3013</v>
      </c>
      <c r="BH912" t="s">
        <v>77</v>
      </c>
      <c r="BI912" t="s">
        <v>88</v>
      </c>
      <c r="BJ912" t="s">
        <v>79</v>
      </c>
      <c r="BM912">
        <v>0</v>
      </c>
      <c r="BN912">
        <v>1</v>
      </c>
      <c r="BO912">
        <v>1</v>
      </c>
      <c r="BP912" t="s">
        <v>80</v>
      </c>
      <c r="BR912">
        <v>0</v>
      </c>
      <c r="BS912">
        <v>6</v>
      </c>
      <c r="BU912" s="1">
        <v>232506</v>
      </c>
    </row>
    <row r="913" spans="1:73" x14ac:dyDescent="0.3">
      <c r="A913" t="s">
        <v>960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152120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19792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5</v>
      </c>
      <c r="BC913" s="1">
        <v>324032</v>
      </c>
      <c r="BD913" t="s">
        <v>74</v>
      </c>
      <c r="BE913" t="s">
        <v>961</v>
      </c>
      <c r="BF913" t="s">
        <v>962</v>
      </c>
      <c r="BH913" t="s">
        <v>77</v>
      </c>
      <c r="BI913" t="s">
        <v>739</v>
      </c>
      <c r="BJ913" t="s">
        <v>79</v>
      </c>
      <c r="BM913">
        <v>2</v>
      </c>
      <c r="BN913">
        <v>0</v>
      </c>
      <c r="BO913">
        <v>2</v>
      </c>
      <c r="BP913" t="s">
        <v>80</v>
      </c>
      <c r="BR913">
        <v>0</v>
      </c>
      <c r="BS913">
        <v>0</v>
      </c>
      <c r="BU913" s="1">
        <v>171912</v>
      </c>
    </row>
    <row r="914" spans="1:73" x14ac:dyDescent="0.3">
      <c r="A914" t="s">
        <v>3375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73535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11526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4</v>
      </c>
      <c r="BC914" s="1">
        <v>170122</v>
      </c>
      <c r="BD914" t="s">
        <v>74</v>
      </c>
      <c r="BE914" t="s">
        <v>3376</v>
      </c>
      <c r="BF914" t="s">
        <v>962</v>
      </c>
      <c r="BH914" t="s">
        <v>77</v>
      </c>
      <c r="BI914" t="s">
        <v>593</v>
      </c>
      <c r="BJ914" t="s">
        <v>79</v>
      </c>
      <c r="BM914">
        <v>2</v>
      </c>
      <c r="BN914">
        <v>0</v>
      </c>
      <c r="BO914">
        <v>2</v>
      </c>
      <c r="BP914" t="s">
        <v>80</v>
      </c>
      <c r="BR914">
        <v>0</v>
      </c>
      <c r="BS914">
        <v>6</v>
      </c>
      <c r="BU914" s="1">
        <v>85061</v>
      </c>
    </row>
    <row r="915" spans="1:73" x14ac:dyDescent="0.3">
      <c r="A915" t="s">
        <v>4101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73535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19792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</v>
      </c>
      <c r="BC915" s="1">
        <v>166862</v>
      </c>
      <c r="BD915" t="s">
        <v>74</v>
      </c>
      <c r="BE915" t="s">
        <v>4102</v>
      </c>
      <c r="BF915" t="s">
        <v>4103</v>
      </c>
      <c r="BH915" t="s">
        <v>77</v>
      </c>
      <c r="BI915" t="s">
        <v>593</v>
      </c>
      <c r="BJ915" t="s">
        <v>79</v>
      </c>
      <c r="BM915">
        <v>2</v>
      </c>
      <c r="BN915">
        <v>0</v>
      </c>
      <c r="BO915">
        <v>2</v>
      </c>
      <c r="BP915" t="s">
        <v>80</v>
      </c>
      <c r="BR915">
        <v>0</v>
      </c>
      <c r="BS915">
        <v>6</v>
      </c>
      <c r="BU915" s="1">
        <v>93327</v>
      </c>
    </row>
    <row r="916" spans="1:73" x14ac:dyDescent="0.3">
      <c r="A916" t="s">
        <v>5320</v>
      </c>
      <c r="B916">
        <v>3</v>
      </c>
      <c r="C916">
        <v>3556966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73535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6</v>
      </c>
      <c r="BC916" s="1">
        <v>3723828</v>
      </c>
      <c r="BD916" t="s">
        <v>74</v>
      </c>
      <c r="BE916" t="s">
        <v>5321</v>
      </c>
      <c r="BF916" t="s">
        <v>962</v>
      </c>
      <c r="BH916" t="s">
        <v>77</v>
      </c>
      <c r="BI916" t="s">
        <v>593</v>
      </c>
      <c r="BJ916" t="s">
        <v>79</v>
      </c>
      <c r="BM916">
        <v>1</v>
      </c>
      <c r="BN916">
        <v>1</v>
      </c>
      <c r="BO916">
        <v>2</v>
      </c>
      <c r="BP916" t="s">
        <v>80</v>
      </c>
      <c r="BR916">
        <v>0</v>
      </c>
      <c r="BS916">
        <v>6</v>
      </c>
      <c r="BU916" s="1">
        <v>3630501</v>
      </c>
    </row>
    <row r="917" spans="1:73" x14ac:dyDescent="0.3">
      <c r="A917" t="s">
        <v>4116</v>
      </c>
      <c r="B917">
        <v>0</v>
      </c>
      <c r="C917">
        <v>0</v>
      </c>
      <c r="D917">
        <v>1</v>
      </c>
      <c r="E917">
        <v>230000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 s="1">
        <v>230000</v>
      </c>
      <c r="BD917" t="s">
        <v>74</v>
      </c>
      <c r="BE917" t="s">
        <v>4117</v>
      </c>
      <c r="BF917" t="s">
        <v>4118</v>
      </c>
      <c r="BH917" t="s">
        <v>77</v>
      </c>
      <c r="BI917" t="s">
        <v>593</v>
      </c>
      <c r="BJ917" t="s">
        <v>79</v>
      </c>
      <c r="BM917">
        <v>0</v>
      </c>
      <c r="BN917">
        <v>1</v>
      </c>
      <c r="BO917">
        <v>1</v>
      </c>
      <c r="BP917" t="s">
        <v>80</v>
      </c>
      <c r="BR917">
        <v>0</v>
      </c>
      <c r="BS917">
        <v>6</v>
      </c>
      <c r="BU917" s="1">
        <v>230000</v>
      </c>
    </row>
    <row r="918" spans="1:73" x14ac:dyDescent="0.3">
      <c r="A918" t="s">
        <v>4534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96439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19792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</v>
      </c>
      <c r="BC918" s="1">
        <v>232462</v>
      </c>
      <c r="BD918" t="s">
        <v>74</v>
      </c>
      <c r="BE918" t="s">
        <v>4535</v>
      </c>
      <c r="BF918" t="s">
        <v>4536</v>
      </c>
      <c r="BH918" t="s">
        <v>77</v>
      </c>
      <c r="BI918" t="s">
        <v>88</v>
      </c>
      <c r="BJ918" t="s">
        <v>79</v>
      </c>
      <c r="BM918">
        <v>2</v>
      </c>
      <c r="BN918">
        <v>0</v>
      </c>
      <c r="BO918">
        <v>2</v>
      </c>
      <c r="BP918" t="s">
        <v>80</v>
      </c>
      <c r="BR918">
        <v>0</v>
      </c>
      <c r="BS918">
        <v>0</v>
      </c>
      <c r="BU918" s="1">
        <v>116231</v>
      </c>
    </row>
    <row r="919" spans="1:73" x14ac:dyDescent="0.3">
      <c r="A919" t="s">
        <v>2475</v>
      </c>
      <c r="B919">
        <v>0</v>
      </c>
      <c r="C919">
        <v>0</v>
      </c>
      <c r="D919">
        <v>1</v>
      </c>
      <c r="E919">
        <v>190000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 s="1">
        <v>190000</v>
      </c>
      <c r="BD919" t="s">
        <v>74</v>
      </c>
      <c r="BE919" t="s">
        <v>2476</v>
      </c>
      <c r="BF919" t="s">
        <v>2477</v>
      </c>
      <c r="BH919" t="s">
        <v>77</v>
      </c>
      <c r="BI919" t="s">
        <v>88</v>
      </c>
      <c r="BJ919" t="s">
        <v>79</v>
      </c>
      <c r="BM919">
        <v>0</v>
      </c>
      <c r="BN919">
        <v>1</v>
      </c>
      <c r="BO919">
        <v>1</v>
      </c>
      <c r="BP919" t="s">
        <v>514</v>
      </c>
      <c r="BR919">
        <v>0</v>
      </c>
      <c r="BS919">
        <v>6</v>
      </c>
      <c r="BU919" s="1">
        <v>190000</v>
      </c>
    </row>
    <row r="920" spans="1:73" x14ac:dyDescent="0.3">
      <c r="A920" t="s">
        <v>5505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73535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2</v>
      </c>
      <c r="BC920" s="1">
        <v>147070</v>
      </c>
      <c r="BD920" t="s">
        <v>74</v>
      </c>
      <c r="BE920" t="s">
        <v>5506</v>
      </c>
      <c r="BF920" t="s">
        <v>5507</v>
      </c>
      <c r="BH920" t="s">
        <v>77</v>
      </c>
      <c r="BI920" t="s">
        <v>204</v>
      </c>
      <c r="BJ920" t="s">
        <v>79</v>
      </c>
      <c r="BM920">
        <v>1</v>
      </c>
      <c r="BN920">
        <v>0</v>
      </c>
      <c r="BO920">
        <v>1</v>
      </c>
      <c r="BP920" t="s">
        <v>80</v>
      </c>
      <c r="BR920">
        <v>0</v>
      </c>
      <c r="BS920">
        <v>6</v>
      </c>
      <c r="BU920" s="1">
        <v>73535</v>
      </c>
    </row>
    <row r="921" spans="1:73" x14ac:dyDescent="0.3">
      <c r="A921" t="s">
        <v>3721</v>
      </c>
      <c r="B921">
        <v>1</v>
      </c>
      <c r="C921">
        <v>466408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 s="1">
        <v>466408</v>
      </c>
      <c r="BD921" t="s">
        <v>74</v>
      </c>
      <c r="BE921" t="s">
        <v>3722</v>
      </c>
      <c r="BF921" t="s">
        <v>3723</v>
      </c>
      <c r="BH921" t="s">
        <v>77</v>
      </c>
      <c r="BI921" t="s">
        <v>88</v>
      </c>
      <c r="BJ921" t="s">
        <v>79</v>
      </c>
      <c r="BM921">
        <v>0</v>
      </c>
      <c r="BN921">
        <v>1</v>
      </c>
      <c r="BO921">
        <v>1</v>
      </c>
      <c r="BP921" t="s">
        <v>80</v>
      </c>
      <c r="BR921">
        <v>0</v>
      </c>
      <c r="BS921">
        <v>6</v>
      </c>
      <c r="BU921" s="1">
        <v>466408</v>
      </c>
    </row>
    <row r="922" spans="1:73" x14ac:dyDescent="0.3">
      <c r="A922" t="s">
        <v>4195</v>
      </c>
      <c r="B922">
        <v>0</v>
      </c>
      <c r="C922">
        <v>0</v>
      </c>
      <c r="D922">
        <v>1</v>
      </c>
      <c r="E922">
        <v>230000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  <c r="BC922" s="1">
        <v>230000</v>
      </c>
      <c r="BD922" t="s">
        <v>74</v>
      </c>
      <c r="BE922" t="s">
        <v>4196</v>
      </c>
      <c r="BF922" t="s">
        <v>4197</v>
      </c>
      <c r="BH922" t="s">
        <v>77</v>
      </c>
      <c r="BI922" t="s">
        <v>84</v>
      </c>
      <c r="BJ922" t="s">
        <v>79</v>
      </c>
      <c r="BM922">
        <v>0</v>
      </c>
      <c r="BN922">
        <v>1</v>
      </c>
      <c r="BO922">
        <v>1</v>
      </c>
      <c r="BP922" t="s">
        <v>80</v>
      </c>
      <c r="BR922">
        <v>0</v>
      </c>
      <c r="BS922">
        <v>6</v>
      </c>
      <c r="BU922" s="1">
        <v>230000</v>
      </c>
    </row>
    <row r="923" spans="1:73" x14ac:dyDescent="0.3">
      <c r="A923" t="s">
        <v>5167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78585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2</v>
      </c>
      <c r="BC923" s="1">
        <v>157170</v>
      </c>
      <c r="BD923" t="s">
        <v>74</v>
      </c>
      <c r="BE923" t="s">
        <v>5168</v>
      </c>
      <c r="BF923" t="s">
        <v>5169</v>
      </c>
      <c r="BH923" t="s">
        <v>77</v>
      </c>
      <c r="BI923" t="s">
        <v>593</v>
      </c>
      <c r="BJ923" t="s">
        <v>79</v>
      </c>
      <c r="BM923">
        <v>1</v>
      </c>
      <c r="BN923">
        <v>0</v>
      </c>
      <c r="BO923">
        <v>1</v>
      </c>
      <c r="BP923" t="s">
        <v>80</v>
      </c>
      <c r="BR923">
        <v>0</v>
      </c>
      <c r="BS923">
        <v>6</v>
      </c>
      <c r="BU923" s="1">
        <v>78585</v>
      </c>
    </row>
    <row r="924" spans="1:73" x14ac:dyDescent="0.3">
      <c r="A924" t="s">
        <v>3031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96439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19792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</v>
      </c>
      <c r="BC924" s="1">
        <v>116231</v>
      </c>
      <c r="BD924" t="s">
        <v>74</v>
      </c>
      <c r="BE924" t="s">
        <v>3032</v>
      </c>
      <c r="BF924" t="s">
        <v>3033</v>
      </c>
      <c r="BH924" t="s">
        <v>77</v>
      </c>
      <c r="BI924" t="s">
        <v>574</v>
      </c>
      <c r="BJ924" t="s">
        <v>79</v>
      </c>
      <c r="BM924">
        <v>2</v>
      </c>
      <c r="BN924">
        <v>0</v>
      </c>
      <c r="BO924">
        <v>2</v>
      </c>
      <c r="BP924" t="s">
        <v>80</v>
      </c>
      <c r="BR924">
        <v>0</v>
      </c>
      <c r="BS924">
        <v>6</v>
      </c>
      <c r="BU924" s="1">
        <v>116231</v>
      </c>
    </row>
    <row r="925" spans="1:73" x14ac:dyDescent="0.3">
      <c r="A925" t="s">
        <v>5033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3</v>
      </c>
      <c r="I925">
        <v>63120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3</v>
      </c>
      <c r="BC925" s="1">
        <v>63120</v>
      </c>
      <c r="BD925" t="s">
        <v>74</v>
      </c>
      <c r="BE925" t="s">
        <v>5034</v>
      </c>
      <c r="BF925" t="s">
        <v>5035</v>
      </c>
      <c r="BH925" t="s">
        <v>77</v>
      </c>
      <c r="BI925" t="s">
        <v>204</v>
      </c>
      <c r="BJ925" t="s">
        <v>79</v>
      </c>
      <c r="BM925">
        <v>0</v>
      </c>
      <c r="BN925">
        <v>1</v>
      </c>
      <c r="BO925">
        <v>1</v>
      </c>
      <c r="BP925" t="s">
        <v>80</v>
      </c>
      <c r="BR925">
        <v>0</v>
      </c>
      <c r="BS925">
        <v>6</v>
      </c>
      <c r="BU925" s="1">
        <v>63120</v>
      </c>
    </row>
    <row r="926" spans="1:73" x14ac:dyDescent="0.3">
      <c r="A926" t="s">
        <v>5317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 s="1">
        <v>78585</v>
      </c>
      <c r="BD926" t="s">
        <v>74</v>
      </c>
      <c r="BE926" t="s">
        <v>5318</v>
      </c>
      <c r="BF926" t="s">
        <v>5319</v>
      </c>
      <c r="BM926">
        <v>0</v>
      </c>
      <c r="BN926">
        <v>0</v>
      </c>
      <c r="BO926">
        <v>0</v>
      </c>
      <c r="BP926" t="s">
        <v>80</v>
      </c>
      <c r="BR926">
        <v>0</v>
      </c>
      <c r="BS926">
        <v>0</v>
      </c>
      <c r="BU926" s="1">
        <v>0</v>
      </c>
    </row>
    <row r="927" spans="1:73" x14ac:dyDescent="0.3">
      <c r="A927" t="s">
        <v>1729</v>
      </c>
      <c r="B927">
        <v>19</v>
      </c>
      <c r="C927">
        <v>3937397</v>
      </c>
      <c r="D927">
        <v>13</v>
      </c>
      <c r="E927">
        <v>6458104</v>
      </c>
      <c r="F927">
        <v>0</v>
      </c>
      <c r="G927">
        <v>0</v>
      </c>
      <c r="H927">
        <v>30</v>
      </c>
      <c r="I927">
        <v>600208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1630000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64</v>
      </c>
      <c r="BC927" s="1">
        <v>19073605</v>
      </c>
      <c r="BD927" t="s">
        <v>74</v>
      </c>
      <c r="BE927" t="s">
        <v>1730</v>
      </c>
      <c r="BF927" t="s">
        <v>1731</v>
      </c>
      <c r="BH927" t="s">
        <v>600</v>
      </c>
      <c r="BI927" t="s">
        <v>1732</v>
      </c>
      <c r="BJ927" t="s">
        <v>125</v>
      </c>
      <c r="BM927">
        <v>0</v>
      </c>
      <c r="BN927">
        <v>4</v>
      </c>
      <c r="BO927">
        <v>4</v>
      </c>
      <c r="BP927" t="s">
        <v>80</v>
      </c>
      <c r="BR927">
        <v>0</v>
      </c>
      <c r="BS927">
        <v>4</v>
      </c>
      <c r="BU927" s="1">
        <v>12625709</v>
      </c>
    </row>
    <row r="928" spans="1:73" x14ac:dyDescent="0.3">
      <c r="A928" t="s">
        <v>5362</v>
      </c>
      <c r="B928">
        <v>0</v>
      </c>
      <c r="C928">
        <v>0</v>
      </c>
      <c r="D928">
        <v>1</v>
      </c>
      <c r="E928">
        <v>270000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3</v>
      </c>
      <c r="BC928" s="1">
        <v>1940000</v>
      </c>
      <c r="BD928" t="s">
        <v>74</v>
      </c>
      <c r="BE928" t="s">
        <v>5363</v>
      </c>
      <c r="BF928" t="s">
        <v>5364</v>
      </c>
      <c r="BH928" t="s">
        <v>77</v>
      </c>
      <c r="BI928" t="s">
        <v>204</v>
      </c>
      <c r="BJ928" t="s">
        <v>79</v>
      </c>
      <c r="BM928">
        <v>0</v>
      </c>
      <c r="BN928">
        <v>1</v>
      </c>
      <c r="BO928">
        <v>1</v>
      </c>
      <c r="BP928" t="s">
        <v>80</v>
      </c>
      <c r="BR928">
        <v>0</v>
      </c>
      <c r="BS928">
        <v>6</v>
      </c>
      <c r="BU928" s="1">
        <v>270000</v>
      </c>
    </row>
    <row r="929" spans="1:73" x14ac:dyDescent="0.3">
      <c r="A929" t="s">
        <v>5543</v>
      </c>
      <c r="B929">
        <v>0</v>
      </c>
      <c r="C929">
        <v>0</v>
      </c>
      <c r="D929">
        <v>1</v>
      </c>
      <c r="E929">
        <v>150000</v>
      </c>
      <c r="F929">
        <v>0</v>
      </c>
      <c r="G929">
        <v>0</v>
      </c>
      <c r="H929">
        <v>1</v>
      </c>
      <c r="I929">
        <v>5000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2</v>
      </c>
      <c r="BC929" s="1">
        <v>155000</v>
      </c>
      <c r="BD929" t="s">
        <v>74</v>
      </c>
      <c r="BE929" t="s">
        <v>5544</v>
      </c>
      <c r="BF929" t="s">
        <v>5545</v>
      </c>
      <c r="BH929" t="s">
        <v>77</v>
      </c>
      <c r="BI929" t="s">
        <v>204</v>
      </c>
      <c r="BJ929" t="s">
        <v>79</v>
      </c>
      <c r="BM929">
        <v>0</v>
      </c>
      <c r="BN929">
        <v>2</v>
      </c>
      <c r="BO929">
        <v>2</v>
      </c>
      <c r="BP929" t="s">
        <v>514</v>
      </c>
      <c r="BR929">
        <v>0</v>
      </c>
      <c r="BS929">
        <v>6</v>
      </c>
      <c r="BU929" s="1">
        <v>155000</v>
      </c>
    </row>
    <row r="930" spans="1:73" x14ac:dyDescent="0.3">
      <c r="A930" t="s">
        <v>1255</v>
      </c>
      <c r="B930">
        <v>0</v>
      </c>
      <c r="C930">
        <v>0</v>
      </c>
      <c r="D930">
        <v>1</v>
      </c>
      <c r="E930">
        <v>449033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</v>
      </c>
      <c r="BC930" s="1">
        <v>898066</v>
      </c>
      <c r="BD930" t="s">
        <v>74</v>
      </c>
      <c r="BE930" t="s">
        <v>1256</v>
      </c>
      <c r="BF930" t="s">
        <v>1257</v>
      </c>
      <c r="BH930" t="s">
        <v>175</v>
      </c>
      <c r="BI930" t="s">
        <v>255</v>
      </c>
      <c r="BJ930" t="s">
        <v>125</v>
      </c>
      <c r="BM930">
        <v>0</v>
      </c>
      <c r="BN930">
        <v>1</v>
      </c>
      <c r="BO930">
        <v>1</v>
      </c>
      <c r="BP930" t="s">
        <v>80</v>
      </c>
      <c r="BR930">
        <v>0</v>
      </c>
      <c r="BS930">
        <v>6</v>
      </c>
      <c r="BU930" s="1">
        <v>449033</v>
      </c>
    </row>
    <row r="931" spans="1:73" x14ac:dyDescent="0.3">
      <c r="A931" t="s">
        <v>2686</v>
      </c>
      <c r="B931">
        <v>0</v>
      </c>
      <c r="C931">
        <v>0</v>
      </c>
      <c r="D931">
        <v>1</v>
      </c>
      <c r="E931">
        <v>170000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</v>
      </c>
      <c r="BC931" s="1">
        <v>340000</v>
      </c>
      <c r="BD931" t="s">
        <v>74</v>
      </c>
      <c r="BE931" t="s">
        <v>2687</v>
      </c>
      <c r="BF931" t="s">
        <v>2688</v>
      </c>
      <c r="BH931" t="s">
        <v>77</v>
      </c>
      <c r="BI931" t="s">
        <v>204</v>
      </c>
      <c r="BJ931" t="s">
        <v>79</v>
      </c>
      <c r="BM931">
        <v>0</v>
      </c>
      <c r="BN931">
        <v>1</v>
      </c>
      <c r="BO931">
        <v>1</v>
      </c>
      <c r="BP931" t="s">
        <v>80</v>
      </c>
      <c r="BR931">
        <v>0</v>
      </c>
      <c r="BS931">
        <v>6</v>
      </c>
      <c r="BU931" s="1">
        <v>170000</v>
      </c>
    </row>
    <row r="932" spans="1:73" x14ac:dyDescent="0.3">
      <c r="A932" t="s">
        <v>2344</v>
      </c>
      <c r="B932">
        <v>0</v>
      </c>
      <c r="C932">
        <v>0</v>
      </c>
      <c r="D932">
        <v>1</v>
      </c>
      <c r="E932">
        <v>540000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3</v>
      </c>
      <c r="BC932" s="1">
        <v>1580000</v>
      </c>
      <c r="BD932" t="s">
        <v>74</v>
      </c>
      <c r="BE932" t="s">
        <v>2345</v>
      </c>
      <c r="BF932" t="s">
        <v>2346</v>
      </c>
      <c r="BH932" t="s">
        <v>136</v>
      </c>
      <c r="BI932" t="s">
        <v>137</v>
      </c>
      <c r="BJ932" t="s">
        <v>125</v>
      </c>
      <c r="BM932">
        <v>0</v>
      </c>
      <c r="BN932">
        <v>1</v>
      </c>
      <c r="BO932">
        <v>1</v>
      </c>
      <c r="BP932" t="s">
        <v>514</v>
      </c>
      <c r="BR932">
        <v>0</v>
      </c>
      <c r="BS932">
        <v>6</v>
      </c>
      <c r="BU932" s="1">
        <v>540000</v>
      </c>
    </row>
    <row r="933" spans="1:73" x14ac:dyDescent="0.3">
      <c r="A933" t="s">
        <v>4589</v>
      </c>
      <c r="B933">
        <v>1</v>
      </c>
      <c r="C933">
        <v>193763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 s="1">
        <v>193763</v>
      </c>
      <c r="BD933" t="s">
        <v>74</v>
      </c>
      <c r="BE933" t="s">
        <v>4590</v>
      </c>
      <c r="BF933" t="s">
        <v>4591</v>
      </c>
      <c r="BH933" t="s">
        <v>4592</v>
      </c>
      <c r="BI933" t="s">
        <v>4593</v>
      </c>
      <c r="BJ933" t="s">
        <v>79</v>
      </c>
      <c r="BM933">
        <v>0</v>
      </c>
      <c r="BN933">
        <v>1</v>
      </c>
      <c r="BO933">
        <v>1</v>
      </c>
      <c r="BP933" t="s">
        <v>80</v>
      </c>
      <c r="BR933">
        <v>0</v>
      </c>
      <c r="BS933">
        <v>6</v>
      </c>
      <c r="BU933" s="1">
        <v>193763</v>
      </c>
    </row>
    <row r="934" spans="1:73" x14ac:dyDescent="0.3">
      <c r="A934" t="s">
        <v>994</v>
      </c>
      <c r="B934">
        <v>0</v>
      </c>
      <c r="C934">
        <v>0</v>
      </c>
      <c r="D934">
        <v>1</v>
      </c>
      <c r="E934">
        <v>231428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 s="1">
        <v>231428</v>
      </c>
      <c r="BD934" t="s">
        <v>74</v>
      </c>
      <c r="BE934" t="s">
        <v>995</v>
      </c>
      <c r="BF934" t="s">
        <v>996</v>
      </c>
      <c r="BH934" t="s">
        <v>77</v>
      </c>
      <c r="BI934" t="s">
        <v>204</v>
      </c>
      <c r="BJ934" t="s">
        <v>79</v>
      </c>
      <c r="BM934">
        <v>0</v>
      </c>
      <c r="BN934">
        <v>1</v>
      </c>
      <c r="BO934">
        <v>1</v>
      </c>
      <c r="BP934" t="s">
        <v>80</v>
      </c>
      <c r="BR934">
        <v>0</v>
      </c>
      <c r="BS934">
        <v>6</v>
      </c>
      <c r="BU934" s="1">
        <v>231428</v>
      </c>
    </row>
    <row r="935" spans="1:73" x14ac:dyDescent="0.3">
      <c r="A935" t="s">
        <v>2961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40769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</v>
      </c>
      <c r="BC935" s="1">
        <v>40769</v>
      </c>
      <c r="BD935" t="s">
        <v>74</v>
      </c>
      <c r="BE935" t="s">
        <v>2962</v>
      </c>
      <c r="BF935" t="s">
        <v>2963</v>
      </c>
      <c r="BH935" t="s">
        <v>77</v>
      </c>
      <c r="BI935" t="s">
        <v>92</v>
      </c>
      <c r="BJ935" t="s">
        <v>79</v>
      </c>
      <c r="BM935">
        <v>0</v>
      </c>
      <c r="BN935">
        <v>1</v>
      </c>
      <c r="BO935">
        <v>1</v>
      </c>
      <c r="BP935" t="s">
        <v>514</v>
      </c>
      <c r="BR935">
        <v>0</v>
      </c>
      <c r="BS935">
        <v>6</v>
      </c>
      <c r="BU935" s="1">
        <v>40769</v>
      </c>
    </row>
    <row r="936" spans="1:73" x14ac:dyDescent="0.3">
      <c r="A936" t="s">
        <v>1285</v>
      </c>
      <c r="B936">
        <v>0</v>
      </c>
      <c r="C936">
        <v>0</v>
      </c>
      <c r="D936">
        <v>1</v>
      </c>
      <c r="E936">
        <v>350000</v>
      </c>
      <c r="F936">
        <v>0</v>
      </c>
      <c r="G936">
        <v>0</v>
      </c>
      <c r="H936">
        <v>3</v>
      </c>
      <c r="I936">
        <v>60000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6</v>
      </c>
      <c r="BC936" s="1">
        <v>594614</v>
      </c>
      <c r="BD936" t="s">
        <v>74</v>
      </c>
      <c r="BE936" t="s">
        <v>1286</v>
      </c>
      <c r="BF936" t="s">
        <v>1287</v>
      </c>
      <c r="BH936" t="s">
        <v>77</v>
      </c>
      <c r="BI936" t="s">
        <v>88</v>
      </c>
      <c r="BJ936" t="s">
        <v>79</v>
      </c>
      <c r="BM936">
        <v>0</v>
      </c>
      <c r="BN936">
        <v>2</v>
      </c>
      <c r="BO936">
        <v>2</v>
      </c>
      <c r="BP936" t="s">
        <v>514</v>
      </c>
      <c r="BR936">
        <v>0</v>
      </c>
      <c r="BS936">
        <v>6</v>
      </c>
      <c r="BU936" s="1">
        <v>410000</v>
      </c>
    </row>
    <row r="937" spans="1:73" x14ac:dyDescent="0.3">
      <c r="A937" t="s">
        <v>2749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185000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C937" s="1">
        <v>185000</v>
      </c>
      <c r="BD937" t="s">
        <v>74</v>
      </c>
      <c r="BE937" t="s">
        <v>2750</v>
      </c>
      <c r="BF937" t="s">
        <v>2751</v>
      </c>
      <c r="BH937" t="s">
        <v>77</v>
      </c>
      <c r="BI937" t="s">
        <v>739</v>
      </c>
      <c r="BJ937" t="s">
        <v>79</v>
      </c>
      <c r="BM937">
        <v>0</v>
      </c>
      <c r="BN937">
        <v>1</v>
      </c>
      <c r="BO937">
        <v>1</v>
      </c>
      <c r="BP937" t="s">
        <v>514</v>
      </c>
      <c r="BR937">
        <v>0</v>
      </c>
      <c r="BS937">
        <v>6</v>
      </c>
      <c r="BU937" s="1">
        <v>185000</v>
      </c>
    </row>
    <row r="938" spans="1:73" x14ac:dyDescent="0.3">
      <c r="A938" t="s">
        <v>930</v>
      </c>
      <c r="B938">
        <v>1</v>
      </c>
      <c r="C938">
        <v>625280</v>
      </c>
      <c r="D938">
        <v>0</v>
      </c>
      <c r="E938">
        <v>0</v>
      </c>
      <c r="F938">
        <v>0</v>
      </c>
      <c r="G938">
        <v>0</v>
      </c>
      <c r="H938">
        <v>3</v>
      </c>
      <c r="I938">
        <v>77098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57208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7</v>
      </c>
      <c r="BC938" s="1">
        <v>839585</v>
      </c>
      <c r="BD938" t="s">
        <v>74</v>
      </c>
      <c r="BE938" t="s">
        <v>931</v>
      </c>
      <c r="BF938" t="s">
        <v>932</v>
      </c>
      <c r="BH938" t="s">
        <v>77</v>
      </c>
      <c r="BI938" t="s">
        <v>204</v>
      </c>
      <c r="BJ938" t="s">
        <v>79</v>
      </c>
      <c r="BM938">
        <v>1</v>
      </c>
      <c r="BN938">
        <v>2</v>
      </c>
      <c r="BO938">
        <v>3</v>
      </c>
      <c r="BP938" t="s">
        <v>80</v>
      </c>
      <c r="BR938">
        <v>0</v>
      </c>
      <c r="BS938">
        <v>6</v>
      </c>
      <c r="BU938" s="1">
        <v>759586</v>
      </c>
    </row>
    <row r="939" spans="1:73" x14ac:dyDescent="0.3">
      <c r="A939" t="s">
        <v>2026</v>
      </c>
      <c r="B939">
        <v>4</v>
      </c>
      <c r="C939">
        <v>1335870</v>
      </c>
      <c r="D939">
        <v>2</v>
      </c>
      <c r="E939">
        <v>40000</v>
      </c>
      <c r="F939">
        <v>0</v>
      </c>
      <c r="G939">
        <v>0</v>
      </c>
      <c r="H939">
        <v>2</v>
      </c>
      <c r="I939">
        <v>40000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73535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19792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11</v>
      </c>
      <c r="BC939" s="1">
        <v>1706524</v>
      </c>
      <c r="BD939" t="s">
        <v>74</v>
      </c>
      <c r="BE939" t="s">
        <v>2027</v>
      </c>
      <c r="BF939" t="s">
        <v>2028</v>
      </c>
      <c r="BH939" t="s">
        <v>136</v>
      </c>
      <c r="BI939" t="s">
        <v>439</v>
      </c>
      <c r="BJ939" t="s">
        <v>125</v>
      </c>
      <c r="BM939">
        <v>2</v>
      </c>
      <c r="BN939">
        <v>3</v>
      </c>
      <c r="BO939">
        <v>5</v>
      </c>
      <c r="BP939" t="s">
        <v>80</v>
      </c>
      <c r="BR939">
        <v>0</v>
      </c>
      <c r="BS939">
        <v>6</v>
      </c>
      <c r="BU939" s="1">
        <v>1509197</v>
      </c>
    </row>
    <row r="940" spans="1:73" x14ac:dyDescent="0.3">
      <c r="A940" t="s">
        <v>2117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73535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2</v>
      </c>
      <c r="BC940" s="1">
        <v>147070</v>
      </c>
      <c r="BD940" t="s">
        <v>74</v>
      </c>
      <c r="BE940" t="s">
        <v>2118</v>
      </c>
      <c r="BF940" t="s">
        <v>2119</v>
      </c>
      <c r="BH940" t="s">
        <v>77</v>
      </c>
      <c r="BI940" t="s">
        <v>204</v>
      </c>
      <c r="BJ940" t="s">
        <v>79</v>
      </c>
      <c r="BM940">
        <v>1</v>
      </c>
      <c r="BN940">
        <v>0</v>
      </c>
      <c r="BO940">
        <v>1</v>
      </c>
      <c r="BP940" t="s">
        <v>80</v>
      </c>
      <c r="BR940">
        <v>0</v>
      </c>
      <c r="BS940">
        <v>6</v>
      </c>
      <c r="BU940" s="1">
        <v>73535</v>
      </c>
    </row>
    <row r="941" spans="1:73" x14ac:dyDescent="0.3">
      <c r="A941" t="s">
        <v>3073</v>
      </c>
      <c r="B941">
        <v>3</v>
      </c>
      <c r="C941">
        <v>972286</v>
      </c>
      <c r="D941">
        <v>1</v>
      </c>
      <c r="E941">
        <v>250000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4</v>
      </c>
      <c r="BC941" s="1">
        <v>1222286</v>
      </c>
      <c r="BD941" t="s">
        <v>74</v>
      </c>
      <c r="BE941" t="s">
        <v>3074</v>
      </c>
      <c r="BF941" t="s">
        <v>3075</v>
      </c>
      <c r="BH941" t="s">
        <v>77</v>
      </c>
      <c r="BI941" t="s">
        <v>204</v>
      </c>
      <c r="BJ941" t="s">
        <v>79</v>
      </c>
      <c r="BM941">
        <v>0</v>
      </c>
      <c r="BN941">
        <v>2</v>
      </c>
      <c r="BO941">
        <v>2</v>
      </c>
      <c r="BP941" t="s">
        <v>80</v>
      </c>
      <c r="BR941">
        <v>0</v>
      </c>
      <c r="BS941">
        <v>6</v>
      </c>
      <c r="BU941" s="1">
        <v>1222286</v>
      </c>
    </row>
    <row r="942" spans="1:73" x14ac:dyDescent="0.3">
      <c r="A942" t="s">
        <v>2704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73535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3</v>
      </c>
      <c r="BC942" s="1">
        <v>330845</v>
      </c>
      <c r="BD942" t="s">
        <v>74</v>
      </c>
      <c r="BE942" t="s">
        <v>2705</v>
      </c>
      <c r="BF942" t="s">
        <v>2706</v>
      </c>
      <c r="BH942" t="s">
        <v>77</v>
      </c>
      <c r="BI942" t="s">
        <v>204</v>
      </c>
      <c r="BJ942" t="s">
        <v>79</v>
      </c>
      <c r="BM942">
        <v>1</v>
      </c>
      <c r="BN942">
        <v>0</v>
      </c>
      <c r="BO942">
        <v>1</v>
      </c>
      <c r="BP942" t="s">
        <v>80</v>
      </c>
      <c r="BR942">
        <v>0</v>
      </c>
      <c r="BS942">
        <v>6</v>
      </c>
      <c r="BU942" s="1">
        <v>73535</v>
      </c>
    </row>
    <row r="943" spans="1:73" x14ac:dyDescent="0.3">
      <c r="A943" t="s">
        <v>2650</v>
      </c>
      <c r="B943">
        <v>0</v>
      </c>
      <c r="C943">
        <v>0</v>
      </c>
      <c r="D943">
        <v>3</v>
      </c>
      <c r="E943">
        <v>940909</v>
      </c>
      <c r="F943">
        <v>0</v>
      </c>
      <c r="G943">
        <v>0</v>
      </c>
      <c r="H943">
        <v>1</v>
      </c>
      <c r="I943">
        <v>20000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8334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225000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14</v>
      </c>
      <c r="BC943" s="1">
        <v>1915835</v>
      </c>
      <c r="BD943" t="s">
        <v>74</v>
      </c>
      <c r="BE943" t="s">
        <v>2651</v>
      </c>
      <c r="BF943" t="s">
        <v>2652</v>
      </c>
      <c r="BH943" t="s">
        <v>77</v>
      </c>
      <c r="BI943" t="s">
        <v>84</v>
      </c>
      <c r="BJ943" t="s">
        <v>79</v>
      </c>
      <c r="BM943">
        <v>2</v>
      </c>
      <c r="BN943">
        <v>2</v>
      </c>
      <c r="BO943">
        <v>4</v>
      </c>
      <c r="BP943" t="s">
        <v>514</v>
      </c>
      <c r="BR943">
        <v>0</v>
      </c>
      <c r="BS943">
        <v>6</v>
      </c>
      <c r="BU943" s="1">
        <v>1194243</v>
      </c>
    </row>
    <row r="944" spans="1:73" x14ac:dyDescent="0.3">
      <c r="A944" t="s">
        <v>4555</v>
      </c>
      <c r="B944">
        <v>0</v>
      </c>
      <c r="C944">
        <v>0</v>
      </c>
      <c r="D944">
        <v>1</v>
      </c>
      <c r="E944">
        <v>250000</v>
      </c>
      <c r="F944">
        <v>0</v>
      </c>
      <c r="G944">
        <v>0</v>
      </c>
      <c r="H944">
        <v>1</v>
      </c>
      <c r="I944">
        <v>20000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34</v>
      </c>
      <c r="BC944" s="1">
        <v>403344</v>
      </c>
      <c r="BD944" t="s">
        <v>74</v>
      </c>
      <c r="BE944" t="s">
        <v>4556</v>
      </c>
      <c r="BF944" t="s">
        <v>2652</v>
      </c>
      <c r="BH944" t="s">
        <v>77</v>
      </c>
      <c r="BI944" t="s">
        <v>84</v>
      </c>
      <c r="BJ944" t="s">
        <v>79</v>
      </c>
      <c r="BM944">
        <v>0</v>
      </c>
      <c r="BN944">
        <v>2</v>
      </c>
      <c r="BO944">
        <v>2</v>
      </c>
      <c r="BP944" t="s">
        <v>514</v>
      </c>
      <c r="BR944">
        <v>0</v>
      </c>
      <c r="BS944">
        <v>6</v>
      </c>
      <c r="BU944" s="1">
        <v>270000</v>
      </c>
    </row>
    <row r="945" spans="1:74" x14ac:dyDescent="0.3">
      <c r="A945" t="s">
        <v>4600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51948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165000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2</v>
      </c>
      <c r="BC945" s="1">
        <v>216948</v>
      </c>
      <c r="BD945" t="s">
        <v>74</v>
      </c>
      <c r="BE945" t="s">
        <v>4601</v>
      </c>
      <c r="BF945" t="s">
        <v>4602</v>
      </c>
      <c r="BH945" t="s">
        <v>77</v>
      </c>
      <c r="BI945" t="s">
        <v>739</v>
      </c>
      <c r="BJ945" t="s">
        <v>79</v>
      </c>
      <c r="BM945">
        <v>1</v>
      </c>
      <c r="BN945">
        <v>1</v>
      </c>
      <c r="BO945">
        <v>2</v>
      </c>
      <c r="BP945" t="s">
        <v>514</v>
      </c>
      <c r="BR945">
        <v>0</v>
      </c>
      <c r="BS945">
        <v>6</v>
      </c>
      <c r="BU945" s="1">
        <v>216948</v>
      </c>
    </row>
    <row r="946" spans="1:74" x14ac:dyDescent="0.3">
      <c r="A946" t="s">
        <v>4735</v>
      </c>
      <c r="B946">
        <v>12</v>
      </c>
      <c r="C946">
        <v>2603641</v>
      </c>
      <c r="D946">
        <v>1</v>
      </c>
      <c r="E946">
        <v>432000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14</v>
      </c>
      <c r="BC946" s="1">
        <v>4835641</v>
      </c>
      <c r="BD946" t="s">
        <v>74</v>
      </c>
      <c r="BE946" s="7" t="s">
        <v>4736</v>
      </c>
      <c r="BF946" t="s">
        <v>4737</v>
      </c>
      <c r="BH946" t="s">
        <v>1464</v>
      </c>
      <c r="BI946" t="s">
        <v>2320</v>
      </c>
      <c r="BJ946" t="s">
        <v>125</v>
      </c>
      <c r="BM946">
        <v>0</v>
      </c>
      <c r="BN946">
        <v>2</v>
      </c>
      <c r="BO946">
        <v>2</v>
      </c>
      <c r="BP946" t="s">
        <v>80</v>
      </c>
      <c r="BR946">
        <v>0</v>
      </c>
      <c r="BS946">
        <v>6</v>
      </c>
      <c r="BU946" s="1">
        <v>3035641</v>
      </c>
    </row>
    <row r="947" spans="1:74" x14ac:dyDescent="0.3">
      <c r="A947" t="s">
        <v>5966</v>
      </c>
      <c r="B947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</v>
      </c>
      <c r="Z947" s="1">
        <v>96439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1</v>
      </c>
      <c r="BC947" s="1">
        <v>96439</v>
      </c>
      <c r="BD947" t="s">
        <v>74</v>
      </c>
      <c r="BE947" t="s">
        <v>5967</v>
      </c>
      <c r="BF947" t="s">
        <v>5968</v>
      </c>
      <c r="BH947" t="s">
        <v>77</v>
      </c>
      <c r="BI947" t="s">
        <v>228</v>
      </c>
      <c r="BJ947" t="s">
        <v>79</v>
      </c>
      <c r="BM947">
        <v>1</v>
      </c>
      <c r="BN947">
        <v>0</v>
      </c>
      <c r="BO947">
        <v>1</v>
      </c>
      <c r="BP947" t="s">
        <v>80</v>
      </c>
      <c r="BR947">
        <v>0</v>
      </c>
      <c r="BS947">
        <v>6</v>
      </c>
      <c r="BU947" s="1">
        <v>96439</v>
      </c>
      <c r="BV947" s="1"/>
    </row>
    <row r="948" spans="1:74" x14ac:dyDescent="0.3">
      <c r="A948" t="s">
        <v>4675</v>
      </c>
      <c r="B948">
        <v>0</v>
      </c>
      <c r="C948" s="1">
        <v>0</v>
      </c>
      <c r="D948" s="1">
        <v>8</v>
      </c>
      <c r="E948" s="1">
        <v>3336729</v>
      </c>
      <c r="F948" s="1">
        <v>0</v>
      </c>
      <c r="G948" s="1">
        <v>0</v>
      </c>
      <c r="H948" s="1">
        <v>12</v>
      </c>
      <c r="I948" s="1">
        <v>263136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16</v>
      </c>
      <c r="BC948" s="1">
        <v>6673458</v>
      </c>
      <c r="BD948" t="s">
        <v>74</v>
      </c>
      <c r="BE948" t="s">
        <v>4676</v>
      </c>
      <c r="BF948" t="s">
        <v>4677</v>
      </c>
      <c r="BH948" t="s">
        <v>77</v>
      </c>
      <c r="BI948" t="s">
        <v>593</v>
      </c>
      <c r="BJ948" t="s">
        <v>79</v>
      </c>
      <c r="BM948">
        <v>0</v>
      </c>
      <c r="BN948">
        <v>2</v>
      </c>
      <c r="BO948">
        <v>2</v>
      </c>
      <c r="BP948" t="s">
        <v>80</v>
      </c>
      <c r="BR948">
        <v>0</v>
      </c>
      <c r="BS948">
        <v>6</v>
      </c>
      <c r="BU948" s="1">
        <v>3599865</v>
      </c>
      <c r="BV948" s="1"/>
    </row>
  </sheetData>
  <sortState xmlns:xlrd2="http://schemas.microsoft.com/office/spreadsheetml/2017/richdata2" ref="A3:BU946">
    <sortCondition ref="BF3:BF9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AC01-8B61-4443-A882-46D551E09CCA}">
  <dimension ref="A1:BV64"/>
  <sheetViews>
    <sheetView topLeftCell="A45" workbookViewId="0">
      <pane xSplit="1" topLeftCell="BC1" activePane="topRight" state="frozen"/>
      <selection pane="topRight" activeCell="BE54" sqref="BE54:BF63"/>
    </sheetView>
  </sheetViews>
  <sheetFormatPr defaultRowHeight="14.4" x14ac:dyDescent="0.3"/>
  <cols>
    <col min="1" max="1" width="20.109375" bestFit="1" customWidth="1"/>
    <col min="2" max="2" width="0" hidden="1" customWidth="1"/>
    <col min="3" max="3" width="12.77734375" style="1" hidden="1" customWidth="1"/>
    <col min="4" max="4" width="9" style="1" hidden="1" customWidth="1"/>
    <col min="5" max="5" width="13.88671875" style="1" hidden="1" customWidth="1"/>
    <col min="6" max="6" width="9" style="1" hidden="1" customWidth="1"/>
    <col min="7" max="7" width="12.77734375" style="1" hidden="1" customWidth="1"/>
    <col min="8" max="8" width="9" style="1" hidden="1" customWidth="1"/>
    <col min="9" max="9" width="12.77734375" style="1" hidden="1" customWidth="1"/>
    <col min="10" max="14" width="9" style="1" hidden="1" customWidth="1"/>
    <col min="15" max="15" width="12.77734375" style="1" hidden="1" customWidth="1"/>
    <col min="16" max="25" width="9" style="1" hidden="1" customWidth="1"/>
    <col min="26" max="26" width="11.33203125" style="1" hidden="1" customWidth="1"/>
    <col min="27" max="37" width="9" style="1" hidden="1" customWidth="1"/>
    <col min="38" max="38" width="13.44140625" style="1" hidden="1" customWidth="1"/>
    <col min="39" max="54" width="9" style="1" hidden="1" customWidth="1"/>
    <col min="55" max="55" width="13.88671875" style="1" bestFit="1" customWidth="1"/>
    <col min="57" max="57" width="65.6640625" customWidth="1"/>
    <col min="58" max="58" width="67.33203125" customWidth="1"/>
    <col min="59" max="72" width="0" hidden="1" customWidth="1"/>
    <col min="73" max="73" width="12.44140625" bestFit="1" customWidth="1"/>
    <col min="74" max="74" width="12.44140625" style="1" bestFit="1" customWidth="1"/>
  </cols>
  <sheetData>
    <row r="1" spans="1:74" s="8" customFormat="1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9" t="s">
        <v>72</v>
      </c>
      <c r="BV1" s="9" t="s">
        <v>6038</v>
      </c>
    </row>
    <row r="2" spans="1:74" x14ac:dyDescent="0.3">
      <c r="A2" t="s">
        <v>4621</v>
      </c>
      <c r="B2">
        <v>0</v>
      </c>
      <c r="C2" s="1">
        <v>0</v>
      </c>
      <c r="D2" s="1">
        <v>2</v>
      </c>
      <c r="E2" s="1">
        <v>857142</v>
      </c>
      <c r="F2" s="1">
        <v>0</v>
      </c>
      <c r="G2" s="1">
        <v>0</v>
      </c>
      <c r="H2" s="1">
        <v>1</v>
      </c>
      <c r="I2" s="1">
        <v>20000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5</v>
      </c>
      <c r="BC2" s="1">
        <v>1734284</v>
      </c>
      <c r="BD2" t="s">
        <v>74</v>
      </c>
      <c r="BE2" s="21" t="s">
        <v>4622</v>
      </c>
      <c r="BF2" t="s">
        <v>4623</v>
      </c>
      <c r="BH2" t="s">
        <v>77</v>
      </c>
      <c r="BI2" t="s">
        <v>228</v>
      </c>
      <c r="BJ2" t="s">
        <v>79</v>
      </c>
      <c r="BM2">
        <v>0</v>
      </c>
      <c r="BN2">
        <v>2</v>
      </c>
      <c r="BO2">
        <v>2</v>
      </c>
      <c r="BP2" t="s">
        <v>80</v>
      </c>
      <c r="BR2">
        <v>0</v>
      </c>
      <c r="BS2">
        <v>6</v>
      </c>
      <c r="BU2" s="1">
        <v>877142</v>
      </c>
      <c r="BV2" s="1">
        <f>428571*2</f>
        <v>857142</v>
      </c>
    </row>
    <row r="3" spans="1:74" x14ac:dyDescent="0.3">
      <c r="A3" t="s">
        <v>4776</v>
      </c>
      <c r="B3">
        <v>0</v>
      </c>
      <c r="C3" s="1">
        <v>0</v>
      </c>
      <c r="D3" s="1">
        <v>3</v>
      </c>
      <c r="E3" s="1">
        <v>465637</v>
      </c>
      <c r="F3" s="1">
        <v>0</v>
      </c>
      <c r="G3" s="1">
        <v>0</v>
      </c>
      <c r="H3" s="1">
        <v>2</v>
      </c>
      <c r="I3" s="1">
        <v>33637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4</v>
      </c>
      <c r="BC3" s="1">
        <v>897637</v>
      </c>
      <c r="BD3" t="s">
        <v>74</v>
      </c>
      <c r="BE3" s="21" t="s">
        <v>4777</v>
      </c>
      <c r="BF3" t="s">
        <v>4778</v>
      </c>
      <c r="BH3" t="s">
        <v>77</v>
      </c>
      <c r="BI3" t="s">
        <v>228</v>
      </c>
      <c r="BJ3" t="s">
        <v>79</v>
      </c>
      <c r="BM3">
        <v>0</v>
      </c>
      <c r="BN3">
        <v>2</v>
      </c>
      <c r="BO3">
        <v>2</v>
      </c>
      <c r="BP3" t="s">
        <v>80</v>
      </c>
      <c r="BR3">
        <v>0</v>
      </c>
      <c r="BS3">
        <v>6</v>
      </c>
      <c r="BU3" s="1">
        <v>499274</v>
      </c>
      <c r="BV3" s="1">
        <v>432000</v>
      </c>
    </row>
    <row r="4" spans="1:74" x14ac:dyDescent="0.3">
      <c r="A4" t="s">
        <v>3840</v>
      </c>
      <c r="B4">
        <v>0</v>
      </c>
      <c r="C4" s="1">
        <v>0</v>
      </c>
      <c r="D4" s="1">
        <v>3</v>
      </c>
      <c r="E4" s="1">
        <v>9794179</v>
      </c>
      <c r="F4" s="1">
        <v>0</v>
      </c>
      <c r="G4" s="1">
        <v>0</v>
      </c>
      <c r="H4" s="1">
        <v>2</v>
      </c>
      <c r="I4" s="1">
        <v>1048358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1337000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8</v>
      </c>
      <c r="BC4" s="1">
        <v>22420929</v>
      </c>
      <c r="BD4" t="s">
        <v>74</v>
      </c>
      <c r="BE4" s="2" t="s">
        <v>3841</v>
      </c>
      <c r="BF4" t="s">
        <v>3842</v>
      </c>
      <c r="BH4" t="s">
        <v>77</v>
      </c>
      <c r="BI4" t="s">
        <v>84</v>
      </c>
      <c r="BJ4" t="s">
        <v>79</v>
      </c>
      <c r="BM4">
        <v>0</v>
      </c>
      <c r="BN4">
        <v>3</v>
      </c>
      <c r="BO4">
        <v>3</v>
      </c>
      <c r="BP4" t="s">
        <v>80</v>
      </c>
      <c r="BR4">
        <v>0</v>
      </c>
      <c r="BS4">
        <v>4</v>
      </c>
      <c r="BU4" s="1">
        <v>12179537</v>
      </c>
      <c r="BV4" s="22">
        <f>9000000+270000+1337000+427174</f>
        <v>11034174</v>
      </c>
    </row>
    <row r="5" spans="1:74" x14ac:dyDescent="0.3">
      <c r="A5" t="s">
        <v>3531</v>
      </c>
      <c r="B5">
        <v>1</v>
      </c>
      <c r="C5" s="1">
        <v>363636</v>
      </c>
      <c r="D5" s="1">
        <v>13</v>
      </c>
      <c r="E5" s="1">
        <v>14037083</v>
      </c>
      <c r="F5" s="1">
        <v>0</v>
      </c>
      <c r="G5" s="1">
        <v>0</v>
      </c>
      <c r="H5" s="1">
        <v>16</v>
      </c>
      <c r="I5" s="1">
        <v>1087498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25</v>
      </c>
      <c r="BC5" s="1">
        <v>25344468</v>
      </c>
      <c r="BD5" t="s">
        <v>74</v>
      </c>
      <c r="BE5" s="21" t="s">
        <v>3532</v>
      </c>
      <c r="BF5" t="s">
        <v>3533</v>
      </c>
      <c r="BH5" t="s">
        <v>77</v>
      </c>
      <c r="BI5" t="s">
        <v>92</v>
      </c>
      <c r="BJ5" t="s">
        <v>79</v>
      </c>
      <c r="BM5">
        <v>0</v>
      </c>
      <c r="BN5">
        <v>3</v>
      </c>
      <c r="BO5">
        <v>3</v>
      </c>
      <c r="BP5" t="s">
        <v>80</v>
      </c>
      <c r="BR5">
        <v>0</v>
      </c>
      <c r="BS5">
        <v>4</v>
      </c>
      <c r="BU5" s="1">
        <v>15488217</v>
      </c>
      <c r="BV5" s="22">
        <f>1600000+7200000+21623+134053+43914+71189+52360+24616+69386+123547</f>
        <v>9340688</v>
      </c>
    </row>
    <row r="6" spans="1:74" x14ac:dyDescent="0.3">
      <c r="A6" t="s">
        <v>5824</v>
      </c>
      <c r="B6">
        <v>0</v>
      </c>
      <c r="C6" s="1">
        <v>0</v>
      </c>
      <c r="D6" s="1">
        <v>4</v>
      </c>
      <c r="E6" s="1">
        <v>12794286</v>
      </c>
      <c r="F6" s="1">
        <v>0</v>
      </c>
      <c r="G6" s="1">
        <v>0</v>
      </c>
      <c r="H6" s="1">
        <v>2</v>
      </c>
      <c r="I6" s="1">
        <v>2940566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51193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28390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</v>
      </c>
      <c r="BC6" s="1">
        <v>28688304</v>
      </c>
      <c r="BD6" t="s">
        <v>74</v>
      </c>
      <c r="BE6" s="21" t="s">
        <v>5825</v>
      </c>
      <c r="BF6" t="s">
        <v>3533</v>
      </c>
      <c r="BH6" t="s">
        <v>77</v>
      </c>
      <c r="BI6" t="s">
        <v>92</v>
      </c>
      <c r="BJ6" t="s">
        <v>79</v>
      </c>
      <c r="BM6">
        <v>2</v>
      </c>
      <c r="BN6">
        <v>2</v>
      </c>
      <c r="BO6">
        <v>4</v>
      </c>
      <c r="BP6" t="s">
        <v>80</v>
      </c>
      <c r="BR6">
        <v>0</v>
      </c>
      <c r="BS6">
        <v>4</v>
      </c>
      <c r="BU6" s="1">
        <v>15814435</v>
      </c>
      <c r="BV6" s="1">
        <f>1080000+3857143+3857143+4000000+1132330</f>
        <v>13926616</v>
      </c>
    </row>
    <row r="7" spans="1:74" x14ac:dyDescent="0.3">
      <c r="A7" t="s">
        <v>4302</v>
      </c>
      <c r="B7">
        <v>0</v>
      </c>
      <c r="C7" s="1">
        <v>0</v>
      </c>
      <c r="D7" s="1">
        <v>2</v>
      </c>
      <c r="E7" s="1">
        <v>2420000</v>
      </c>
      <c r="F7" s="1">
        <v>0</v>
      </c>
      <c r="G7" s="1">
        <v>0</v>
      </c>
      <c r="H7" s="1">
        <v>2</v>
      </c>
      <c r="I7" s="1">
        <v>40000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</v>
      </c>
      <c r="BC7" s="1">
        <v>4840000</v>
      </c>
      <c r="BD7" t="s">
        <v>74</v>
      </c>
      <c r="BE7" s="21" t="s">
        <v>4303</v>
      </c>
      <c r="BF7" t="s">
        <v>4304</v>
      </c>
      <c r="BH7" t="s">
        <v>77</v>
      </c>
      <c r="BI7" t="s">
        <v>92</v>
      </c>
      <c r="BJ7" t="s">
        <v>79</v>
      </c>
      <c r="BM7">
        <v>0</v>
      </c>
      <c r="BN7">
        <v>2</v>
      </c>
      <c r="BO7">
        <v>2</v>
      </c>
      <c r="BP7" t="s">
        <v>80</v>
      </c>
      <c r="BR7">
        <v>0</v>
      </c>
      <c r="BS7">
        <v>6</v>
      </c>
      <c r="BU7" s="1">
        <v>2460000</v>
      </c>
      <c r="BV7" s="1">
        <f>2400000+20000</f>
        <v>2420000</v>
      </c>
    </row>
    <row r="8" spans="1:74" x14ac:dyDescent="0.3">
      <c r="A8" t="s">
        <v>5714</v>
      </c>
      <c r="B8">
        <v>0</v>
      </c>
      <c r="C8" s="1">
        <v>0</v>
      </c>
      <c r="D8" s="1">
        <v>11</v>
      </c>
      <c r="E8" s="1">
        <v>2645704</v>
      </c>
      <c r="F8" s="1">
        <v>0</v>
      </c>
      <c r="G8" s="1">
        <v>0</v>
      </c>
      <c r="H8" s="1">
        <v>20</v>
      </c>
      <c r="I8" s="1">
        <v>491408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22</v>
      </c>
      <c r="BC8" s="1">
        <v>5291408</v>
      </c>
      <c r="BD8" t="s">
        <v>74</v>
      </c>
      <c r="BE8" s="21" t="s">
        <v>5715</v>
      </c>
      <c r="BF8" t="s">
        <v>5716</v>
      </c>
      <c r="BH8" t="s">
        <v>77</v>
      </c>
      <c r="BI8" t="s">
        <v>92</v>
      </c>
      <c r="BJ8" t="s">
        <v>79</v>
      </c>
      <c r="BM8">
        <v>0</v>
      </c>
      <c r="BN8">
        <v>2</v>
      </c>
      <c r="BO8">
        <v>2</v>
      </c>
      <c r="BP8" t="s">
        <v>80</v>
      </c>
      <c r="BR8">
        <v>0</v>
      </c>
      <c r="BS8">
        <v>6</v>
      </c>
      <c r="BU8" s="1">
        <v>3137112</v>
      </c>
      <c r="BV8" s="1">
        <v>2641162</v>
      </c>
    </row>
    <row r="9" spans="1:74" x14ac:dyDescent="0.3">
      <c r="A9" t="s">
        <v>1979</v>
      </c>
      <c r="B9">
        <v>1</v>
      </c>
      <c r="C9" s="1">
        <v>369102</v>
      </c>
      <c r="D9" s="1">
        <v>7</v>
      </c>
      <c r="E9" s="1">
        <v>2467957</v>
      </c>
      <c r="F9" s="1">
        <v>0</v>
      </c>
      <c r="G9" s="1">
        <v>0</v>
      </c>
      <c r="H9" s="1">
        <v>10</v>
      </c>
      <c r="I9" s="1">
        <v>213840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78585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20</v>
      </c>
      <c r="BC9" s="1">
        <v>5463601</v>
      </c>
      <c r="BD9" t="s">
        <v>74</v>
      </c>
      <c r="BE9" s="21" t="s">
        <v>1980</v>
      </c>
      <c r="BF9" t="s">
        <v>1981</v>
      </c>
      <c r="BH9" t="s">
        <v>77</v>
      </c>
      <c r="BI9" t="s">
        <v>84</v>
      </c>
      <c r="BJ9" t="s">
        <v>79</v>
      </c>
      <c r="BM9">
        <v>1</v>
      </c>
      <c r="BN9">
        <v>3</v>
      </c>
      <c r="BO9">
        <v>4</v>
      </c>
      <c r="BP9" t="s">
        <v>80</v>
      </c>
      <c r="BR9">
        <v>0</v>
      </c>
      <c r="BS9">
        <v>6</v>
      </c>
      <c r="BU9" s="1">
        <v>3129484</v>
      </c>
      <c r="BV9" s="1">
        <v>2481038</v>
      </c>
    </row>
    <row r="10" spans="1:74" x14ac:dyDescent="0.3">
      <c r="A10" t="s">
        <v>4672</v>
      </c>
      <c r="B10">
        <v>0</v>
      </c>
      <c r="C10" s="1">
        <v>0</v>
      </c>
      <c r="D10" s="1">
        <v>3</v>
      </c>
      <c r="E10" s="1">
        <v>3640000</v>
      </c>
      <c r="F10" s="1">
        <v>0</v>
      </c>
      <c r="G10" s="1">
        <v>0</v>
      </c>
      <c r="H10" s="1">
        <v>4</v>
      </c>
      <c r="I10" s="1">
        <v>80000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6</v>
      </c>
      <c r="BC10" s="1">
        <v>7280000</v>
      </c>
      <c r="BD10" t="s">
        <v>74</v>
      </c>
      <c r="BE10" s="21" t="s">
        <v>4673</v>
      </c>
      <c r="BF10" t="s">
        <v>4674</v>
      </c>
      <c r="BH10" t="s">
        <v>77</v>
      </c>
      <c r="BI10" t="s">
        <v>92</v>
      </c>
      <c r="BJ10" t="s">
        <v>79</v>
      </c>
      <c r="BM10">
        <v>0</v>
      </c>
      <c r="BN10">
        <v>2</v>
      </c>
      <c r="BO10">
        <v>2</v>
      </c>
      <c r="BP10" t="s">
        <v>80</v>
      </c>
      <c r="BR10">
        <v>0</v>
      </c>
      <c r="BS10">
        <v>6</v>
      </c>
      <c r="BU10" s="1">
        <v>3720000</v>
      </c>
      <c r="BV10" s="1">
        <v>3137745</v>
      </c>
    </row>
    <row r="11" spans="1:74" x14ac:dyDescent="0.3">
      <c r="A11" t="s">
        <v>3515</v>
      </c>
      <c r="B11">
        <v>5</v>
      </c>
      <c r="C11" s="1">
        <v>1336934</v>
      </c>
      <c r="D11" s="1">
        <v>7</v>
      </c>
      <c r="E11" s="1">
        <v>1668176</v>
      </c>
      <c r="F11" s="1">
        <v>0</v>
      </c>
      <c r="G11" s="1">
        <v>0</v>
      </c>
      <c r="H11" s="1">
        <v>10</v>
      </c>
      <c r="I11" s="1">
        <v>216352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20</v>
      </c>
      <c r="BC11" s="1">
        <v>9673286</v>
      </c>
      <c r="BD11" t="s">
        <v>74</v>
      </c>
      <c r="BE11" s="2" t="s">
        <v>3516</v>
      </c>
      <c r="BF11" t="s">
        <v>3517</v>
      </c>
      <c r="BH11" t="s">
        <v>136</v>
      </c>
      <c r="BI11" t="s">
        <v>137</v>
      </c>
      <c r="BJ11" t="s">
        <v>125</v>
      </c>
      <c r="BM11">
        <v>0</v>
      </c>
      <c r="BN11">
        <v>3</v>
      </c>
      <c r="BO11">
        <v>3</v>
      </c>
      <c r="BP11" t="s">
        <v>80</v>
      </c>
      <c r="BR11">
        <v>0</v>
      </c>
      <c r="BS11">
        <v>4</v>
      </c>
      <c r="BU11" s="1">
        <v>3221462</v>
      </c>
      <c r="BV11" s="1">
        <f>5000000+1667271</f>
        <v>6667271</v>
      </c>
    </row>
    <row r="12" spans="1:74" x14ac:dyDescent="0.3">
      <c r="A12" t="s">
        <v>4434</v>
      </c>
      <c r="B12">
        <v>0</v>
      </c>
      <c r="C12" s="1">
        <v>0</v>
      </c>
      <c r="D12" s="1">
        <v>4</v>
      </c>
      <c r="E12" s="1">
        <v>3575429</v>
      </c>
      <c r="F12" s="1">
        <v>0</v>
      </c>
      <c r="G12" s="1">
        <v>0</v>
      </c>
      <c r="H12" s="1">
        <v>20</v>
      </c>
      <c r="I12" s="1">
        <v>406212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33</v>
      </c>
      <c r="BC12" s="1">
        <v>11591601</v>
      </c>
      <c r="BD12" t="s">
        <v>74</v>
      </c>
      <c r="BE12" s="2" t="s">
        <v>4435</v>
      </c>
      <c r="BF12" t="s">
        <v>3517</v>
      </c>
      <c r="BH12" t="s">
        <v>77</v>
      </c>
      <c r="BI12" t="s">
        <v>92</v>
      </c>
      <c r="BJ12" t="s">
        <v>79</v>
      </c>
      <c r="BM12">
        <v>0</v>
      </c>
      <c r="BN12">
        <v>2</v>
      </c>
      <c r="BO12">
        <v>2</v>
      </c>
      <c r="BP12" t="s">
        <v>80</v>
      </c>
      <c r="BR12">
        <v>0</v>
      </c>
      <c r="BS12">
        <v>6</v>
      </c>
      <c r="BU12" s="1">
        <v>3981641</v>
      </c>
      <c r="BV12" s="1">
        <v>2751380</v>
      </c>
    </row>
    <row r="13" spans="1:74" x14ac:dyDescent="0.3">
      <c r="A13" t="s">
        <v>2335</v>
      </c>
      <c r="B13">
        <v>0</v>
      </c>
      <c r="C13" s="1">
        <v>0</v>
      </c>
      <c r="D13" s="1">
        <v>7</v>
      </c>
      <c r="E13" s="1">
        <v>4815000</v>
      </c>
      <c r="F13" s="1">
        <v>0</v>
      </c>
      <c r="G13" s="1">
        <v>0</v>
      </c>
      <c r="H13" s="1">
        <v>10</v>
      </c>
      <c r="I13" s="1">
        <v>150000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4</v>
      </c>
      <c r="Z13" s="1">
        <v>536186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</v>
      </c>
      <c r="AL13" s="1">
        <v>11526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22</v>
      </c>
      <c r="BC13" s="1">
        <v>10668216</v>
      </c>
      <c r="BD13" t="s">
        <v>74</v>
      </c>
      <c r="BE13" s="2" t="s">
        <v>2336</v>
      </c>
      <c r="BF13" t="s">
        <v>2337</v>
      </c>
      <c r="BH13" t="s">
        <v>77</v>
      </c>
      <c r="BI13" t="s">
        <v>92</v>
      </c>
      <c r="BJ13" t="s">
        <v>79</v>
      </c>
      <c r="BM13">
        <v>2</v>
      </c>
      <c r="BN13">
        <v>2</v>
      </c>
      <c r="BO13">
        <v>4</v>
      </c>
      <c r="BP13" t="s">
        <v>80</v>
      </c>
      <c r="BR13">
        <v>0</v>
      </c>
      <c r="BS13">
        <v>5</v>
      </c>
      <c r="BU13" s="1">
        <v>5512712</v>
      </c>
      <c r="BV13" s="1">
        <v>4835080</v>
      </c>
    </row>
    <row r="14" spans="1:74" x14ac:dyDescent="0.3">
      <c r="A14" t="s">
        <v>4316</v>
      </c>
      <c r="B14">
        <v>0</v>
      </c>
      <c r="C14" s="1">
        <v>1389818</v>
      </c>
      <c r="D14" s="1">
        <v>6</v>
      </c>
      <c r="E14" s="1">
        <v>1076426</v>
      </c>
      <c r="F14" s="1">
        <v>0</v>
      </c>
      <c r="G14" s="1">
        <v>0</v>
      </c>
      <c r="H14" s="1">
        <v>8</v>
      </c>
      <c r="I14" s="1">
        <v>185724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12</v>
      </c>
      <c r="BC14" s="1">
        <v>3542670</v>
      </c>
      <c r="BD14" t="s">
        <v>74</v>
      </c>
      <c r="BE14" s="2" t="s">
        <v>4317</v>
      </c>
      <c r="BF14" t="s">
        <v>4318</v>
      </c>
      <c r="BH14" t="s">
        <v>77</v>
      </c>
      <c r="BI14" t="s">
        <v>92</v>
      </c>
      <c r="BJ14" t="s">
        <v>79</v>
      </c>
      <c r="BM14">
        <v>0</v>
      </c>
      <c r="BN14">
        <v>2</v>
      </c>
      <c r="BO14">
        <v>2</v>
      </c>
      <c r="BP14" t="s">
        <v>80</v>
      </c>
      <c r="BR14">
        <v>0</v>
      </c>
      <c r="BS14">
        <v>6</v>
      </c>
      <c r="BU14" s="1">
        <v>2651968</v>
      </c>
      <c r="BV14" s="1">
        <v>1770142</v>
      </c>
    </row>
    <row r="15" spans="1:74" x14ac:dyDescent="0.3">
      <c r="A15" t="s">
        <v>3700</v>
      </c>
      <c r="B15">
        <v>0</v>
      </c>
      <c r="C15" s="1">
        <v>0</v>
      </c>
      <c r="D15" s="1">
        <v>5</v>
      </c>
      <c r="E15" s="1">
        <v>3680000</v>
      </c>
      <c r="F15" s="1">
        <v>0</v>
      </c>
      <c r="G15" s="1">
        <v>0</v>
      </c>
      <c r="H15" s="1">
        <v>8</v>
      </c>
      <c r="I15" s="1">
        <v>160000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221830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</v>
      </c>
      <c r="AL15" s="1">
        <v>20000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14</v>
      </c>
      <c r="BC15" s="1">
        <v>7675365</v>
      </c>
      <c r="BD15" t="s">
        <v>74</v>
      </c>
      <c r="BE15" s="2" t="s">
        <v>3701</v>
      </c>
      <c r="BF15" t="s">
        <v>3702</v>
      </c>
      <c r="BH15" t="s">
        <v>77</v>
      </c>
      <c r="BI15" t="s">
        <v>84</v>
      </c>
      <c r="BJ15" t="s">
        <v>79</v>
      </c>
      <c r="BM15">
        <v>2</v>
      </c>
      <c r="BN15">
        <v>2</v>
      </c>
      <c r="BO15">
        <v>4</v>
      </c>
      <c r="BP15" t="s">
        <v>80</v>
      </c>
      <c r="BR15">
        <v>0</v>
      </c>
      <c r="BS15">
        <v>6</v>
      </c>
      <c r="BU15" s="1">
        <v>4081830</v>
      </c>
      <c r="BV15" s="1">
        <v>3923866</v>
      </c>
    </row>
    <row r="16" spans="1:74" x14ac:dyDescent="0.3">
      <c r="A16" t="s">
        <v>4025</v>
      </c>
      <c r="B16">
        <v>0</v>
      </c>
      <c r="C16" s="1">
        <v>0</v>
      </c>
      <c r="D16" s="1">
        <v>1</v>
      </c>
      <c r="E16" s="1">
        <v>8800000</v>
      </c>
      <c r="F16" s="1">
        <v>0</v>
      </c>
      <c r="G16" s="1">
        <v>0</v>
      </c>
      <c r="H16" s="1">
        <v>3</v>
      </c>
      <c r="I16" s="1">
        <v>103899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48693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</v>
      </c>
      <c r="AL16" s="1">
        <v>19640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7</v>
      </c>
      <c r="BC16" s="1">
        <v>9400803</v>
      </c>
      <c r="BD16" t="s">
        <v>74</v>
      </c>
      <c r="BE16" s="2" t="s">
        <v>4026</v>
      </c>
      <c r="BF16" t="s">
        <v>4027</v>
      </c>
      <c r="BH16" t="s">
        <v>77</v>
      </c>
      <c r="BI16" t="s">
        <v>92</v>
      </c>
      <c r="BJ16" t="s">
        <v>79</v>
      </c>
      <c r="BM16">
        <v>2</v>
      </c>
      <c r="BN16">
        <v>2</v>
      </c>
      <c r="BO16">
        <v>4</v>
      </c>
      <c r="BP16" t="s">
        <v>80</v>
      </c>
      <c r="BR16">
        <v>0</v>
      </c>
      <c r="BS16">
        <v>5</v>
      </c>
      <c r="BU16" s="1">
        <v>8972232</v>
      </c>
      <c r="BV16" s="1">
        <v>9157706</v>
      </c>
    </row>
    <row r="17" spans="1:74" x14ac:dyDescent="0.3">
      <c r="A17" t="s">
        <v>3244</v>
      </c>
      <c r="B17">
        <v>0</v>
      </c>
      <c r="C17" s="1">
        <v>0</v>
      </c>
      <c r="D17" s="1">
        <v>4</v>
      </c>
      <c r="E17" s="1">
        <v>1432549</v>
      </c>
      <c r="F17" s="1">
        <v>0</v>
      </c>
      <c r="G17" s="1">
        <v>0</v>
      </c>
      <c r="H17" s="1">
        <v>6</v>
      </c>
      <c r="I17" s="1">
        <v>122240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9</v>
      </c>
      <c r="BC17" s="1">
        <v>2892371</v>
      </c>
      <c r="BD17" t="s">
        <v>74</v>
      </c>
      <c r="BE17" s="2" t="s">
        <v>3245</v>
      </c>
      <c r="BF17" t="s">
        <v>3246</v>
      </c>
      <c r="BH17" t="s">
        <v>77</v>
      </c>
      <c r="BI17" t="s">
        <v>92</v>
      </c>
      <c r="BJ17" t="s">
        <v>79</v>
      </c>
      <c r="BM17">
        <v>0</v>
      </c>
      <c r="BN17">
        <v>2</v>
      </c>
      <c r="BO17">
        <v>2</v>
      </c>
      <c r="BP17" t="s">
        <v>80</v>
      </c>
      <c r="BR17">
        <v>0</v>
      </c>
      <c r="BS17">
        <v>6</v>
      </c>
      <c r="BU17" s="1">
        <v>1554789</v>
      </c>
      <c r="BV17" s="1">
        <v>1918121</v>
      </c>
    </row>
    <row r="18" spans="1:74" x14ac:dyDescent="0.3">
      <c r="A18" t="s">
        <v>4131</v>
      </c>
      <c r="B18">
        <v>0</v>
      </c>
      <c r="C18" s="1">
        <v>0</v>
      </c>
      <c r="D18" s="1">
        <v>3</v>
      </c>
      <c r="E18" s="1">
        <v>2475663</v>
      </c>
      <c r="F18" s="1">
        <v>0</v>
      </c>
      <c r="G18" s="1">
        <v>0</v>
      </c>
      <c r="H18" s="1">
        <v>4</v>
      </c>
      <c r="I18" s="1">
        <v>151326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6</v>
      </c>
      <c r="BC18" s="1">
        <v>4951326</v>
      </c>
      <c r="BD18" t="s">
        <v>74</v>
      </c>
      <c r="BE18" s="2" t="s">
        <v>4132</v>
      </c>
      <c r="BF18" t="s">
        <v>4133</v>
      </c>
      <c r="BH18" t="s">
        <v>77</v>
      </c>
      <c r="BI18" t="s">
        <v>84</v>
      </c>
      <c r="BJ18" t="s">
        <v>79</v>
      </c>
      <c r="BM18">
        <v>0</v>
      </c>
      <c r="BN18">
        <v>2</v>
      </c>
      <c r="BO18">
        <v>2</v>
      </c>
      <c r="BP18" t="s">
        <v>80</v>
      </c>
      <c r="BR18">
        <v>0</v>
      </c>
      <c r="BS18">
        <v>6</v>
      </c>
      <c r="BU18" s="1">
        <v>2626989</v>
      </c>
      <c r="BV18" s="1">
        <v>2437636</v>
      </c>
    </row>
    <row r="19" spans="1:74" x14ac:dyDescent="0.3">
      <c r="A19" t="s">
        <v>5374</v>
      </c>
      <c r="B19">
        <v>1</v>
      </c>
      <c r="C19" s="1">
        <v>325326</v>
      </c>
      <c r="D19" s="1">
        <v>3</v>
      </c>
      <c r="E19" s="1">
        <v>840760</v>
      </c>
      <c r="F19" s="1">
        <v>0</v>
      </c>
      <c r="G19" s="1">
        <v>0</v>
      </c>
      <c r="H19" s="1">
        <v>4</v>
      </c>
      <c r="I19" s="1">
        <v>381520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7</v>
      </c>
      <c r="BC19" s="1">
        <v>2006846</v>
      </c>
      <c r="BD19" t="s">
        <v>74</v>
      </c>
      <c r="BE19" s="2" t="s">
        <v>5375</v>
      </c>
      <c r="BF19" t="s">
        <v>4133</v>
      </c>
      <c r="BH19" t="s">
        <v>77</v>
      </c>
      <c r="BI19" t="s">
        <v>92</v>
      </c>
      <c r="BJ19" t="s">
        <v>79</v>
      </c>
      <c r="BM19">
        <v>0</v>
      </c>
      <c r="BN19">
        <v>3</v>
      </c>
      <c r="BO19">
        <v>3</v>
      </c>
      <c r="BP19" t="s">
        <v>80</v>
      </c>
      <c r="BR19">
        <v>0</v>
      </c>
      <c r="BS19">
        <v>6</v>
      </c>
      <c r="BU19" s="1">
        <v>1547606</v>
      </c>
      <c r="BV19" s="1">
        <v>733685</v>
      </c>
    </row>
    <row r="20" spans="1:74" x14ac:dyDescent="0.3">
      <c r="A20" t="s">
        <v>5694</v>
      </c>
      <c r="B20">
        <v>0</v>
      </c>
      <c r="C20" s="1">
        <v>0</v>
      </c>
      <c r="D20" s="1">
        <v>1</v>
      </c>
      <c r="E20" s="1">
        <v>428571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2</v>
      </c>
      <c r="BC20" s="1">
        <v>857142</v>
      </c>
      <c r="BD20" t="s">
        <v>74</v>
      </c>
      <c r="BE20" s="2" t="s">
        <v>5695</v>
      </c>
      <c r="BF20" t="s">
        <v>4133</v>
      </c>
      <c r="BH20" t="s">
        <v>77</v>
      </c>
      <c r="BI20" t="s">
        <v>92</v>
      </c>
      <c r="BJ20" t="s">
        <v>79</v>
      </c>
      <c r="BM20">
        <v>0</v>
      </c>
      <c r="BN20">
        <v>1</v>
      </c>
      <c r="BO20">
        <v>1</v>
      </c>
      <c r="BP20" t="s">
        <v>80</v>
      </c>
      <c r="BR20">
        <v>0</v>
      </c>
      <c r="BS20">
        <v>6</v>
      </c>
      <c r="BU20" s="1">
        <v>428571</v>
      </c>
      <c r="BV20" s="1">
        <v>428571</v>
      </c>
    </row>
    <row r="21" spans="1:74" x14ac:dyDescent="0.3">
      <c r="A21" t="s">
        <v>3685</v>
      </c>
      <c r="B21">
        <v>1</v>
      </c>
      <c r="C21" s="1">
        <v>317273</v>
      </c>
      <c r="D21" s="1">
        <v>12</v>
      </c>
      <c r="E21" s="1">
        <v>2778660</v>
      </c>
      <c r="F21" s="1">
        <v>0</v>
      </c>
      <c r="G21" s="1">
        <v>0</v>
      </c>
      <c r="H21" s="1">
        <v>20</v>
      </c>
      <c r="I21" s="1">
        <v>457320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</v>
      </c>
      <c r="AL21" s="1">
        <v>31666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26</v>
      </c>
      <c r="BC21" s="1">
        <v>5637925</v>
      </c>
      <c r="BD21" t="s">
        <v>74</v>
      </c>
      <c r="BE21" s="2" t="s">
        <v>3686</v>
      </c>
      <c r="BF21" t="s">
        <v>3687</v>
      </c>
      <c r="BH21" t="s">
        <v>77</v>
      </c>
      <c r="BI21" t="s">
        <v>84</v>
      </c>
      <c r="BJ21" t="s">
        <v>79</v>
      </c>
      <c r="BM21">
        <v>1</v>
      </c>
      <c r="BN21">
        <v>3</v>
      </c>
      <c r="BO21">
        <v>4</v>
      </c>
      <c r="BP21" t="s">
        <v>80</v>
      </c>
      <c r="BR21">
        <v>0</v>
      </c>
      <c r="BS21">
        <v>6</v>
      </c>
      <c r="BU21" s="1">
        <v>3584919</v>
      </c>
      <c r="BV21" s="1">
        <v>2550000</v>
      </c>
    </row>
    <row r="22" spans="1:74" x14ac:dyDescent="0.3">
      <c r="A22" t="s">
        <v>3870</v>
      </c>
      <c r="B22">
        <v>0</v>
      </c>
      <c r="C22" s="1">
        <v>0</v>
      </c>
      <c r="D22" s="1">
        <v>11</v>
      </c>
      <c r="E22" s="1">
        <v>3699700</v>
      </c>
      <c r="F22" s="1">
        <v>0</v>
      </c>
      <c r="G22" s="1">
        <v>0</v>
      </c>
      <c r="H22" s="1">
        <v>16</v>
      </c>
      <c r="I22" s="1">
        <v>343400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22</v>
      </c>
      <c r="BC22" s="1">
        <v>7399400</v>
      </c>
      <c r="BD22" t="s">
        <v>74</v>
      </c>
      <c r="BE22" s="2" t="s">
        <v>3871</v>
      </c>
      <c r="BF22" t="s">
        <v>3687</v>
      </c>
      <c r="BH22" t="s">
        <v>77</v>
      </c>
      <c r="BI22" t="s">
        <v>92</v>
      </c>
      <c r="BJ22" t="s">
        <v>79</v>
      </c>
      <c r="BM22">
        <v>0</v>
      </c>
      <c r="BN22">
        <v>2</v>
      </c>
      <c r="BO22">
        <v>2</v>
      </c>
      <c r="BP22" t="s">
        <v>80</v>
      </c>
      <c r="BR22">
        <v>0</v>
      </c>
      <c r="BS22">
        <v>6</v>
      </c>
      <c r="BU22" s="1">
        <v>4043100</v>
      </c>
      <c r="BV22" s="1">
        <v>3718899</v>
      </c>
    </row>
    <row r="23" spans="1:74" x14ac:dyDescent="0.3">
      <c r="A23" t="s">
        <v>1202</v>
      </c>
      <c r="B23">
        <v>0</v>
      </c>
      <c r="C23" s="1">
        <v>0</v>
      </c>
      <c r="D23" s="1">
        <v>2</v>
      </c>
      <c r="E23" s="1">
        <v>630005</v>
      </c>
      <c r="F23" s="1">
        <v>0</v>
      </c>
      <c r="G23" s="1">
        <v>0</v>
      </c>
      <c r="H23" s="1">
        <v>2</v>
      </c>
      <c r="I23" s="1">
        <v>227282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4</v>
      </c>
      <c r="BC23" s="1">
        <v>1260010</v>
      </c>
      <c r="BD23" t="s">
        <v>74</v>
      </c>
      <c r="BE23" s="2" t="s">
        <v>1203</v>
      </c>
      <c r="BF23" t="s">
        <v>1204</v>
      </c>
      <c r="BH23" t="s">
        <v>77</v>
      </c>
      <c r="BI23" t="s">
        <v>92</v>
      </c>
      <c r="BJ23" t="s">
        <v>79</v>
      </c>
      <c r="BM23">
        <v>0</v>
      </c>
      <c r="BN23">
        <v>2</v>
      </c>
      <c r="BO23">
        <v>2</v>
      </c>
      <c r="BP23" t="s">
        <v>80</v>
      </c>
      <c r="BR23">
        <v>0</v>
      </c>
      <c r="BS23">
        <v>6</v>
      </c>
      <c r="BU23" s="1">
        <v>857287</v>
      </c>
      <c r="BV23" s="1">
        <v>540510</v>
      </c>
    </row>
    <row r="24" spans="1:74" x14ac:dyDescent="0.3">
      <c r="A24" t="s">
        <v>4442</v>
      </c>
      <c r="B24">
        <v>0</v>
      </c>
      <c r="C24" s="1">
        <v>0</v>
      </c>
      <c r="D24" s="1">
        <v>5</v>
      </c>
      <c r="E24" s="1">
        <v>1891108</v>
      </c>
      <c r="F24" s="1">
        <v>0</v>
      </c>
      <c r="G24" s="1">
        <v>0</v>
      </c>
      <c r="H24" s="1">
        <v>8</v>
      </c>
      <c r="I24" s="1">
        <v>182216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10</v>
      </c>
      <c r="BC24" s="1">
        <v>3782216</v>
      </c>
      <c r="BD24" t="s">
        <v>74</v>
      </c>
      <c r="BE24" s="2" t="s">
        <v>4443</v>
      </c>
      <c r="BF24" t="s">
        <v>4444</v>
      </c>
      <c r="BH24" t="s">
        <v>77</v>
      </c>
      <c r="BI24" t="s">
        <v>92</v>
      </c>
      <c r="BJ24" t="s">
        <v>79</v>
      </c>
      <c r="BM24">
        <v>0</v>
      </c>
      <c r="BN24">
        <v>2</v>
      </c>
      <c r="BO24">
        <v>2</v>
      </c>
      <c r="BP24" t="s">
        <v>80</v>
      </c>
      <c r="BR24">
        <v>0</v>
      </c>
      <c r="BS24">
        <v>6</v>
      </c>
      <c r="BU24" s="1">
        <v>2073324</v>
      </c>
      <c r="BV24" s="1">
        <v>1963621</v>
      </c>
    </row>
    <row r="25" spans="1:74" x14ac:dyDescent="0.3">
      <c r="A25" t="s">
        <v>4462</v>
      </c>
      <c r="B25">
        <v>3</v>
      </c>
      <c r="C25" s="1">
        <v>136364</v>
      </c>
      <c r="D25" s="1">
        <v>5</v>
      </c>
      <c r="E25" s="1">
        <v>1680780</v>
      </c>
      <c r="F25" s="1">
        <v>0</v>
      </c>
      <c r="G25" s="1">
        <v>0</v>
      </c>
      <c r="H25" s="1">
        <v>8</v>
      </c>
      <c r="I25" s="1">
        <v>147274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48693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19640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15</v>
      </c>
      <c r="BC25" s="1">
        <v>3566257</v>
      </c>
      <c r="BD25" t="s">
        <v>74</v>
      </c>
      <c r="BE25" s="2" t="s">
        <v>4463</v>
      </c>
      <c r="BF25" t="s">
        <v>4444</v>
      </c>
      <c r="BH25" t="s">
        <v>77</v>
      </c>
      <c r="BI25" t="s">
        <v>92</v>
      </c>
      <c r="BJ25" t="s">
        <v>79</v>
      </c>
      <c r="BM25">
        <v>2</v>
      </c>
      <c r="BN25">
        <v>3</v>
      </c>
      <c r="BO25">
        <v>5</v>
      </c>
      <c r="BP25" t="s">
        <v>80</v>
      </c>
      <c r="BR25">
        <v>0</v>
      </c>
      <c r="BS25">
        <v>6</v>
      </c>
      <c r="BU25" s="1">
        <v>2032751</v>
      </c>
      <c r="BV25" s="1">
        <v>1680780</v>
      </c>
    </row>
    <row r="26" spans="1:74" x14ac:dyDescent="0.3">
      <c r="A26" t="s">
        <v>5723</v>
      </c>
      <c r="B26">
        <v>0</v>
      </c>
      <c r="C26" s="1">
        <v>0</v>
      </c>
      <c r="D26" s="1">
        <v>6</v>
      </c>
      <c r="E26" s="1">
        <v>7610382</v>
      </c>
      <c r="F26" s="1">
        <v>0</v>
      </c>
      <c r="G26" s="1">
        <v>0</v>
      </c>
      <c r="H26" s="1">
        <v>8</v>
      </c>
      <c r="I26" s="1">
        <v>1620764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</v>
      </c>
      <c r="Z26" s="1">
        <v>152120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14</v>
      </c>
      <c r="BC26" s="1">
        <v>15372884</v>
      </c>
      <c r="BD26" t="s">
        <v>74</v>
      </c>
      <c r="BE26" s="2" t="s">
        <v>5724</v>
      </c>
      <c r="BF26" t="s">
        <v>4444</v>
      </c>
      <c r="BH26" t="s">
        <v>77</v>
      </c>
      <c r="BI26" t="s">
        <v>92</v>
      </c>
      <c r="BJ26" t="s">
        <v>79</v>
      </c>
      <c r="BM26">
        <v>1</v>
      </c>
      <c r="BN26">
        <v>2</v>
      </c>
      <c r="BO26">
        <v>3</v>
      </c>
      <c r="BP26" t="s">
        <v>80</v>
      </c>
      <c r="BR26">
        <v>0</v>
      </c>
      <c r="BS26">
        <v>5</v>
      </c>
      <c r="BU26" s="1">
        <v>9383266</v>
      </c>
      <c r="BV26" s="1">
        <v>7257273</v>
      </c>
    </row>
    <row r="27" spans="1:74" x14ac:dyDescent="0.3">
      <c r="A27" t="s">
        <v>4648</v>
      </c>
      <c r="B27">
        <v>0</v>
      </c>
      <c r="C27" s="1">
        <v>0</v>
      </c>
      <c r="D27" s="1">
        <v>2</v>
      </c>
      <c r="E27" s="1">
        <v>1800000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78585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6</v>
      </c>
      <c r="BC27" s="1">
        <v>3757170</v>
      </c>
      <c r="BD27" t="s">
        <v>74</v>
      </c>
      <c r="BE27" s="2" t="s">
        <v>4649</v>
      </c>
      <c r="BF27" t="s">
        <v>4650</v>
      </c>
      <c r="BH27" t="s">
        <v>77</v>
      </c>
      <c r="BI27" t="s">
        <v>92</v>
      </c>
      <c r="BJ27" t="s">
        <v>79</v>
      </c>
      <c r="BM27">
        <v>1</v>
      </c>
      <c r="BN27">
        <v>1</v>
      </c>
      <c r="BO27">
        <v>2</v>
      </c>
      <c r="BP27" t="s">
        <v>80</v>
      </c>
      <c r="BR27">
        <v>0</v>
      </c>
      <c r="BS27">
        <v>6</v>
      </c>
      <c r="BU27" s="1">
        <v>1878585</v>
      </c>
      <c r="BV27" s="1">
        <v>1800000</v>
      </c>
    </row>
    <row r="28" spans="1:74" x14ac:dyDescent="0.3">
      <c r="A28" t="s">
        <v>4086</v>
      </c>
      <c r="B28">
        <v>0</v>
      </c>
      <c r="C28" s="1">
        <v>0</v>
      </c>
      <c r="D28" s="1">
        <v>6</v>
      </c>
      <c r="E28" s="1">
        <v>4560559</v>
      </c>
      <c r="F28" s="1">
        <v>0</v>
      </c>
      <c r="G28" s="1">
        <v>0</v>
      </c>
      <c r="H28" s="1">
        <v>8</v>
      </c>
      <c r="I28" s="1">
        <v>206832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375000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14</v>
      </c>
      <c r="BC28" s="1">
        <v>9871118</v>
      </c>
      <c r="BD28" t="s">
        <v>74</v>
      </c>
      <c r="BE28" s="2" t="s">
        <v>4087</v>
      </c>
      <c r="BF28" t="s">
        <v>4088</v>
      </c>
      <c r="BH28" t="s">
        <v>77</v>
      </c>
      <c r="BI28" t="s">
        <v>92</v>
      </c>
      <c r="BJ28" t="s">
        <v>79</v>
      </c>
      <c r="BM28">
        <v>1</v>
      </c>
      <c r="BN28">
        <v>2</v>
      </c>
      <c r="BO28">
        <v>3</v>
      </c>
      <c r="BP28" t="s">
        <v>80</v>
      </c>
      <c r="BR28">
        <v>0</v>
      </c>
      <c r="BS28">
        <v>5</v>
      </c>
      <c r="BU28" s="1">
        <v>5142391</v>
      </c>
      <c r="BV28" s="1">
        <v>4545375</v>
      </c>
    </row>
    <row r="29" spans="1:74" x14ac:dyDescent="0.3">
      <c r="A29" t="s">
        <v>292</v>
      </c>
      <c r="B29">
        <v>0</v>
      </c>
      <c r="C29" s="1">
        <v>1615854</v>
      </c>
      <c r="D29" s="1">
        <v>6</v>
      </c>
      <c r="E29" s="1">
        <v>4442328</v>
      </c>
      <c r="F29" s="1">
        <v>1</v>
      </c>
      <c r="G29" s="1">
        <v>1283400</v>
      </c>
      <c r="H29" s="1">
        <v>18</v>
      </c>
      <c r="I29" s="1">
        <v>652311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1283400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33</v>
      </c>
      <c r="BC29" s="1">
        <v>14486421</v>
      </c>
      <c r="BD29" t="s">
        <v>74</v>
      </c>
      <c r="BE29" s="2" t="s">
        <v>293</v>
      </c>
      <c r="BF29" t="s">
        <v>294</v>
      </c>
      <c r="BH29" t="s">
        <v>77</v>
      </c>
      <c r="BI29" t="s">
        <v>84</v>
      </c>
      <c r="BJ29" t="s">
        <v>79</v>
      </c>
      <c r="BM29">
        <v>0</v>
      </c>
      <c r="BN29">
        <v>4</v>
      </c>
      <c r="BO29">
        <v>4</v>
      </c>
      <c r="BP29" t="s">
        <v>80</v>
      </c>
      <c r="BR29">
        <v>0</v>
      </c>
      <c r="BS29">
        <v>5</v>
      </c>
      <c r="BU29" s="1">
        <v>9277293</v>
      </c>
      <c r="BV29" s="1">
        <v>2251691</v>
      </c>
    </row>
    <row r="30" spans="1:74" x14ac:dyDescent="0.3">
      <c r="A30" t="s">
        <v>1540</v>
      </c>
      <c r="B30">
        <v>1</v>
      </c>
      <c r="C30" s="1">
        <v>214937</v>
      </c>
      <c r="D30" s="1">
        <v>9</v>
      </c>
      <c r="E30" s="1">
        <v>2366638</v>
      </c>
      <c r="F30" s="1">
        <v>0</v>
      </c>
      <c r="G30" s="1">
        <v>0</v>
      </c>
      <c r="H30" s="1">
        <v>22</v>
      </c>
      <c r="I30" s="1">
        <v>453276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</v>
      </c>
      <c r="Z30" s="1">
        <v>152120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68334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29</v>
      </c>
      <c r="BC30" s="1">
        <v>5367252</v>
      </c>
      <c r="BD30" t="s">
        <v>74</v>
      </c>
      <c r="BE30" s="2" t="s">
        <v>1541</v>
      </c>
      <c r="BF30" t="s">
        <v>1542</v>
      </c>
      <c r="BH30" t="s">
        <v>136</v>
      </c>
      <c r="BI30" t="s">
        <v>137</v>
      </c>
      <c r="BJ30" t="s">
        <v>125</v>
      </c>
      <c r="BM30">
        <v>2</v>
      </c>
      <c r="BN30">
        <v>3</v>
      </c>
      <c r="BO30">
        <v>5</v>
      </c>
      <c r="BP30" t="s">
        <v>99</v>
      </c>
      <c r="BR30">
        <v>0</v>
      </c>
      <c r="BS30">
        <v>6</v>
      </c>
      <c r="BU30" s="1">
        <v>3255305</v>
      </c>
      <c r="BV30" s="1">
        <v>2360000</v>
      </c>
    </row>
    <row r="31" spans="1:74" x14ac:dyDescent="0.3">
      <c r="A31" t="s">
        <v>5720</v>
      </c>
      <c r="B31">
        <v>0</v>
      </c>
      <c r="C31" s="1">
        <v>0</v>
      </c>
      <c r="D31" s="1">
        <v>4</v>
      </c>
      <c r="E31" s="1">
        <v>985713</v>
      </c>
      <c r="F31" s="1">
        <v>0</v>
      </c>
      <c r="G31" s="1">
        <v>0</v>
      </c>
      <c r="H31" s="1">
        <v>6</v>
      </c>
      <c r="I31" s="1">
        <v>120000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8</v>
      </c>
      <c r="BC31" s="1">
        <v>1971426</v>
      </c>
      <c r="BD31" t="s">
        <v>74</v>
      </c>
      <c r="BE31" s="2" t="s">
        <v>5721</v>
      </c>
      <c r="BF31" t="s">
        <v>5722</v>
      </c>
      <c r="BH31" t="s">
        <v>77</v>
      </c>
      <c r="BI31" t="s">
        <v>92</v>
      </c>
      <c r="BJ31" t="s">
        <v>79</v>
      </c>
      <c r="BM31">
        <v>0</v>
      </c>
      <c r="BN31">
        <v>2</v>
      </c>
      <c r="BO31">
        <v>2</v>
      </c>
      <c r="BP31" t="s">
        <v>80</v>
      </c>
      <c r="BR31">
        <v>0</v>
      </c>
      <c r="BS31">
        <v>6</v>
      </c>
      <c r="BU31" s="1">
        <v>1105713</v>
      </c>
      <c r="BV31" s="1">
        <v>993339</v>
      </c>
    </row>
    <row r="32" spans="1:74" x14ac:dyDescent="0.3">
      <c r="A32" t="s">
        <v>266</v>
      </c>
      <c r="B32">
        <v>0</v>
      </c>
      <c r="C32" s="1">
        <v>0</v>
      </c>
      <c r="D32" s="1">
        <v>1</v>
      </c>
      <c r="E32" s="1">
        <v>260000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</v>
      </c>
      <c r="BC32" s="1">
        <v>520000</v>
      </c>
      <c r="BD32" t="s">
        <v>74</v>
      </c>
      <c r="BE32" s="21" t="s">
        <v>267</v>
      </c>
      <c r="BF32" t="s">
        <v>268</v>
      </c>
      <c r="BH32" t="s">
        <v>77</v>
      </c>
      <c r="BI32" t="s">
        <v>84</v>
      </c>
      <c r="BJ32" t="s">
        <v>79</v>
      </c>
      <c r="BM32">
        <v>0</v>
      </c>
      <c r="BN32">
        <v>1</v>
      </c>
      <c r="BO32">
        <v>1</v>
      </c>
      <c r="BP32" t="s">
        <v>80</v>
      </c>
      <c r="BR32">
        <v>0</v>
      </c>
      <c r="BS32">
        <v>6</v>
      </c>
      <c r="BU32" s="1">
        <v>260000</v>
      </c>
      <c r="BV32" s="1">
        <v>260000</v>
      </c>
    </row>
    <row r="33" spans="1:74" x14ac:dyDescent="0.3">
      <c r="A33" t="s">
        <v>282</v>
      </c>
      <c r="B33">
        <v>0</v>
      </c>
      <c r="C33" s="1">
        <v>0</v>
      </c>
      <c r="D33" s="1">
        <v>1</v>
      </c>
      <c r="E33" s="1">
        <v>327273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2</v>
      </c>
      <c r="BC33" s="1">
        <v>755844</v>
      </c>
      <c r="BD33" t="s">
        <v>74</v>
      </c>
      <c r="BE33" s="21" t="s">
        <v>283</v>
      </c>
      <c r="BF33" t="s">
        <v>284</v>
      </c>
      <c r="BH33" t="s">
        <v>77</v>
      </c>
      <c r="BI33" t="s">
        <v>84</v>
      </c>
      <c r="BJ33" t="s">
        <v>79</v>
      </c>
      <c r="BM33">
        <v>0</v>
      </c>
      <c r="BN33">
        <v>1</v>
      </c>
      <c r="BO33">
        <v>1</v>
      </c>
      <c r="BP33" t="s">
        <v>80</v>
      </c>
      <c r="BR33">
        <v>0</v>
      </c>
      <c r="BS33">
        <v>6</v>
      </c>
      <c r="BU33" s="1">
        <v>327273</v>
      </c>
      <c r="BV33" s="1">
        <v>428571</v>
      </c>
    </row>
    <row r="34" spans="1:74" x14ac:dyDescent="0.3">
      <c r="A34" t="s">
        <v>1069</v>
      </c>
      <c r="B34">
        <v>0</v>
      </c>
      <c r="C34">
        <v>1615854</v>
      </c>
      <c r="D34">
        <v>4</v>
      </c>
      <c r="E34">
        <v>628935</v>
      </c>
      <c r="F34">
        <v>0</v>
      </c>
      <c r="G34">
        <v>0</v>
      </c>
      <c r="H34">
        <v>4</v>
      </c>
      <c r="I34">
        <v>80000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8</v>
      </c>
      <c r="BC34" s="1">
        <v>2873724</v>
      </c>
      <c r="BD34" t="s">
        <v>74</v>
      </c>
      <c r="BE34" s="2" t="s">
        <v>1070</v>
      </c>
      <c r="BF34" t="s">
        <v>1071</v>
      </c>
      <c r="BH34" t="s">
        <v>136</v>
      </c>
      <c r="BI34" t="s">
        <v>137</v>
      </c>
      <c r="BJ34" t="s">
        <v>125</v>
      </c>
      <c r="BM34">
        <v>0</v>
      </c>
      <c r="BN34">
        <v>2</v>
      </c>
      <c r="BO34">
        <v>2</v>
      </c>
      <c r="BP34" t="s">
        <v>80</v>
      </c>
      <c r="BR34">
        <v>0</v>
      </c>
      <c r="BS34">
        <v>6</v>
      </c>
      <c r="BU34" s="1">
        <v>2324789</v>
      </c>
      <c r="BV34" s="1">
        <v>1436862</v>
      </c>
    </row>
    <row r="35" spans="1:74" x14ac:dyDescent="0.3">
      <c r="BC35" s="26" t="s">
        <v>6003</v>
      </c>
      <c r="BE35" s="20" t="s">
        <v>6006</v>
      </c>
      <c r="BF35" s="17" t="s">
        <v>6007</v>
      </c>
      <c r="BV35" s="1">
        <v>432000</v>
      </c>
    </row>
    <row r="36" spans="1:74" x14ac:dyDescent="0.3">
      <c r="BC36" s="26" t="s">
        <v>6003</v>
      </c>
      <c r="BE36" s="19" t="s">
        <v>6008</v>
      </c>
      <c r="BF36" s="17" t="s">
        <v>6009</v>
      </c>
      <c r="BV36" s="1">
        <v>1010951</v>
      </c>
    </row>
    <row r="37" spans="1:74" x14ac:dyDescent="0.3">
      <c r="BC37" s="26" t="s">
        <v>6003</v>
      </c>
      <c r="BE37" s="20" t="s">
        <v>6010</v>
      </c>
      <c r="BF37" s="17" t="s">
        <v>6011</v>
      </c>
      <c r="BV37" s="1">
        <v>1935000</v>
      </c>
    </row>
    <row r="38" spans="1:74" x14ac:dyDescent="0.3">
      <c r="BC38" s="26" t="s">
        <v>6003</v>
      </c>
      <c r="BE38" s="20" t="s">
        <v>6012</v>
      </c>
      <c r="BF38" s="17" t="s">
        <v>6013</v>
      </c>
      <c r="BV38" s="1">
        <v>1440000</v>
      </c>
    </row>
    <row r="39" spans="1:74" x14ac:dyDescent="0.3">
      <c r="BC39" s="26" t="s">
        <v>6003</v>
      </c>
      <c r="BE39" s="20" t="s">
        <v>6014</v>
      </c>
      <c r="BF39" s="17" t="s">
        <v>6011</v>
      </c>
      <c r="BV39" s="1">
        <v>385714</v>
      </c>
    </row>
    <row r="40" spans="1:74" x14ac:dyDescent="0.3">
      <c r="BC40" s="26" t="s">
        <v>6003</v>
      </c>
      <c r="BE40" s="20" t="s">
        <v>6015</v>
      </c>
      <c r="BF40" s="17" t="s">
        <v>6011</v>
      </c>
      <c r="BV40" s="1">
        <v>520000</v>
      </c>
    </row>
    <row r="41" spans="1:74" x14ac:dyDescent="0.3">
      <c r="BC41" s="26" t="s">
        <v>6003</v>
      </c>
      <c r="BE41" s="20" t="s">
        <v>6016</v>
      </c>
      <c r="BF41" s="17" t="s">
        <v>6017</v>
      </c>
      <c r="BV41" s="1">
        <v>1283400</v>
      </c>
    </row>
    <row r="42" spans="1:74" x14ac:dyDescent="0.3">
      <c r="BC42" s="26" t="s">
        <v>6003</v>
      </c>
      <c r="BE42" s="20" t="s">
        <v>6018</v>
      </c>
      <c r="BF42" s="17" t="s">
        <v>545</v>
      </c>
      <c r="BV42" s="1">
        <v>1360000</v>
      </c>
    </row>
    <row r="43" spans="1:74" x14ac:dyDescent="0.3">
      <c r="BE43" s="20" t="s">
        <v>6019</v>
      </c>
      <c r="BF43" s="17" t="s">
        <v>6020</v>
      </c>
      <c r="BV43" s="1">
        <v>2742857</v>
      </c>
    </row>
    <row r="44" spans="1:74" x14ac:dyDescent="0.3">
      <c r="BE44" s="20" t="s">
        <v>6021</v>
      </c>
      <c r="BF44" s="17" t="s">
        <v>6022</v>
      </c>
      <c r="BV44" s="1">
        <v>1371425</v>
      </c>
    </row>
    <row r="45" spans="1:74" x14ac:dyDescent="0.3">
      <c r="BE45" s="20" t="s">
        <v>6023</v>
      </c>
      <c r="BF45" s="17" t="s">
        <v>6024</v>
      </c>
      <c r="BV45" s="1">
        <v>274285</v>
      </c>
    </row>
    <row r="46" spans="1:74" x14ac:dyDescent="0.3">
      <c r="BE46" s="20" t="s">
        <v>6025</v>
      </c>
      <c r="BF46" s="17" t="s">
        <v>6026</v>
      </c>
      <c r="BV46" s="1">
        <v>1577143</v>
      </c>
    </row>
    <row r="47" spans="1:74" x14ac:dyDescent="0.3">
      <c r="BE47" s="20" t="s">
        <v>6027</v>
      </c>
      <c r="BF47" s="17" t="s">
        <v>6028</v>
      </c>
      <c r="BV47" s="1">
        <v>1714286</v>
      </c>
    </row>
    <row r="48" spans="1:74" x14ac:dyDescent="0.3">
      <c r="BE48" s="20" t="s">
        <v>4658</v>
      </c>
      <c r="BF48" s="17" t="s">
        <v>6029</v>
      </c>
      <c r="BV48" s="1">
        <v>857143</v>
      </c>
    </row>
    <row r="49" spans="1:74" x14ac:dyDescent="0.3">
      <c r="BE49" s="20" t="s">
        <v>6030</v>
      </c>
      <c r="BF49" s="17" t="s">
        <v>6031</v>
      </c>
      <c r="BV49" s="1">
        <v>857143</v>
      </c>
    </row>
    <row r="50" spans="1:74" x14ac:dyDescent="0.3">
      <c r="BE50" s="20" t="s">
        <v>6032</v>
      </c>
      <c r="BF50" s="17" t="s">
        <v>6033</v>
      </c>
      <c r="BV50" s="1">
        <v>2451614</v>
      </c>
    </row>
    <row r="51" spans="1:74" ht="28.8" x14ac:dyDescent="0.3">
      <c r="BE51" s="20" t="s">
        <v>6034</v>
      </c>
      <c r="BF51" s="17" t="s">
        <v>6035</v>
      </c>
      <c r="BV51" s="1">
        <v>7245000</v>
      </c>
    </row>
    <row r="52" spans="1:74" ht="28.8" x14ac:dyDescent="0.3">
      <c r="BE52" s="20" t="s">
        <v>6036</v>
      </c>
      <c r="BF52" s="17" t="s">
        <v>6037</v>
      </c>
      <c r="BV52" s="1">
        <v>1425900</v>
      </c>
    </row>
    <row r="53" spans="1:74" x14ac:dyDescent="0.3">
      <c r="BE53" s="23" t="s">
        <v>6004</v>
      </c>
      <c r="BF53" s="17" t="s">
        <v>6005</v>
      </c>
      <c r="BV53" s="1">
        <v>432000</v>
      </c>
    </row>
    <row r="54" spans="1:74" x14ac:dyDescent="0.3">
      <c r="A54" t="s">
        <v>5924</v>
      </c>
      <c r="B54">
        <v>0</v>
      </c>
      <c r="C54" s="1">
        <v>0</v>
      </c>
      <c r="D54" s="1">
        <v>1</v>
      </c>
      <c r="E54" s="1">
        <v>13637</v>
      </c>
      <c r="F54" s="1">
        <v>0</v>
      </c>
      <c r="G54" s="1">
        <v>0</v>
      </c>
      <c r="H54" s="1">
        <v>2</v>
      </c>
      <c r="I54" s="1">
        <v>27274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2</v>
      </c>
      <c r="BC54" s="1">
        <v>27274</v>
      </c>
      <c r="BD54" t="s">
        <v>74</v>
      </c>
      <c r="BE54" s="7" t="s">
        <v>5925</v>
      </c>
      <c r="BF54" t="s">
        <v>5926</v>
      </c>
      <c r="BH54" t="s">
        <v>77</v>
      </c>
      <c r="BI54" t="s">
        <v>92</v>
      </c>
      <c r="BJ54" t="s">
        <v>79</v>
      </c>
      <c r="BM54">
        <v>0</v>
      </c>
      <c r="BN54">
        <v>2</v>
      </c>
      <c r="BO54">
        <v>2</v>
      </c>
      <c r="BP54" t="s">
        <v>80</v>
      </c>
      <c r="BR54">
        <v>0</v>
      </c>
      <c r="BS54">
        <v>6</v>
      </c>
      <c r="BU54" s="1">
        <v>40911</v>
      </c>
      <c r="BV54" s="22" t="s">
        <v>6094</v>
      </c>
    </row>
    <row r="55" spans="1:74" x14ac:dyDescent="0.3">
      <c r="A55" t="s">
        <v>5592</v>
      </c>
      <c r="B55">
        <v>2</v>
      </c>
      <c r="C55" s="1">
        <v>461750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2</v>
      </c>
      <c r="BC55" s="1">
        <v>461750</v>
      </c>
      <c r="BD55" t="s">
        <v>74</v>
      </c>
      <c r="BE55" s="7" t="s">
        <v>5593</v>
      </c>
      <c r="BF55" t="s">
        <v>5594</v>
      </c>
      <c r="BH55" t="s">
        <v>114</v>
      </c>
      <c r="BI55" t="s">
        <v>3617</v>
      </c>
      <c r="BJ55" t="s">
        <v>79</v>
      </c>
      <c r="BM55">
        <v>0</v>
      </c>
      <c r="BN55">
        <v>1</v>
      </c>
      <c r="BO55">
        <v>1</v>
      </c>
      <c r="BP55" t="s">
        <v>80</v>
      </c>
      <c r="BR55">
        <v>0</v>
      </c>
      <c r="BS55">
        <v>6</v>
      </c>
      <c r="BU55" s="1">
        <v>461750</v>
      </c>
      <c r="BV55" s="22" t="s">
        <v>6094</v>
      </c>
    </row>
    <row r="56" spans="1:74" x14ac:dyDescent="0.3">
      <c r="A56" t="s">
        <v>5150</v>
      </c>
      <c r="B56">
        <v>0</v>
      </c>
      <c r="C56" s="1">
        <v>0</v>
      </c>
      <c r="D56" s="1">
        <v>1</v>
      </c>
      <c r="E56" s="1">
        <v>2750000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2</v>
      </c>
      <c r="BC56" s="1">
        <v>5500000</v>
      </c>
      <c r="BD56" t="s">
        <v>74</v>
      </c>
      <c r="BE56" s="7" t="s">
        <v>5151</v>
      </c>
      <c r="BF56" t="s">
        <v>5152</v>
      </c>
      <c r="BH56" t="s">
        <v>77</v>
      </c>
      <c r="BI56" t="s">
        <v>92</v>
      </c>
      <c r="BJ56" t="s">
        <v>79</v>
      </c>
      <c r="BM56">
        <v>0</v>
      </c>
      <c r="BN56">
        <v>1</v>
      </c>
      <c r="BO56">
        <v>1</v>
      </c>
      <c r="BP56" t="s">
        <v>80</v>
      </c>
      <c r="BR56">
        <v>0</v>
      </c>
      <c r="BS56">
        <v>6</v>
      </c>
      <c r="BU56" s="1">
        <v>2750000</v>
      </c>
      <c r="BV56" s="22" t="s">
        <v>6094</v>
      </c>
    </row>
    <row r="57" spans="1:74" x14ac:dyDescent="0.3">
      <c r="A57" t="s">
        <v>5303</v>
      </c>
      <c r="B57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96439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</v>
      </c>
      <c r="BC57" s="1">
        <v>96439</v>
      </c>
      <c r="BD57" t="s">
        <v>74</v>
      </c>
      <c r="BE57" t="s">
        <v>5304</v>
      </c>
      <c r="BF57" t="s">
        <v>5152</v>
      </c>
      <c r="BH57" t="s">
        <v>77</v>
      </c>
      <c r="BI57" t="s">
        <v>84</v>
      </c>
      <c r="BJ57" t="s">
        <v>79</v>
      </c>
      <c r="BM57">
        <v>1</v>
      </c>
      <c r="BN57">
        <v>0</v>
      </c>
      <c r="BO57">
        <v>1</v>
      </c>
      <c r="BP57" t="s">
        <v>80</v>
      </c>
      <c r="BR57">
        <v>0</v>
      </c>
      <c r="BS57">
        <v>0</v>
      </c>
      <c r="BU57" s="1">
        <v>96439</v>
      </c>
      <c r="BV57" s="22" t="s">
        <v>6094</v>
      </c>
    </row>
    <row r="58" spans="1:74" x14ac:dyDescent="0.3">
      <c r="A58" t="s">
        <v>3987</v>
      </c>
      <c r="B58">
        <v>1</v>
      </c>
      <c r="C58" s="1">
        <v>325677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1</v>
      </c>
      <c r="AL58" s="1">
        <v>57208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4</v>
      </c>
      <c r="BC58" s="1">
        <v>440093</v>
      </c>
      <c r="BD58" t="s">
        <v>74</v>
      </c>
      <c r="BE58" s="7" t="s">
        <v>3988</v>
      </c>
      <c r="BF58" t="s">
        <v>3989</v>
      </c>
      <c r="BH58" t="s">
        <v>77</v>
      </c>
      <c r="BI58" t="s">
        <v>92</v>
      </c>
      <c r="BJ58" t="s">
        <v>79</v>
      </c>
      <c r="BM58">
        <v>1</v>
      </c>
      <c r="BN58">
        <v>1</v>
      </c>
      <c r="BO58">
        <v>2</v>
      </c>
      <c r="BP58" t="s">
        <v>80</v>
      </c>
      <c r="BR58">
        <v>0</v>
      </c>
      <c r="BS58">
        <v>6</v>
      </c>
      <c r="BU58" s="1">
        <v>382885</v>
      </c>
      <c r="BV58" s="22" t="s">
        <v>6094</v>
      </c>
    </row>
    <row r="59" spans="1:74" x14ac:dyDescent="0.3">
      <c r="A59" t="s">
        <v>4517</v>
      </c>
      <c r="B59">
        <v>3</v>
      </c>
      <c r="C59" s="1">
        <v>488708</v>
      </c>
      <c r="D59" s="1">
        <v>4</v>
      </c>
      <c r="E59" s="1">
        <v>3425771</v>
      </c>
      <c r="F59" s="1">
        <v>0</v>
      </c>
      <c r="G59" s="1">
        <v>0</v>
      </c>
      <c r="H59" s="1">
        <v>6</v>
      </c>
      <c r="I59" s="1">
        <v>131542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11</v>
      </c>
      <c r="BC59" s="1">
        <v>7340250</v>
      </c>
      <c r="BD59" t="s">
        <v>74</v>
      </c>
      <c r="BE59" t="s">
        <v>4518</v>
      </c>
      <c r="BF59" t="s">
        <v>4519</v>
      </c>
      <c r="BH59" t="s">
        <v>136</v>
      </c>
      <c r="BI59" t="s">
        <v>137</v>
      </c>
      <c r="BJ59" t="s">
        <v>125</v>
      </c>
      <c r="BM59">
        <v>0</v>
      </c>
      <c r="BN59">
        <v>3</v>
      </c>
      <c r="BO59">
        <v>3</v>
      </c>
      <c r="BP59" t="s">
        <v>80</v>
      </c>
      <c r="BR59">
        <v>0</v>
      </c>
      <c r="BS59">
        <v>6</v>
      </c>
      <c r="BU59" s="1">
        <v>4046021</v>
      </c>
      <c r="BV59" s="22" t="s">
        <v>6094</v>
      </c>
    </row>
    <row r="60" spans="1:74" x14ac:dyDescent="0.3">
      <c r="A60" t="s">
        <v>699</v>
      </c>
      <c r="B60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17</v>
      </c>
      <c r="I60" s="1">
        <v>1172771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17</v>
      </c>
      <c r="BC60" s="1">
        <v>1172771</v>
      </c>
      <c r="BD60" t="s">
        <v>74</v>
      </c>
      <c r="BE60" s="7" t="s">
        <v>700</v>
      </c>
      <c r="BF60" t="s">
        <v>701</v>
      </c>
      <c r="BH60" t="s">
        <v>77</v>
      </c>
      <c r="BI60" t="s">
        <v>228</v>
      </c>
      <c r="BJ60" t="s">
        <v>79</v>
      </c>
      <c r="BM60">
        <v>0</v>
      </c>
      <c r="BN60">
        <v>1</v>
      </c>
      <c r="BO60">
        <v>1</v>
      </c>
      <c r="BP60" t="s">
        <v>80</v>
      </c>
      <c r="BR60">
        <v>0</v>
      </c>
      <c r="BS60">
        <v>6</v>
      </c>
      <c r="BU60" s="1">
        <v>1172771</v>
      </c>
      <c r="BV60" s="22" t="s">
        <v>6094</v>
      </c>
    </row>
    <row r="61" spans="1:74" x14ac:dyDescent="0.3">
      <c r="A61" t="s">
        <v>5844</v>
      </c>
      <c r="B61">
        <v>0</v>
      </c>
      <c r="C61" s="1">
        <v>0</v>
      </c>
      <c r="D61" s="1">
        <v>2</v>
      </c>
      <c r="E61" s="1">
        <v>791428</v>
      </c>
      <c r="F61" s="1">
        <v>0</v>
      </c>
      <c r="G61" s="1">
        <v>0</v>
      </c>
      <c r="H61" s="1">
        <v>2</v>
      </c>
      <c r="I61" s="1">
        <v>40000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5</v>
      </c>
      <c r="BC61" s="1">
        <v>1661441</v>
      </c>
      <c r="BD61" t="s">
        <v>74</v>
      </c>
      <c r="BE61" t="s">
        <v>5845</v>
      </c>
      <c r="BF61" t="s">
        <v>5846</v>
      </c>
      <c r="BH61" t="s">
        <v>77</v>
      </c>
      <c r="BI61" t="s">
        <v>92</v>
      </c>
      <c r="BJ61" t="s">
        <v>79</v>
      </c>
      <c r="BM61">
        <v>0</v>
      </c>
      <c r="BN61">
        <v>2</v>
      </c>
      <c r="BO61">
        <v>2</v>
      </c>
      <c r="BP61" t="s">
        <v>80</v>
      </c>
      <c r="BR61">
        <v>0</v>
      </c>
      <c r="BS61">
        <v>6</v>
      </c>
      <c r="BU61" s="1">
        <v>831428</v>
      </c>
      <c r="BV61" s="22" t="s">
        <v>6094</v>
      </c>
    </row>
    <row r="62" spans="1:74" x14ac:dyDescent="0.3">
      <c r="A62" t="s">
        <v>4501</v>
      </c>
      <c r="B62">
        <v>0</v>
      </c>
      <c r="C62" s="1">
        <v>0</v>
      </c>
      <c r="D62" s="1">
        <v>4</v>
      </c>
      <c r="E62" s="1">
        <v>1935000</v>
      </c>
      <c r="F62" s="1">
        <v>0</v>
      </c>
      <c r="G62" s="1">
        <v>0</v>
      </c>
      <c r="H62" s="1">
        <v>6</v>
      </c>
      <c r="I62" s="1">
        <v>120000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8</v>
      </c>
      <c r="BC62" s="1">
        <v>3870000</v>
      </c>
      <c r="BD62" t="s">
        <v>74</v>
      </c>
      <c r="BE62" s="7" t="s">
        <v>4502</v>
      </c>
      <c r="BF62" t="s">
        <v>4133</v>
      </c>
      <c r="BH62" t="s">
        <v>77</v>
      </c>
      <c r="BI62" t="s">
        <v>92</v>
      </c>
      <c r="BJ62" t="s">
        <v>79</v>
      </c>
      <c r="BM62">
        <v>0</v>
      </c>
      <c r="BN62">
        <v>2</v>
      </c>
      <c r="BO62">
        <v>2</v>
      </c>
      <c r="BP62" t="s">
        <v>80</v>
      </c>
      <c r="BR62">
        <v>0</v>
      </c>
      <c r="BS62">
        <v>6</v>
      </c>
      <c r="BU62" s="1">
        <v>2055000</v>
      </c>
      <c r="BV62" s="22" t="s">
        <v>6094</v>
      </c>
    </row>
    <row r="63" spans="1:74" x14ac:dyDescent="0.3">
      <c r="A63" t="s">
        <v>4384</v>
      </c>
      <c r="B63">
        <v>0</v>
      </c>
      <c r="C63" s="1">
        <v>0</v>
      </c>
      <c r="D63" s="1">
        <v>1</v>
      </c>
      <c r="E63" s="1">
        <v>925715</v>
      </c>
      <c r="F63" s="1">
        <v>0</v>
      </c>
      <c r="G63" s="1">
        <v>0</v>
      </c>
      <c r="H63" s="1">
        <v>2</v>
      </c>
      <c r="I63" s="1">
        <v>40600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3</v>
      </c>
      <c r="BC63" s="1">
        <v>966315</v>
      </c>
      <c r="BD63" t="s">
        <v>74</v>
      </c>
      <c r="BE63" s="7" t="s">
        <v>4385</v>
      </c>
      <c r="BF63" t="s">
        <v>4386</v>
      </c>
      <c r="BH63" t="s">
        <v>77</v>
      </c>
      <c r="BI63" t="s">
        <v>92</v>
      </c>
      <c r="BJ63" t="s">
        <v>79</v>
      </c>
      <c r="BM63">
        <v>0</v>
      </c>
      <c r="BN63">
        <v>2</v>
      </c>
      <c r="BO63">
        <v>2</v>
      </c>
      <c r="BP63" t="s">
        <v>80</v>
      </c>
      <c r="BR63">
        <v>0</v>
      </c>
      <c r="BS63">
        <v>6</v>
      </c>
      <c r="BU63" s="1">
        <v>966315</v>
      </c>
      <c r="BV63" s="22" t="s">
        <v>6094</v>
      </c>
    </row>
    <row r="64" spans="1:74" s="8" customFormat="1" x14ac:dyDescent="0.3">
      <c r="A64" s="8" t="s">
        <v>5984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>
        <f>SUM(BC2:BC34)</f>
        <v>241841904</v>
      </c>
      <c r="BU64" s="9"/>
      <c r="BV6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0060-B775-4482-B031-B438A21262BA}">
  <dimension ref="A1:D30"/>
  <sheetViews>
    <sheetView topLeftCell="A11" workbookViewId="0">
      <selection activeCell="C18" sqref="C18"/>
    </sheetView>
  </sheetViews>
  <sheetFormatPr defaultRowHeight="14.4" x14ac:dyDescent="0.3"/>
  <cols>
    <col min="1" max="1" width="7.77734375" style="25" bestFit="1" customWidth="1"/>
    <col min="2" max="2" width="64.109375" customWidth="1"/>
    <col min="3" max="3" width="87" customWidth="1"/>
    <col min="4" max="4" width="16.33203125" style="25" bestFit="1" customWidth="1"/>
  </cols>
  <sheetData>
    <row r="1" spans="1:4" ht="20.399999999999999" x14ac:dyDescent="0.35">
      <c r="A1" s="49" t="s">
        <v>6104</v>
      </c>
      <c r="B1" s="49"/>
      <c r="C1" s="49"/>
      <c r="D1" s="49"/>
    </row>
    <row r="3" spans="1:4" s="38" customFormat="1" ht="18" x14ac:dyDescent="0.35">
      <c r="A3" s="28" t="s">
        <v>6040</v>
      </c>
      <c r="B3" s="28" t="s">
        <v>6039</v>
      </c>
      <c r="C3" s="28" t="s">
        <v>6041</v>
      </c>
      <c r="D3" s="28" t="s">
        <v>6098</v>
      </c>
    </row>
    <row r="4" spans="1:4" ht="28.8" x14ac:dyDescent="0.3">
      <c r="A4" s="31" t="s">
        <v>6042</v>
      </c>
      <c r="B4" s="18" t="s">
        <v>5985</v>
      </c>
      <c r="C4" s="45" t="s">
        <v>6102</v>
      </c>
      <c r="D4" s="42">
        <v>857143</v>
      </c>
    </row>
    <row r="5" spans="1:4" ht="15.6" x14ac:dyDescent="0.3">
      <c r="A5" s="31" t="s">
        <v>6043</v>
      </c>
      <c r="B5" s="18" t="s">
        <v>139</v>
      </c>
      <c r="C5" s="44" t="s">
        <v>5987</v>
      </c>
      <c r="D5" s="42">
        <v>1714286</v>
      </c>
    </row>
    <row r="6" spans="1:4" ht="15.6" x14ac:dyDescent="0.3">
      <c r="A6" s="31" t="s">
        <v>6044</v>
      </c>
      <c r="B6" s="18" t="s">
        <v>139</v>
      </c>
      <c r="C6" s="18" t="s">
        <v>5988</v>
      </c>
      <c r="D6" s="41">
        <v>274285</v>
      </c>
    </row>
    <row r="7" spans="1:4" ht="28.8" x14ac:dyDescent="0.3">
      <c r="A7" s="31" t="s">
        <v>6045</v>
      </c>
      <c r="B7" s="18" t="s">
        <v>139</v>
      </c>
      <c r="C7" s="44" t="s">
        <v>5989</v>
      </c>
      <c r="D7" s="41">
        <v>1714285</v>
      </c>
    </row>
    <row r="8" spans="1:4" ht="15.6" x14ac:dyDescent="0.3">
      <c r="A8" s="31" t="s">
        <v>6046</v>
      </c>
      <c r="B8" s="18" t="s">
        <v>139</v>
      </c>
      <c r="C8" s="44" t="s">
        <v>5990</v>
      </c>
      <c r="D8" s="41">
        <v>4285714</v>
      </c>
    </row>
    <row r="9" spans="1:4" ht="28.8" x14ac:dyDescent="0.3">
      <c r="A9" s="31" t="s">
        <v>6047</v>
      </c>
      <c r="B9" s="18" t="s">
        <v>139</v>
      </c>
      <c r="C9" s="44" t="s">
        <v>5991</v>
      </c>
      <c r="D9" s="41">
        <v>857143</v>
      </c>
    </row>
    <row r="10" spans="1:4" ht="15.6" x14ac:dyDescent="0.3">
      <c r="A10" s="31" t="s">
        <v>6048</v>
      </c>
      <c r="B10" s="17" t="s">
        <v>5993</v>
      </c>
      <c r="C10" s="44" t="s">
        <v>5994</v>
      </c>
      <c r="D10" s="41">
        <v>432000</v>
      </c>
    </row>
    <row r="11" spans="1:4" ht="15.6" x14ac:dyDescent="0.3">
      <c r="A11" s="31" t="s">
        <v>6049</v>
      </c>
      <c r="B11" s="17" t="s">
        <v>5993</v>
      </c>
      <c r="C11" s="44" t="s">
        <v>5994</v>
      </c>
      <c r="D11" s="41">
        <v>432000</v>
      </c>
    </row>
    <row r="12" spans="1:4" ht="28.8" x14ac:dyDescent="0.3">
      <c r="A12" s="31" t="s">
        <v>6050</v>
      </c>
      <c r="B12" s="17" t="s">
        <v>5997</v>
      </c>
      <c r="C12" s="44" t="s">
        <v>5998</v>
      </c>
      <c r="D12" s="41">
        <v>49093</v>
      </c>
    </row>
    <row r="13" spans="1:4" s="7" customFormat="1" ht="17.399999999999999" x14ac:dyDescent="0.3">
      <c r="A13" s="28"/>
      <c r="B13" s="48" t="s">
        <v>5984</v>
      </c>
      <c r="C13" s="29"/>
      <c r="D13" s="30">
        <f>SUM(D4:D12)</f>
        <v>10615949</v>
      </c>
    </row>
    <row r="15" spans="1:4" ht="20.399999999999999" x14ac:dyDescent="0.35">
      <c r="A15" s="49" t="s">
        <v>6097</v>
      </c>
      <c r="B15" s="49"/>
      <c r="C15" s="49"/>
      <c r="D15" s="49"/>
    </row>
    <row r="17" spans="1:4" s="25" customFormat="1" ht="17.399999999999999" x14ac:dyDescent="0.3">
      <c r="A17" s="28" t="s">
        <v>6040</v>
      </c>
      <c r="B17" s="28" t="s">
        <v>6039</v>
      </c>
      <c r="C17" s="28" t="s">
        <v>6041</v>
      </c>
      <c r="D17" s="28" t="s">
        <v>6101</v>
      </c>
    </row>
    <row r="18" spans="1:4" x14ac:dyDescent="0.3">
      <c r="A18" s="37" t="s">
        <v>6042</v>
      </c>
      <c r="B18" s="17" t="s">
        <v>5995</v>
      </c>
      <c r="C18" s="17" t="s">
        <v>5996</v>
      </c>
      <c r="D18" s="27"/>
    </row>
    <row r="19" spans="1:4" x14ac:dyDescent="0.3">
      <c r="A19" s="37" t="s">
        <v>6043</v>
      </c>
      <c r="B19" s="18" t="s">
        <v>139</v>
      </c>
      <c r="C19" s="43" t="s">
        <v>5992</v>
      </c>
      <c r="D19" s="27"/>
    </row>
    <row r="20" spans="1:4" x14ac:dyDescent="0.3">
      <c r="A20" s="37" t="s">
        <v>6044</v>
      </c>
      <c r="B20" s="24"/>
      <c r="C20" s="18"/>
      <c r="D20" s="27"/>
    </row>
    <row r="21" spans="1:4" x14ac:dyDescent="0.3">
      <c r="A21" s="37" t="s">
        <v>6045</v>
      </c>
      <c r="B21" s="18"/>
      <c r="C21" s="18"/>
      <c r="D21" s="27"/>
    </row>
    <row r="22" spans="1:4" x14ac:dyDescent="0.3">
      <c r="A22" s="37" t="s">
        <v>6046</v>
      </c>
      <c r="B22" s="24"/>
      <c r="C22" s="18"/>
      <c r="D22" s="27"/>
    </row>
    <row r="23" spans="1:4" x14ac:dyDescent="0.3">
      <c r="A23" s="37" t="s">
        <v>6047</v>
      </c>
      <c r="B23" s="18"/>
      <c r="C23" s="18"/>
      <c r="D23" s="27"/>
    </row>
    <row r="24" spans="1:4" x14ac:dyDescent="0.3">
      <c r="A24" s="37" t="s">
        <v>6048</v>
      </c>
      <c r="B24" s="24"/>
      <c r="C24" s="18"/>
      <c r="D24" s="27"/>
    </row>
    <row r="25" spans="1:4" x14ac:dyDescent="0.3">
      <c r="A25" s="37" t="s">
        <v>6049</v>
      </c>
      <c r="B25" s="18"/>
      <c r="C25" s="18"/>
      <c r="D25" s="27"/>
    </row>
    <row r="26" spans="1:4" x14ac:dyDescent="0.3">
      <c r="A26" s="37" t="s">
        <v>6050</v>
      </c>
      <c r="B26" s="24"/>
      <c r="C26" s="18"/>
      <c r="D26" s="27"/>
    </row>
    <row r="27" spans="1:4" x14ac:dyDescent="0.3">
      <c r="A27" s="37" t="s">
        <v>6051</v>
      </c>
      <c r="B27" s="24"/>
      <c r="C27" s="18"/>
      <c r="D27" s="27"/>
    </row>
    <row r="28" spans="1:4" x14ac:dyDescent="0.3">
      <c r="A28" s="37" t="s">
        <v>6052</v>
      </c>
      <c r="B28" s="36"/>
      <c r="C28" s="36"/>
      <c r="D28" s="27"/>
    </row>
    <row r="29" spans="1:4" x14ac:dyDescent="0.3">
      <c r="A29" s="37" t="s">
        <v>6053</v>
      </c>
      <c r="B29" s="18"/>
      <c r="C29" s="18"/>
      <c r="D29" s="27"/>
    </row>
    <row r="30" spans="1:4" x14ac:dyDescent="0.3">
      <c r="A30" s="37" t="s">
        <v>6054</v>
      </c>
      <c r="B30" s="36"/>
      <c r="C30" s="36"/>
      <c r="D30" s="27"/>
    </row>
  </sheetData>
  <mergeCells count="2">
    <mergeCell ref="A1:D1"/>
    <mergeCell ref="A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0E9A-9186-46AF-9291-A3EADA3E4001}">
  <dimension ref="A1:D73"/>
  <sheetViews>
    <sheetView tabSelected="1" topLeftCell="A39" workbookViewId="0">
      <selection activeCell="C68" sqref="C68"/>
    </sheetView>
  </sheetViews>
  <sheetFormatPr defaultRowHeight="14.4" x14ac:dyDescent="0.3"/>
  <cols>
    <col min="1" max="1" width="7.77734375" style="25" bestFit="1" customWidth="1"/>
    <col min="2" max="2" width="64.109375" customWidth="1"/>
    <col min="3" max="3" width="87" customWidth="1"/>
    <col min="4" max="4" width="16.33203125" style="25" bestFit="1" customWidth="1"/>
  </cols>
  <sheetData>
    <row r="1" spans="1:4" ht="20.399999999999999" x14ac:dyDescent="0.35">
      <c r="A1" s="49" t="s">
        <v>6096</v>
      </c>
      <c r="B1" s="49"/>
      <c r="C1" s="49"/>
      <c r="D1" s="49"/>
    </row>
    <row r="3" spans="1:4" s="38" customFormat="1" ht="18" x14ac:dyDescent="0.35">
      <c r="A3" s="28" t="s">
        <v>6040</v>
      </c>
      <c r="B3" s="28" t="s">
        <v>6039</v>
      </c>
      <c r="C3" s="28" t="s">
        <v>6041</v>
      </c>
      <c r="D3" s="28" t="s">
        <v>6098</v>
      </c>
    </row>
    <row r="4" spans="1:4" ht="15.6" x14ac:dyDescent="0.3">
      <c r="A4" s="31" t="s">
        <v>6042</v>
      </c>
      <c r="B4" s="32" t="s">
        <v>4622</v>
      </c>
      <c r="C4" s="32" t="s">
        <v>4623</v>
      </c>
      <c r="D4" s="33">
        <f>428571*2</f>
        <v>857142</v>
      </c>
    </row>
    <row r="5" spans="1:4" ht="15.6" x14ac:dyDescent="0.3">
      <c r="A5" s="31" t="s">
        <v>6043</v>
      </c>
      <c r="B5" s="32" t="s">
        <v>4777</v>
      </c>
      <c r="C5" s="32" t="s">
        <v>4778</v>
      </c>
      <c r="D5" s="33">
        <v>432000</v>
      </c>
    </row>
    <row r="6" spans="1:4" ht="15.6" x14ac:dyDescent="0.3">
      <c r="A6" s="31" t="s">
        <v>6044</v>
      </c>
      <c r="B6" s="32" t="s">
        <v>3841</v>
      </c>
      <c r="C6" s="32" t="s">
        <v>3842</v>
      </c>
      <c r="D6" s="33">
        <f>9000000+270000+1337000+427174</f>
        <v>11034174</v>
      </c>
    </row>
    <row r="7" spans="1:4" ht="15.6" x14ac:dyDescent="0.3">
      <c r="A7" s="31" t="s">
        <v>6045</v>
      </c>
      <c r="B7" s="32" t="s">
        <v>3532</v>
      </c>
      <c r="C7" s="32" t="s">
        <v>3533</v>
      </c>
      <c r="D7" s="33">
        <f>1600000+7200000+21623+134053+43914+71189+52360+24616+69386+123547</f>
        <v>9340688</v>
      </c>
    </row>
    <row r="8" spans="1:4" ht="15.6" x14ac:dyDescent="0.3">
      <c r="A8" s="31" t="s">
        <v>6046</v>
      </c>
      <c r="B8" s="32" t="s">
        <v>5825</v>
      </c>
      <c r="C8" s="32" t="s">
        <v>3533</v>
      </c>
      <c r="D8" s="33">
        <f>1080000+3857143+3857143+4000000+1132330</f>
        <v>13926616</v>
      </c>
    </row>
    <row r="9" spans="1:4" ht="15.6" x14ac:dyDescent="0.3">
      <c r="A9" s="31" t="s">
        <v>6047</v>
      </c>
      <c r="B9" s="32" t="s">
        <v>4303</v>
      </c>
      <c r="C9" s="32" t="s">
        <v>4304</v>
      </c>
      <c r="D9" s="33">
        <f>2400000+20000</f>
        <v>2420000</v>
      </c>
    </row>
    <row r="10" spans="1:4" ht="15.6" x14ac:dyDescent="0.3">
      <c r="A10" s="31" t="s">
        <v>6048</v>
      </c>
      <c r="B10" s="32" t="s">
        <v>5715</v>
      </c>
      <c r="C10" s="32" t="s">
        <v>5716</v>
      </c>
      <c r="D10" s="33">
        <v>2641162</v>
      </c>
    </row>
    <row r="11" spans="1:4" ht="15.6" x14ac:dyDescent="0.3">
      <c r="A11" s="31" t="s">
        <v>6049</v>
      </c>
      <c r="B11" s="32" t="s">
        <v>1980</v>
      </c>
      <c r="C11" s="32" t="s">
        <v>1981</v>
      </c>
      <c r="D11" s="33">
        <v>2481038</v>
      </c>
    </row>
    <row r="12" spans="1:4" ht="15.6" x14ac:dyDescent="0.3">
      <c r="A12" s="31" t="s">
        <v>6050</v>
      </c>
      <c r="B12" s="32" t="s">
        <v>4673</v>
      </c>
      <c r="C12" s="32" t="s">
        <v>4674</v>
      </c>
      <c r="D12" s="33">
        <v>3137745</v>
      </c>
    </row>
    <row r="13" spans="1:4" ht="15.6" x14ac:dyDescent="0.3">
      <c r="A13" s="31" t="s">
        <v>6051</v>
      </c>
      <c r="B13" s="32" t="s">
        <v>3516</v>
      </c>
      <c r="C13" s="32" t="s">
        <v>3517</v>
      </c>
      <c r="D13" s="33">
        <f>5000000+1667271</f>
        <v>6667271</v>
      </c>
    </row>
    <row r="14" spans="1:4" ht="15.6" x14ac:dyDescent="0.3">
      <c r="A14" s="31" t="s">
        <v>6052</v>
      </c>
      <c r="B14" s="32" t="s">
        <v>4435</v>
      </c>
      <c r="C14" s="32" t="s">
        <v>3517</v>
      </c>
      <c r="D14" s="33">
        <v>2751380</v>
      </c>
    </row>
    <row r="15" spans="1:4" ht="15.6" x14ac:dyDescent="0.3">
      <c r="A15" s="31" t="s">
        <v>6053</v>
      </c>
      <c r="B15" s="32" t="s">
        <v>2336</v>
      </c>
      <c r="C15" s="32" t="s">
        <v>2337</v>
      </c>
      <c r="D15" s="33">
        <v>4835080</v>
      </c>
    </row>
    <row r="16" spans="1:4" ht="15.6" x14ac:dyDescent="0.3">
      <c r="A16" s="31" t="s">
        <v>6054</v>
      </c>
      <c r="B16" s="32" t="s">
        <v>4317</v>
      </c>
      <c r="C16" s="32" t="s">
        <v>4318</v>
      </c>
      <c r="D16" s="33">
        <v>1770142</v>
      </c>
    </row>
    <row r="17" spans="1:4" ht="15.6" x14ac:dyDescent="0.3">
      <c r="A17" s="31" t="s">
        <v>6055</v>
      </c>
      <c r="B17" s="32" t="s">
        <v>3701</v>
      </c>
      <c r="C17" s="32" t="s">
        <v>3702</v>
      </c>
      <c r="D17" s="33">
        <v>3923866</v>
      </c>
    </row>
    <row r="18" spans="1:4" ht="15.6" x14ac:dyDescent="0.3">
      <c r="A18" s="31" t="s">
        <v>6056</v>
      </c>
      <c r="B18" s="32" t="s">
        <v>4026</v>
      </c>
      <c r="C18" s="32" t="s">
        <v>4027</v>
      </c>
      <c r="D18" s="33">
        <v>9157706</v>
      </c>
    </row>
    <row r="19" spans="1:4" ht="15.6" x14ac:dyDescent="0.3">
      <c r="A19" s="31" t="s">
        <v>6057</v>
      </c>
      <c r="B19" s="32" t="s">
        <v>3245</v>
      </c>
      <c r="C19" s="32" t="s">
        <v>3246</v>
      </c>
      <c r="D19" s="33">
        <v>1918121</v>
      </c>
    </row>
    <row r="20" spans="1:4" ht="15.6" x14ac:dyDescent="0.3">
      <c r="A20" s="31" t="s">
        <v>6058</v>
      </c>
      <c r="B20" s="32" t="s">
        <v>4132</v>
      </c>
      <c r="C20" s="32" t="s">
        <v>4133</v>
      </c>
      <c r="D20" s="33">
        <v>2437636</v>
      </c>
    </row>
    <row r="21" spans="1:4" ht="15.6" x14ac:dyDescent="0.3">
      <c r="A21" s="31" t="s">
        <v>6059</v>
      </c>
      <c r="B21" s="32" t="s">
        <v>5375</v>
      </c>
      <c r="C21" s="32" t="s">
        <v>4133</v>
      </c>
      <c r="D21" s="33">
        <v>733685</v>
      </c>
    </row>
    <row r="22" spans="1:4" ht="15.6" x14ac:dyDescent="0.3">
      <c r="A22" s="31" t="s">
        <v>6060</v>
      </c>
      <c r="B22" s="32" t="s">
        <v>5695</v>
      </c>
      <c r="C22" s="32" t="s">
        <v>4133</v>
      </c>
      <c r="D22" s="33">
        <v>428571</v>
      </c>
    </row>
    <row r="23" spans="1:4" ht="15.6" x14ac:dyDescent="0.3">
      <c r="A23" s="31" t="s">
        <v>6061</v>
      </c>
      <c r="B23" s="32" t="s">
        <v>3686</v>
      </c>
      <c r="C23" s="32" t="s">
        <v>3687</v>
      </c>
      <c r="D23" s="33">
        <v>2550000</v>
      </c>
    </row>
    <row r="24" spans="1:4" ht="15.6" x14ac:dyDescent="0.3">
      <c r="A24" s="31" t="s">
        <v>6062</v>
      </c>
      <c r="B24" s="32" t="s">
        <v>3871</v>
      </c>
      <c r="C24" s="32" t="s">
        <v>3687</v>
      </c>
      <c r="D24" s="33">
        <v>3718899</v>
      </c>
    </row>
    <row r="25" spans="1:4" ht="15.6" x14ac:dyDescent="0.3">
      <c r="A25" s="31" t="s">
        <v>6063</v>
      </c>
      <c r="B25" s="32" t="s">
        <v>1203</v>
      </c>
      <c r="C25" s="32" t="s">
        <v>1204</v>
      </c>
      <c r="D25" s="33">
        <v>540510</v>
      </c>
    </row>
    <row r="26" spans="1:4" ht="15.6" x14ac:dyDescent="0.3">
      <c r="A26" s="31" t="s">
        <v>6064</v>
      </c>
      <c r="B26" s="32" t="s">
        <v>4443</v>
      </c>
      <c r="C26" s="32" t="s">
        <v>4444</v>
      </c>
      <c r="D26" s="33">
        <v>1963621</v>
      </c>
    </row>
    <row r="27" spans="1:4" ht="15.6" x14ac:dyDescent="0.3">
      <c r="A27" s="31" t="s">
        <v>6065</v>
      </c>
      <c r="B27" s="32" t="s">
        <v>4463</v>
      </c>
      <c r="C27" s="32" t="s">
        <v>4444</v>
      </c>
      <c r="D27" s="33">
        <v>1680780</v>
      </c>
    </row>
    <row r="28" spans="1:4" ht="15.6" x14ac:dyDescent="0.3">
      <c r="A28" s="31" t="s">
        <v>6066</v>
      </c>
      <c r="B28" s="32" t="s">
        <v>5724</v>
      </c>
      <c r="C28" s="32" t="s">
        <v>4444</v>
      </c>
      <c r="D28" s="33">
        <v>7257273</v>
      </c>
    </row>
    <row r="29" spans="1:4" ht="15.6" x14ac:dyDescent="0.3">
      <c r="A29" s="31" t="s">
        <v>6067</v>
      </c>
      <c r="B29" s="32" t="s">
        <v>4649</v>
      </c>
      <c r="C29" s="32" t="s">
        <v>4650</v>
      </c>
      <c r="D29" s="33">
        <v>1800000</v>
      </c>
    </row>
    <row r="30" spans="1:4" ht="15.6" x14ac:dyDescent="0.3">
      <c r="A30" s="31" t="s">
        <v>6068</v>
      </c>
      <c r="B30" s="32" t="s">
        <v>4087</v>
      </c>
      <c r="C30" s="32" t="s">
        <v>4088</v>
      </c>
      <c r="D30" s="33">
        <v>4545375</v>
      </c>
    </row>
    <row r="31" spans="1:4" ht="15.6" x14ac:dyDescent="0.3">
      <c r="A31" s="31" t="s">
        <v>6069</v>
      </c>
      <c r="B31" s="32" t="s">
        <v>293</v>
      </c>
      <c r="C31" s="32" t="s">
        <v>294</v>
      </c>
      <c r="D31" s="33">
        <v>2251691</v>
      </c>
    </row>
    <row r="32" spans="1:4" ht="15.6" x14ac:dyDescent="0.3">
      <c r="A32" s="31" t="s">
        <v>6070</v>
      </c>
      <c r="B32" s="32" t="s">
        <v>1541</v>
      </c>
      <c r="C32" s="32" t="s">
        <v>1542</v>
      </c>
      <c r="D32" s="33">
        <v>2360000</v>
      </c>
    </row>
    <row r="33" spans="1:4" ht="15.6" x14ac:dyDescent="0.3">
      <c r="A33" s="31" t="s">
        <v>6071</v>
      </c>
      <c r="B33" s="32" t="s">
        <v>5721</v>
      </c>
      <c r="C33" s="32" t="s">
        <v>5722</v>
      </c>
      <c r="D33" s="33">
        <v>993339</v>
      </c>
    </row>
    <row r="34" spans="1:4" ht="15.6" x14ac:dyDescent="0.3">
      <c r="A34" s="31" t="s">
        <v>6072</v>
      </c>
      <c r="B34" s="32" t="s">
        <v>267</v>
      </c>
      <c r="C34" s="32" t="s">
        <v>268</v>
      </c>
      <c r="D34" s="33">
        <v>260000</v>
      </c>
    </row>
    <row r="35" spans="1:4" ht="15.6" x14ac:dyDescent="0.3">
      <c r="A35" s="31" t="s">
        <v>6073</v>
      </c>
      <c r="B35" s="32" t="s">
        <v>283</v>
      </c>
      <c r="C35" s="32" t="s">
        <v>284</v>
      </c>
      <c r="D35" s="33">
        <v>428571</v>
      </c>
    </row>
    <row r="36" spans="1:4" ht="15.6" x14ac:dyDescent="0.3">
      <c r="A36" s="31" t="s">
        <v>6074</v>
      </c>
      <c r="B36" s="32" t="s">
        <v>1070</v>
      </c>
      <c r="C36" s="32" t="s">
        <v>1071</v>
      </c>
      <c r="D36" s="33">
        <v>1436862</v>
      </c>
    </row>
    <row r="37" spans="1:4" ht="15.6" x14ac:dyDescent="0.3">
      <c r="A37" s="31" t="s">
        <v>6075</v>
      </c>
      <c r="B37" s="34" t="s">
        <v>6006</v>
      </c>
      <c r="C37" s="34" t="s">
        <v>6007</v>
      </c>
      <c r="D37" s="33">
        <v>432000</v>
      </c>
    </row>
    <row r="38" spans="1:4" ht="15.6" x14ac:dyDescent="0.3">
      <c r="A38" s="31" t="s">
        <v>6076</v>
      </c>
      <c r="B38" s="34" t="s">
        <v>6008</v>
      </c>
      <c r="C38" s="34" t="s">
        <v>6009</v>
      </c>
      <c r="D38" s="33">
        <v>1010951</v>
      </c>
    </row>
    <row r="39" spans="1:4" ht="15.6" x14ac:dyDescent="0.3">
      <c r="A39" s="31" t="s">
        <v>6077</v>
      </c>
      <c r="B39" s="34" t="s">
        <v>6010</v>
      </c>
      <c r="C39" s="34" t="s">
        <v>6011</v>
      </c>
      <c r="D39" s="33">
        <v>1935000</v>
      </c>
    </row>
    <row r="40" spans="1:4" ht="15.6" x14ac:dyDescent="0.3">
      <c r="A40" s="31" t="s">
        <v>6078</v>
      </c>
      <c r="B40" s="34" t="s">
        <v>6012</v>
      </c>
      <c r="C40" s="34" t="s">
        <v>6013</v>
      </c>
      <c r="D40" s="33">
        <v>1440000</v>
      </c>
    </row>
    <row r="41" spans="1:4" ht="15.6" x14ac:dyDescent="0.3">
      <c r="A41" s="31" t="s">
        <v>6079</v>
      </c>
      <c r="B41" s="34" t="s">
        <v>6014</v>
      </c>
      <c r="C41" s="34" t="s">
        <v>6011</v>
      </c>
      <c r="D41" s="33">
        <v>385714</v>
      </c>
    </row>
    <row r="42" spans="1:4" ht="15.6" x14ac:dyDescent="0.3">
      <c r="A42" s="31" t="s">
        <v>6080</v>
      </c>
      <c r="B42" s="34" t="s">
        <v>6015</v>
      </c>
      <c r="C42" s="34" t="s">
        <v>6011</v>
      </c>
      <c r="D42" s="33">
        <v>520000</v>
      </c>
    </row>
    <row r="43" spans="1:4" ht="15.6" x14ac:dyDescent="0.3">
      <c r="A43" s="31" t="s">
        <v>6081</v>
      </c>
      <c r="B43" s="34" t="s">
        <v>6016</v>
      </c>
      <c r="C43" s="34" t="s">
        <v>6017</v>
      </c>
      <c r="D43" s="33">
        <v>1283400</v>
      </c>
    </row>
    <row r="44" spans="1:4" ht="15.6" x14ac:dyDescent="0.3">
      <c r="A44" s="31" t="s">
        <v>6082</v>
      </c>
      <c r="B44" s="34" t="s">
        <v>6018</v>
      </c>
      <c r="C44" s="34" t="s">
        <v>545</v>
      </c>
      <c r="D44" s="33">
        <v>1360000</v>
      </c>
    </row>
    <row r="45" spans="1:4" ht="15.6" x14ac:dyDescent="0.3">
      <c r="A45" s="31" t="s">
        <v>6083</v>
      </c>
      <c r="B45" s="34" t="s">
        <v>6019</v>
      </c>
      <c r="C45" s="34" t="s">
        <v>6020</v>
      </c>
      <c r="D45" s="33">
        <v>2742857</v>
      </c>
    </row>
    <row r="46" spans="1:4" ht="31.2" x14ac:dyDescent="0.3">
      <c r="A46" s="31" t="s">
        <v>6084</v>
      </c>
      <c r="B46" s="34" t="s">
        <v>6021</v>
      </c>
      <c r="C46" s="34" t="s">
        <v>6022</v>
      </c>
      <c r="D46" s="33">
        <v>1371425</v>
      </c>
    </row>
    <row r="47" spans="1:4" ht="31.2" x14ac:dyDescent="0.3">
      <c r="A47" s="31" t="s">
        <v>6085</v>
      </c>
      <c r="B47" s="34" t="s">
        <v>6023</v>
      </c>
      <c r="C47" s="34" t="s">
        <v>6024</v>
      </c>
      <c r="D47" s="33">
        <v>274285</v>
      </c>
    </row>
    <row r="48" spans="1:4" ht="15.6" x14ac:dyDescent="0.3">
      <c r="A48" s="31" t="s">
        <v>6086</v>
      </c>
      <c r="B48" s="34" t="s">
        <v>6025</v>
      </c>
      <c r="C48" s="34" t="s">
        <v>6026</v>
      </c>
      <c r="D48" s="33">
        <v>1577143</v>
      </c>
    </row>
    <row r="49" spans="1:4" ht="15.6" x14ac:dyDescent="0.3">
      <c r="A49" s="31" t="s">
        <v>6087</v>
      </c>
      <c r="B49" s="34" t="s">
        <v>6027</v>
      </c>
      <c r="C49" s="34" t="s">
        <v>6028</v>
      </c>
      <c r="D49" s="33">
        <v>1714286</v>
      </c>
    </row>
    <row r="50" spans="1:4" ht="15.6" x14ac:dyDescent="0.3">
      <c r="A50" s="31" t="s">
        <v>6088</v>
      </c>
      <c r="B50" s="34" t="s">
        <v>4658</v>
      </c>
      <c r="C50" s="34" t="s">
        <v>6029</v>
      </c>
      <c r="D50" s="33">
        <v>857143</v>
      </c>
    </row>
    <row r="51" spans="1:4" ht="15.6" x14ac:dyDescent="0.3">
      <c r="A51" s="31" t="s">
        <v>6089</v>
      </c>
      <c r="B51" s="34" t="s">
        <v>6030</v>
      </c>
      <c r="C51" s="34" t="s">
        <v>6031</v>
      </c>
      <c r="D51" s="33">
        <v>857143</v>
      </c>
    </row>
    <row r="52" spans="1:4" ht="15.6" x14ac:dyDescent="0.3">
      <c r="A52" s="31" t="s">
        <v>6090</v>
      </c>
      <c r="B52" s="34" t="s">
        <v>6032</v>
      </c>
      <c r="C52" s="34" t="s">
        <v>6033</v>
      </c>
      <c r="D52" s="33">
        <v>2451614</v>
      </c>
    </row>
    <row r="53" spans="1:4" ht="31.2" x14ac:dyDescent="0.3">
      <c r="A53" s="31" t="s">
        <v>6091</v>
      </c>
      <c r="B53" s="34" t="s">
        <v>6034</v>
      </c>
      <c r="C53" s="34" t="s">
        <v>6035</v>
      </c>
      <c r="D53" s="33">
        <v>7245000</v>
      </c>
    </row>
    <row r="54" spans="1:4" ht="31.2" x14ac:dyDescent="0.3">
      <c r="A54" s="31" t="s">
        <v>6092</v>
      </c>
      <c r="B54" s="35" t="s">
        <v>6036</v>
      </c>
      <c r="C54" s="35" t="s">
        <v>6037</v>
      </c>
      <c r="D54" s="33">
        <v>1425900</v>
      </c>
    </row>
    <row r="55" spans="1:4" ht="15.6" x14ac:dyDescent="0.3">
      <c r="A55" s="31" t="s">
        <v>6093</v>
      </c>
      <c r="B55" s="34" t="s">
        <v>6004</v>
      </c>
      <c r="C55" s="34" t="s">
        <v>6095</v>
      </c>
      <c r="D55" s="33">
        <v>432000</v>
      </c>
    </row>
    <row r="56" spans="1:4" s="7" customFormat="1" ht="17.399999999999999" x14ac:dyDescent="0.3">
      <c r="A56" s="28"/>
      <c r="B56" s="48" t="s">
        <v>5984</v>
      </c>
      <c r="C56" s="29"/>
      <c r="D56" s="30">
        <f>SUM(D4:D55)</f>
        <v>141996805</v>
      </c>
    </row>
    <row r="58" spans="1:4" ht="20.399999999999999" x14ac:dyDescent="0.35">
      <c r="A58" s="49" t="s">
        <v>6097</v>
      </c>
      <c r="B58" s="49"/>
      <c r="C58" s="49"/>
      <c r="D58" s="49"/>
    </row>
    <row r="60" spans="1:4" s="25" customFormat="1" ht="17.399999999999999" x14ac:dyDescent="0.3">
      <c r="A60" s="28" t="s">
        <v>6040</v>
      </c>
      <c r="B60" s="28" t="s">
        <v>6039</v>
      </c>
      <c r="C60" s="28" t="s">
        <v>6041</v>
      </c>
      <c r="D60" s="28" t="s">
        <v>6101</v>
      </c>
    </row>
    <row r="61" spans="1:4" x14ac:dyDescent="0.3">
      <c r="A61" s="37" t="s">
        <v>6042</v>
      </c>
      <c r="B61" s="24" t="s">
        <v>5925</v>
      </c>
      <c r="C61" s="18" t="s">
        <v>5926</v>
      </c>
      <c r="D61" s="27"/>
    </row>
    <row r="62" spans="1:4" x14ac:dyDescent="0.3">
      <c r="A62" s="37" t="s">
        <v>6043</v>
      </c>
      <c r="B62" s="24" t="s">
        <v>5593</v>
      </c>
      <c r="C62" s="18" t="s">
        <v>5594</v>
      </c>
      <c r="D62" s="27"/>
    </row>
    <row r="63" spans="1:4" x14ac:dyDescent="0.3">
      <c r="A63" s="37" t="s">
        <v>6044</v>
      </c>
      <c r="B63" s="24" t="s">
        <v>5151</v>
      </c>
      <c r="C63" s="18" t="s">
        <v>5152</v>
      </c>
      <c r="D63" s="27"/>
    </row>
    <row r="64" spans="1:4" x14ac:dyDescent="0.3">
      <c r="A64" s="37" t="s">
        <v>6045</v>
      </c>
      <c r="B64" s="18" t="s">
        <v>5304</v>
      </c>
      <c r="C64" s="18" t="s">
        <v>5152</v>
      </c>
      <c r="D64" s="27"/>
    </row>
    <row r="65" spans="1:4" x14ac:dyDescent="0.3">
      <c r="A65" s="37" t="s">
        <v>6046</v>
      </c>
      <c r="B65" s="24" t="s">
        <v>3988</v>
      </c>
      <c r="C65" s="18" t="s">
        <v>3989</v>
      </c>
      <c r="D65" s="27"/>
    </row>
    <row r="66" spans="1:4" x14ac:dyDescent="0.3">
      <c r="A66" s="37" t="s">
        <v>6047</v>
      </c>
      <c r="B66" s="18" t="s">
        <v>4518</v>
      </c>
      <c r="C66" s="18" t="s">
        <v>4519</v>
      </c>
      <c r="D66" s="27"/>
    </row>
    <row r="67" spans="1:4" x14ac:dyDescent="0.3">
      <c r="A67" s="37" t="s">
        <v>6048</v>
      </c>
      <c r="B67" s="24" t="s">
        <v>700</v>
      </c>
      <c r="C67" s="18" t="s">
        <v>701</v>
      </c>
      <c r="D67" s="27"/>
    </row>
    <row r="68" spans="1:4" x14ac:dyDescent="0.3">
      <c r="A68" s="37" t="s">
        <v>6049</v>
      </c>
      <c r="B68" s="18" t="s">
        <v>5845</v>
      </c>
      <c r="C68" s="18" t="s">
        <v>5846</v>
      </c>
      <c r="D68" s="27"/>
    </row>
    <row r="69" spans="1:4" x14ac:dyDescent="0.3">
      <c r="A69" s="37" t="s">
        <v>6050</v>
      </c>
      <c r="B69" s="24" t="s">
        <v>4502</v>
      </c>
      <c r="C69" s="18" t="s">
        <v>4133</v>
      </c>
      <c r="D69" s="27"/>
    </row>
    <row r="70" spans="1:4" x14ac:dyDescent="0.3">
      <c r="A70" s="37" t="s">
        <v>6051</v>
      </c>
      <c r="B70" s="24" t="s">
        <v>4385</v>
      </c>
      <c r="C70" s="18" t="s">
        <v>4386</v>
      </c>
      <c r="D70" s="27"/>
    </row>
    <row r="71" spans="1:4" x14ac:dyDescent="0.3">
      <c r="A71" s="37" t="s">
        <v>6052</v>
      </c>
      <c r="B71" s="36" t="s">
        <v>6099</v>
      </c>
      <c r="C71" s="36" t="s">
        <v>6100</v>
      </c>
      <c r="D71" s="27"/>
    </row>
    <row r="72" spans="1:4" x14ac:dyDescent="0.3">
      <c r="A72" s="37" t="s">
        <v>6053</v>
      </c>
      <c r="B72" s="18" t="s">
        <v>6001</v>
      </c>
      <c r="C72" s="18" t="s">
        <v>6002</v>
      </c>
      <c r="D72" s="27"/>
    </row>
    <row r="73" spans="1:4" x14ac:dyDescent="0.3">
      <c r="A73" s="37" t="s">
        <v>6054</v>
      </c>
      <c r="B73" s="36" t="s">
        <v>5999</v>
      </c>
      <c r="C73" s="36" t="s">
        <v>6000</v>
      </c>
      <c r="D73" s="27"/>
    </row>
  </sheetData>
  <mergeCells count="2">
    <mergeCell ref="A1:D1"/>
    <mergeCell ref="A58:D58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BD70-8A7B-433E-98A8-7C423BB5A519}">
  <dimension ref="A1:BU111"/>
  <sheetViews>
    <sheetView topLeftCell="A81" zoomScale="85" zoomScaleNormal="85" workbookViewId="0">
      <pane xSplit="1" topLeftCell="BC1" activePane="topRight" state="frozen"/>
      <selection pane="topRight" activeCell="BU2" sqref="BU2:BU110"/>
    </sheetView>
  </sheetViews>
  <sheetFormatPr defaultRowHeight="14.4" x14ac:dyDescent="0.3"/>
  <cols>
    <col min="1" max="1" width="22.21875" bestFit="1" customWidth="1"/>
    <col min="2" max="2" width="0" hidden="1" customWidth="1"/>
    <col min="3" max="3" width="14.33203125" style="1" hidden="1" customWidth="1"/>
    <col min="4" max="4" width="9" style="1" hidden="1" customWidth="1"/>
    <col min="5" max="5" width="14.33203125" style="1" hidden="1" customWidth="1"/>
    <col min="6" max="6" width="9" style="1" hidden="1" customWidth="1"/>
    <col min="7" max="7" width="14.33203125" style="1" hidden="1" customWidth="1"/>
    <col min="8" max="8" width="9" style="1" hidden="1" customWidth="1"/>
    <col min="9" max="9" width="14.33203125" style="1" hidden="1" customWidth="1"/>
    <col min="10" max="14" width="9" style="1" hidden="1" customWidth="1"/>
    <col min="15" max="15" width="13.21875" style="1" hidden="1" customWidth="1"/>
    <col min="16" max="18" width="9" style="1" hidden="1" customWidth="1"/>
    <col min="19" max="19" width="10.5546875" style="1" hidden="1" customWidth="1"/>
    <col min="20" max="25" width="9" style="1" hidden="1" customWidth="1"/>
    <col min="26" max="26" width="11.6640625" style="1" hidden="1" customWidth="1"/>
    <col min="27" max="34" width="9" style="1" hidden="1" customWidth="1"/>
    <col min="35" max="35" width="13.21875" style="1" hidden="1" customWidth="1"/>
    <col min="36" max="37" width="9" style="1" hidden="1" customWidth="1"/>
    <col min="38" max="38" width="10.5546875" style="1" hidden="1" customWidth="1"/>
    <col min="39" max="54" width="9" style="1" hidden="1" customWidth="1"/>
    <col min="55" max="55" width="14.33203125" style="1" bestFit="1" customWidth="1"/>
    <col min="57" max="57" width="52.77734375" customWidth="1"/>
    <col min="58" max="58" width="60" customWidth="1"/>
    <col min="59" max="72" width="0" hidden="1" customWidth="1"/>
    <col min="73" max="73" width="15.109375" customWidth="1"/>
  </cols>
  <sheetData>
    <row r="1" spans="1:73" s="8" customFormat="1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9" t="s">
        <v>72</v>
      </c>
    </row>
    <row r="2" spans="1:73" x14ac:dyDescent="0.3">
      <c r="A2" t="s">
        <v>1759</v>
      </c>
      <c r="B2">
        <v>0</v>
      </c>
      <c r="C2" s="1">
        <v>0</v>
      </c>
      <c r="D2" s="1">
        <v>1</v>
      </c>
      <c r="E2" s="1">
        <v>2560000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3</v>
      </c>
      <c r="BC2" s="1">
        <v>7120000</v>
      </c>
      <c r="BD2" t="s">
        <v>74</v>
      </c>
      <c r="BE2" t="s">
        <v>1760</v>
      </c>
      <c r="BF2" t="s">
        <v>1761</v>
      </c>
      <c r="BH2" t="s">
        <v>77</v>
      </c>
      <c r="BI2" t="s">
        <v>129</v>
      </c>
      <c r="BJ2" t="s">
        <v>79</v>
      </c>
      <c r="BM2">
        <v>0</v>
      </c>
      <c r="BN2">
        <v>1</v>
      </c>
      <c r="BO2">
        <v>1</v>
      </c>
      <c r="BP2" t="s">
        <v>99</v>
      </c>
      <c r="BR2">
        <v>0</v>
      </c>
      <c r="BS2">
        <v>6</v>
      </c>
      <c r="BU2" s="1">
        <v>2560000</v>
      </c>
    </row>
    <row r="3" spans="1:73" x14ac:dyDescent="0.3">
      <c r="A3" t="s">
        <v>1782</v>
      </c>
      <c r="B3">
        <v>0</v>
      </c>
      <c r="C3" s="1">
        <v>0</v>
      </c>
      <c r="D3" s="1">
        <v>3</v>
      </c>
      <c r="E3" s="1">
        <v>638181</v>
      </c>
      <c r="F3" s="1">
        <v>0</v>
      </c>
      <c r="G3" s="1">
        <v>0</v>
      </c>
      <c r="H3" s="1">
        <v>2</v>
      </c>
      <c r="I3" s="1">
        <v>40000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6</v>
      </c>
      <c r="BC3" s="1">
        <v>1276362</v>
      </c>
      <c r="BD3" t="s">
        <v>74</v>
      </c>
      <c r="BE3" t="s">
        <v>1783</v>
      </c>
      <c r="BF3" t="s">
        <v>1761</v>
      </c>
      <c r="BH3" t="s">
        <v>77</v>
      </c>
      <c r="BI3" t="s">
        <v>129</v>
      </c>
      <c r="BJ3" t="s">
        <v>79</v>
      </c>
      <c r="BM3">
        <v>0</v>
      </c>
      <c r="BN3">
        <v>2</v>
      </c>
      <c r="BO3">
        <v>2</v>
      </c>
      <c r="BP3" t="s">
        <v>80</v>
      </c>
      <c r="BR3">
        <v>0</v>
      </c>
      <c r="BS3">
        <v>6</v>
      </c>
      <c r="BU3" s="1">
        <v>678181</v>
      </c>
    </row>
    <row r="4" spans="1:73" x14ac:dyDescent="0.3">
      <c r="A4" t="s">
        <v>3056</v>
      </c>
      <c r="B4">
        <v>1</v>
      </c>
      <c r="C4" s="1">
        <v>704427</v>
      </c>
      <c r="D4" s="1">
        <v>8</v>
      </c>
      <c r="E4" s="1">
        <v>4380154</v>
      </c>
      <c r="F4" s="1">
        <v>0</v>
      </c>
      <c r="G4" s="1">
        <v>0</v>
      </c>
      <c r="H4" s="1">
        <v>12</v>
      </c>
      <c r="I4" s="1">
        <v>405791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</v>
      </c>
      <c r="Z4" s="1">
        <v>180329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</v>
      </c>
      <c r="AL4" s="1">
        <v>11526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24</v>
      </c>
      <c r="BC4" s="1">
        <v>8382530</v>
      </c>
      <c r="BD4" t="s">
        <v>74</v>
      </c>
      <c r="BE4" t="s">
        <v>3057</v>
      </c>
      <c r="BF4" t="s">
        <v>1761</v>
      </c>
      <c r="BH4" t="s">
        <v>77</v>
      </c>
      <c r="BI4" t="s">
        <v>129</v>
      </c>
      <c r="BJ4" t="s">
        <v>79</v>
      </c>
      <c r="BM4">
        <v>2</v>
      </c>
      <c r="BN4">
        <v>3</v>
      </c>
      <c r="BO4">
        <v>5</v>
      </c>
      <c r="BP4" t="s">
        <v>80</v>
      </c>
      <c r="BR4">
        <v>0</v>
      </c>
      <c r="BS4">
        <v>5</v>
      </c>
      <c r="BU4" s="1">
        <v>5682227</v>
      </c>
    </row>
    <row r="5" spans="1:73" x14ac:dyDescent="0.3">
      <c r="A5" t="s">
        <v>3222</v>
      </c>
      <c r="B5">
        <v>0</v>
      </c>
      <c r="C5" s="1">
        <v>0</v>
      </c>
      <c r="D5" s="1">
        <v>2</v>
      </c>
      <c r="E5" s="1">
        <v>48152</v>
      </c>
      <c r="F5" s="1">
        <v>0</v>
      </c>
      <c r="G5" s="1">
        <v>0</v>
      </c>
      <c r="H5" s="1">
        <v>4</v>
      </c>
      <c r="I5" s="1">
        <v>96304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4</v>
      </c>
      <c r="BC5" s="1">
        <v>96304</v>
      </c>
      <c r="BD5" t="s">
        <v>74</v>
      </c>
      <c r="BE5" t="s">
        <v>3223</v>
      </c>
      <c r="BF5" t="s">
        <v>1761</v>
      </c>
      <c r="BH5" t="s">
        <v>77</v>
      </c>
      <c r="BI5" t="s">
        <v>129</v>
      </c>
      <c r="BJ5" t="s">
        <v>79</v>
      </c>
      <c r="BM5">
        <v>0</v>
      </c>
      <c r="BN5">
        <v>2</v>
      </c>
      <c r="BO5">
        <v>2</v>
      </c>
      <c r="BP5" t="s">
        <v>80</v>
      </c>
      <c r="BR5">
        <v>0</v>
      </c>
      <c r="BS5">
        <v>6</v>
      </c>
      <c r="BU5" s="1">
        <v>144456</v>
      </c>
    </row>
    <row r="6" spans="1:73" x14ac:dyDescent="0.3">
      <c r="A6" t="s">
        <v>3583</v>
      </c>
      <c r="B6">
        <v>1</v>
      </c>
      <c r="C6" s="1">
        <v>317189</v>
      </c>
      <c r="D6" s="1">
        <v>5</v>
      </c>
      <c r="E6" s="1">
        <v>2915972</v>
      </c>
      <c r="F6" s="1">
        <v>0</v>
      </c>
      <c r="G6" s="1">
        <v>0</v>
      </c>
      <c r="H6" s="1">
        <v>10</v>
      </c>
      <c r="I6" s="1">
        <v>271944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13</v>
      </c>
      <c r="BC6" s="1">
        <v>6189133</v>
      </c>
      <c r="BD6" t="s">
        <v>74</v>
      </c>
      <c r="BE6" t="s">
        <v>3584</v>
      </c>
      <c r="BF6" t="s">
        <v>1761</v>
      </c>
      <c r="BH6" t="s">
        <v>136</v>
      </c>
      <c r="BI6" t="s">
        <v>939</v>
      </c>
      <c r="BJ6" t="s">
        <v>125</v>
      </c>
      <c r="BM6">
        <v>0</v>
      </c>
      <c r="BN6">
        <v>3</v>
      </c>
      <c r="BO6">
        <v>3</v>
      </c>
      <c r="BP6" t="s">
        <v>80</v>
      </c>
      <c r="BR6">
        <v>0</v>
      </c>
      <c r="BS6">
        <v>6</v>
      </c>
      <c r="BU6" s="1">
        <v>3505105</v>
      </c>
    </row>
    <row r="7" spans="1:73" x14ac:dyDescent="0.3">
      <c r="A7" t="s">
        <v>5292</v>
      </c>
      <c r="B7">
        <v>3</v>
      </c>
      <c r="C7" s="1">
        <v>565453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3</v>
      </c>
      <c r="BC7" s="1">
        <v>565453</v>
      </c>
      <c r="BD7" t="s">
        <v>74</v>
      </c>
      <c r="BE7" t="s">
        <v>5293</v>
      </c>
      <c r="BF7" t="s">
        <v>5294</v>
      </c>
      <c r="BH7" t="s">
        <v>77</v>
      </c>
      <c r="BI7" t="s">
        <v>129</v>
      </c>
      <c r="BJ7" t="s">
        <v>79</v>
      </c>
      <c r="BM7">
        <v>0</v>
      </c>
      <c r="BN7">
        <v>1</v>
      </c>
      <c r="BO7">
        <v>1</v>
      </c>
      <c r="BP7" t="s">
        <v>80</v>
      </c>
      <c r="BR7">
        <v>0</v>
      </c>
      <c r="BS7">
        <v>0</v>
      </c>
      <c r="BU7" s="1">
        <v>565453</v>
      </c>
    </row>
    <row r="8" spans="1:73" x14ac:dyDescent="0.3">
      <c r="A8" t="s">
        <v>3412</v>
      </c>
      <c r="B8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20000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20000</v>
      </c>
      <c r="BD8" t="s">
        <v>74</v>
      </c>
      <c r="BE8" t="s">
        <v>3413</v>
      </c>
      <c r="BF8" t="s">
        <v>3414</v>
      </c>
      <c r="BH8" t="s">
        <v>77</v>
      </c>
      <c r="BI8" t="s">
        <v>204</v>
      </c>
      <c r="BJ8" t="s">
        <v>79</v>
      </c>
      <c r="BM8">
        <v>0</v>
      </c>
      <c r="BN8">
        <v>1</v>
      </c>
      <c r="BO8">
        <v>1</v>
      </c>
      <c r="BP8" t="s">
        <v>80</v>
      </c>
      <c r="BR8">
        <v>0</v>
      </c>
      <c r="BS8">
        <v>0</v>
      </c>
      <c r="BU8" s="1">
        <v>20000</v>
      </c>
    </row>
    <row r="9" spans="1:73" x14ac:dyDescent="0.3">
      <c r="A9" t="s">
        <v>243</v>
      </c>
      <c r="B9">
        <v>0</v>
      </c>
      <c r="C9" s="1">
        <v>0</v>
      </c>
      <c r="D9" s="1">
        <v>2</v>
      </c>
      <c r="E9" s="1">
        <v>59197</v>
      </c>
      <c r="F9" s="1">
        <v>0</v>
      </c>
      <c r="G9" s="1">
        <v>0</v>
      </c>
      <c r="H9" s="1">
        <v>3</v>
      </c>
      <c r="I9" s="1">
        <v>79197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5</v>
      </c>
      <c r="BC9" s="1">
        <v>1543197</v>
      </c>
      <c r="BD9" t="s">
        <v>74</v>
      </c>
      <c r="BE9" t="s">
        <v>244</v>
      </c>
      <c r="BF9" t="s">
        <v>245</v>
      </c>
      <c r="BH9" t="s">
        <v>77</v>
      </c>
      <c r="BI9" t="s">
        <v>129</v>
      </c>
      <c r="BJ9" t="s">
        <v>79</v>
      </c>
      <c r="BM9">
        <v>0</v>
      </c>
      <c r="BN9">
        <v>2</v>
      </c>
      <c r="BO9">
        <v>2</v>
      </c>
      <c r="BP9" t="s">
        <v>80</v>
      </c>
      <c r="BR9">
        <v>0</v>
      </c>
      <c r="BS9">
        <v>6</v>
      </c>
      <c r="BU9" s="1">
        <v>138394</v>
      </c>
    </row>
    <row r="10" spans="1:73" x14ac:dyDescent="0.3">
      <c r="A10" t="s">
        <v>681</v>
      </c>
      <c r="B10">
        <v>9</v>
      </c>
      <c r="C10" s="1">
        <v>3170203</v>
      </c>
      <c r="D10" s="1">
        <v>22</v>
      </c>
      <c r="E10" s="1">
        <v>5032349</v>
      </c>
      <c r="F10" s="1">
        <v>0</v>
      </c>
      <c r="G10" s="1">
        <v>0</v>
      </c>
      <c r="H10" s="1">
        <v>30</v>
      </c>
      <c r="I10" s="1">
        <v>638698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53</v>
      </c>
      <c r="BC10" s="1">
        <v>13234901</v>
      </c>
      <c r="BD10" t="s">
        <v>74</v>
      </c>
      <c r="BE10" t="s">
        <v>682</v>
      </c>
      <c r="BF10" t="s">
        <v>683</v>
      </c>
      <c r="BH10" t="s">
        <v>136</v>
      </c>
      <c r="BI10" t="s">
        <v>191</v>
      </c>
      <c r="BJ10" t="s">
        <v>125</v>
      </c>
      <c r="BM10">
        <v>0</v>
      </c>
      <c r="BN10">
        <v>3</v>
      </c>
      <c r="BO10">
        <v>3</v>
      </c>
      <c r="BP10" t="s">
        <v>80</v>
      </c>
      <c r="BR10">
        <v>0</v>
      </c>
      <c r="BS10">
        <v>5</v>
      </c>
      <c r="BU10" s="1">
        <v>8841250</v>
      </c>
    </row>
    <row r="11" spans="1:73" x14ac:dyDescent="0.3">
      <c r="A11" t="s">
        <v>774</v>
      </c>
      <c r="B11">
        <v>2</v>
      </c>
      <c r="C11" s="1">
        <v>89090</v>
      </c>
      <c r="D11" s="1">
        <v>9</v>
      </c>
      <c r="E11" s="1">
        <v>689087</v>
      </c>
      <c r="F11" s="1">
        <v>0</v>
      </c>
      <c r="G11" s="1">
        <v>0</v>
      </c>
      <c r="H11" s="1">
        <v>18</v>
      </c>
      <c r="I11" s="1">
        <v>502460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22</v>
      </c>
      <c r="BC11" s="1">
        <v>1517264</v>
      </c>
      <c r="BD11" t="s">
        <v>74</v>
      </c>
      <c r="BE11" t="s">
        <v>775</v>
      </c>
      <c r="BF11" t="s">
        <v>245</v>
      </c>
      <c r="BH11" t="s">
        <v>136</v>
      </c>
      <c r="BI11" t="s">
        <v>191</v>
      </c>
      <c r="BJ11" t="s">
        <v>125</v>
      </c>
      <c r="BM11">
        <v>0</v>
      </c>
      <c r="BN11">
        <v>3</v>
      </c>
      <c r="BO11">
        <v>3</v>
      </c>
      <c r="BP11" t="s">
        <v>80</v>
      </c>
      <c r="BR11">
        <v>0</v>
      </c>
      <c r="BS11">
        <v>6</v>
      </c>
      <c r="BU11" s="1">
        <v>1280637</v>
      </c>
    </row>
    <row r="12" spans="1:73" x14ac:dyDescent="0.3">
      <c r="A12" t="s">
        <v>844</v>
      </c>
      <c r="B12">
        <v>0</v>
      </c>
      <c r="C12" s="1">
        <v>0</v>
      </c>
      <c r="D12" s="1">
        <v>10</v>
      </c>
      <c r="E12" s="1">
        <v>200000</v>
      </c>
      <c r="F12" s="1">
        <v>0</v>
      </c>
      <c r="G12" s="1">
        <v>0</v>
      </c>
      <c r="H12" s="1">
        <v>20</v>
      </c>
      <c r="I12" s="1">
        <v>400000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21</v>
      </c>
      <c r="BC12" s="1">
        <v>1180000</v>
      </c>
      <c r="BD12" t="s">
        <v>74</v>
      </c>
      <c r="BE12" t="s">
        <v>845</v>
      </c>
      <c r="BF12" t="s">
        <v>245</v>
      </c>
      <c r="BH12" t="s">
        <v>77</v>
      </c>
      <c r="BI12" t="s">
        <v>129</v>
      </c>
      <c r="BJ12" t="s">
        <v>79</v>
      </c>
      <c r="BM12">
        <v>0</v>
      </c>
      <c r="BN12">
        <v>2</v>
      </c>
      <c r="BO12">
        <v>2</v>
      </c>
      <c r="BP12" t="s">
        <v>80</v>
      </c>
      <c r="BR12">
        <v>0</v>
      </c>
      <c r="BS12">
        <v>6</v>
      </c>
      <c r="BU12" s="1">
        <v>600000</v>
      </c>
    </row>
    <row r="13" spans="1:73" x14ac:dyDescent="0.3">
      <c r="A13" t="s">
        <v>1659</v>
      </c>
      <c r="B13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</v>
      </c>
      <c r="I13" s="1">
        <v>280000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14</v>
      </c>
      <c r="BC13" s="1">
        <v>280000</v>
      </c>
      <c r="BD13" t="s">
        <v>74</v>
      </c>
      <c r="BE13" t="s">
        <v>1660</v>
      </c>
      <c r="BF13" t="s">
        <v>245</v>
      </c>
      <c r="BH13" t="s">
        <v>77</v>
      </c>
      <c r="BI13" t="s">
        <v>129</v>
      </c>
      <c r="BJ13" t="s">
        <v>79</v>
      </c>
      <c r="BM13">
        <v>0</v>
      </c>
      <c r="BN13">
        <v>1</v>
      </c>
      <c r="BO13">
        <v>1</v>
      </c>
      <c r="BP13" t="s">
        <v>80</v>
      </c>
      <c r="BR13">
        <v>0</v>
      </c>
      <c r="BS13">
        <v>6</v>
      </c>
      <c r="BU13" s="1">
        <v>280000</v>
      </c>
    </row>
    <row r="14" spans="1:73" x14ac:dyDescent="0.3">
      <c r="A14" t="s">
        <v>1669</v>
      </c>
      <c r="B14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20000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20000</v>
      </c>
      <c r="BD14" t="s">
        <v>74</v>
      </c>
      <c r="BE14" t="s">
        <v>1670</v>
      </c>
      <c r="BF14" t="s">
        <v>245</v>
      </c>
      <c r="BH14" t="s">
        <v>77</v>
      </c>
      <c r="BI14" t="s">
        <v>129</v>
      </c>
      <c r="BJ14" t="s">
        <v>79</v>
      </c>
      <c r="BM14">
        <v>0</v>
      </c>
      <c r="BN14">
        <v>1</v>
      </c>
      <c r="BO14">
        <v>1</v>
      </c>
      <c r="BP14" t="s">
        <v>80</v>
      </c>
      <c r="BR14">
        <v>0</v>
      </c>
      <c r="BS14">
        <v>6</v>
      </c>
      <c r="BU14" s="1">
        <v>20000</v>
      </c>
    </row>
    <row r="15" spans="1:73" x14ac:dyDescent="0.3">
      <c r="A15" t="s">
        <v>1774</v>
      </c>
      <c r="B15">
        <v>0</v>
      </c>
      <c r="C15" s="1">
        <v>0</v>
      </c>
      <c r="D15" s="1">
        <v>2</v>
      </c>
      <c r="E15" s="1">
        <v>918181</v>
      </c>
      <c r="F15" s="1">
        <v>0</v>
      </c>
      <c r="G15" s="1">
        <v>0</v>
      </c>
      <c r="H15" s="1">
        <v>5</v>
      </c>
      <c r="I15" s="1">
        <v>108907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7</v>
      </c>
      <c r="BC15" s="1">
        <v>1027088</v>
      </c>
      <c r="BD15" t="s">
        <v>74</v>
      </c>
      <c r="BE15" t="s">
        <v>1775</v>
      </c>
      <c r="BF15" t="s">
        <v>245</v>
      </c>
      <c r="BH15" t="s">
        <v>77</v>
      </c>
      <c r="BI15" t="s">
        <v>129</v>
      </c>
      <c r="BJ15" t="s">
        <v>79</v>
      </c>
      <c r="BM15">
        <v>0</v>
      </c>
      <c r="BN15">
        <v>2</v>
      </c>
      <c r="BO15">
        <v>2</v>
      </c>
      <c r="BP15" t="s">
        <v>80</v>
      </c>
      <c r="BR15">
        <v>0</v>
      </c>
      <c r="BS15">
        <v>6</v>
      </c>
      <c r="BU15" s="1">
        <v>1027088</v>
      </c>
    </row>
    <row r="16" spans="1:73" x14ac:dyDescent="0.3">
      <c r="A16" t="s">
        <v>1833</v>
      </c>
      <c r="B16">
        <v>0</v>
      </c>
      <c r="C16" s="1">
        <v>0</v>
      </c>
      <c r="D16" s="1">
        <v>7</v>
      </c>
      <c r="E16" s="1">
        <v>4787640</v>
      </c>
      <c r="F16" s="1">
        <v>0</v>
      </c>
      <c r="G16" s="1">
        <v>0</v>
      </c>
      <c r="H16" s="1">
        <v>10</v>
      </c>
      <c r="I16" s="1">
        <v>215280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14</v>
      </c>
      <c r="BC16" s="1">
        <v>9575280</v>
      </c>
      <c r="BD16" t="s">
        <v>74</v>
      </c>
      <c r="BE16" t="s">
        <v>1834</v>
      </c>
      <c r="BF16" t="s">
        <v>245</v>
      </c>
      <c r="BH16" t="s">
        <v>77</v>
      </c>
      <c r="BI16" t="s">
        <v>129</v>
      </c>
      <c r="BJ16" t="s">
        <v>79</v>
      </c>
      <c r="BM16">
        <v>0</v>
      </c>
      <c r="BN16">
        <v>2</v>
      </c>
      <c r="BO16">
        <v>2</v>
      </c>
      <c r="BP16" t="s">
        <v>80</v>
      </c>
      <c r="BR16">
        <v>0</v>
      </c>
      <c r="BS16">
        <v>6</v>
      </c>
      <c r="BU16" s="1">
        <v>5002920</v>
      </c>
    </row>
    <row r="17" spans="1:73" x14ac:dyDescent="0.3">
      <c r="A17" t="s">
        <v>1904</v>
      </c>
      <c r="B17">
        <v>0</v>
      </c>
      <c r="C17" s="1">
        <v>0</v>
      </c>
      <c r="D17" s="1">
        <v>7</v>
      </c>
      <c r="E17" s="1">
        <v>3229000</v>
      </c>
      <c r="F17" s="1">
        <v>0</v>
      </c>
      <c r="G17" s="1">
        <v>0</v>
      </c>
      <c r="H17" s="1">
        <v>8</v>
      </c>
      <c r="I17" s="1">
        <v>160000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14</v>
      </c>
      <c r="BC17" s="1">
        <v>6458000</v>
      </c>
      <c r="BD17" t="s">
        <v>74</v>
      </c>
      <c r="BE17" t="s">
        <v>1905</v>
      </c>
      <c r="BF17" t="s">
        <v>245</v>
      </c>
      <c r="BH17" t="s">
        <v>77</v>
      </c>
      <c r="BI17" t="s">
        <v>129</v>
      </c>
      <c r="BJ17" t="s">
        <v>79</v>
      </c>
      <c r="BM17">
        <v>0</v>
      </c>
      <c r="BN17">
        <v>2</v>
      </c>
      <c r="BO17">
        <v>2</v>
      </c>
      <c r="BP17" t="s">
        <v>80</v>
      </c>
      <c r="BR17">
        <v>0</v>
      </c>
      <c r="BS17">
        <v>6</v>
      </c>
      <c r="BU17" s="1">
        <v>3389000</v>
      </c>
    </row>
    <row r="18" spans="1:73" x14ac:dyDescent="0.3">
      <c r="A18" t="s">
        <v>2035</v>
      </c>
      <c r="B18">
        <v>0</v>
      </c>
      <c r="C18" s="1">
        <v>0</v>
      </c>
      <c r="D18" s="1">
        <v>11</v>
      </c>
      <c r="E18" s="1">
        <v>1114624</v>
      </c>
      <c r="F18" s="1">
        <v>0</v>
      </c>
      <c r="G18" s="1">
        <v>0</v>
      </c>
      <c r="H18" s="1">
        <v>20</v>
      </c>
      <c r="I18" s="1">
        <v>1617248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23</v>
      </c>
      <c r="BC18" s="1">
        <v>2325687</v>
      </c>
      <c r="BD18" t="s">
        <v>74</v>
      </c>
      <c r="BE18" t="s">
        <v>2036</v>
      </c>
      <c r="BF18" t="s">
        <v>683</v>
      </c>
      <c r="BH18" t="s">
        <v>77</v>
      </c>
      <c r="BI18" t="s">
        <v>129</v>
      </c>
      <c r="BJ18" t="s">
        <v>79</v>
      </c>
      <c r="BM18">
        <v>0</v>
      </c>
      <c r="BN18">
        <v>2</v>
      </c>
      <c r="BO18">
        <v>2</v>
      </c>
      <c r="BP18" t="s">
        <v>80</v>
      </c>
      <c r="BR18">
        <v>0</v>
      </c>
      <c r="BS18">
        <v>6</v>
      </c>
      <c r="BU18" s="1">
        <v>2731872</v>
      </c>
    </row>
    <row r="19" spans="1:73" x14ac:dyDescent="0.3">
      <c r="A19" t="s">
        <v>2134</v>
      </c>
      <c r="B19">
        <v>5</v>
      </c>
      <c r="C19" s="1">
        <v>1450163</v>
      </c>
      <c r="D19" s="1">
        <v>2</v>
      </c>
      <c r="E19" s="1">
        <v>798181</v>
      </c>
      <c r="F19" s="1">
        <v>0</v>
      </c>
      <c r="G19" s="1">
        <v>0</v>
      </c>
      <c r="H19" s="1">
        <v>3</v>
      </c>
      <c r="I19" s="1">
        <v>60000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10</v>
      </c>
      <c r="BC19" s="1">
        <v>2308344</v>
      </c>
      <c r="BD19" t="s">
        <v>74</v>
      </c>
      <c r="BE19" t="s">
        <v>2135</v>
      </c>
      <c r="BF19" t="s">
        <v>245</v>
      </c>
      <c r="BH19" t="s">
        <v>77</v>
      </c>
      <c r="BI19" t="s">
        <v>129</v>
      </c>
      <c r="BJ19" t="s">
        <v>79</v>
      </c>
      <c r="BM19">
        <v>0</v>
      </c>
      <c r="BN19">
        <v>3</v>
      </c>
      <c r="BO19">
        <v>3</v>
      </c>
      <c r="BP19" t="s">
        <v>80</v>
      </c>
      <c r="BR19">
        <v>0</v>
      </c>
      <c r="BS19">
        <v>6</v>
      </c>
      <c r="BU19" s="1">
        <v>2308344</v>
      </c>
    </row>
    <row r="20" spans="1:73" x14ac:dyDescent="0.3">
      <c r="A20" t="s">
        <v>2739</v>
      </c>
      <c r="B20">
        <v>8</v>
      </c>
      <c r="C20" s="1">
        <v>3235604</v>
      </c>
      <c r="D20" s="1">
        <v>2</v>
      </c>
      <c r="E20" s="1">
        <v>2035000</v>
      </c>
      <c r="F20" s="1">
        <v>0</v>
      </c>
      <c r="G20" s="1">
        <v>0</v>
      </c>
      <c r="H20" s="1">
        <v>8</v>
      </c>
      <c r="I20" s="1">
        <v>160000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73535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20</v>
      </c>
      <c r="BC20" s="1">
        <v>7504139</v>
      </c>
      <c r="BD20" t="s">
        <v>74</v>
      </c>
      <c r="BE20" t="s">
        <v>2740</v>
      </c>
      <c r="BF20" t="s">
        <v>245</v>
      </c>
      <c r="BH20" t="s">
        <v>77</v>
      </c>
      <c r="BI20" t="s">
        <v>129</v>
      </c>
      <c r="BJ20" t="s">
        <v>79</v>
      </c>
      <c r="BM20">
        <v>1</v>
      </c>
      <c r="BN20">
        <v>3</v>
      </c>
      <c r="BO20">
        <v>4</v>
      </c>
      <c r="BP20" t="s">
        <v>80</v>
      </c>
      <c r="BR20">
        <v>0</v>
      </c>
      <c r="BS20">
        <v>5</v>
      </c>
      <c r="BU20" s="1">
        <v>5504139</v>
      </c>
    </row>
    <row r="21" spans="1:73" x14ac:dyDescent="0.3">
      <c r="A21" t="s">
        <v>2924</v>
      </c>
      <c r="B21">
        <v>0</v>
      </c>
      <c r="C21" s="1">
        <v>0</v>
      </c>
      <c r="D21" s="1">
        <v>3</v>
      </c>
      <c r="E21" s="1">
        <v>2600609</v>
      </c>
      <c r="F21" s="1">
        <v>0</v>
      </c>
      <c r="G21" s="1">
        <v>0</v>
      </c>
      <c r="H21" s="1">
        <v>4</v>
      </c>
      <c r="I21" s="1">
        <v>81218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7</v>
      </c>
      <c r="BC21" s="1">
        <v>5279803</v>
      </c>
      <c r="BD21" t="s">
        <v>74</v>
      </c>
      <c r="BE21" t="s">
        <v>2925</v>
      </c>
      <c r="BF21" t="s">
        <v>245</v>
      </c>
      <c r="BH21" t="s">
        <v>77</v>
      </c>
      <c r="BI21" t="s">
        <v>129</v>
      </c>
      <c r="BJ21" t="s">
        <v>79</v>
      </c>
      <c r="BM21">
        <v>0</v>
      </c>
      <c r="BN21">
        <v>2</v>
      </c>
      <c r="BO21">
        <v>2</v>
      </c>
      <c r="BP21" t="s">
        <v>80</v>
      </c>
      <c r="BR21">
        <v>0</v>
      </c>
      <c r="BS21">
        <v>6</v>
      </c>
      <c r="BU21" s="1">
        <v>2681827</v>
      </c>
    </row>
    <row r="22" spans="1:73" x14ac:dyDescent="0.3">
      <c r="A22" t="s">
        <v>2956</v>
      </c>
      <c r="B22">
        <v>0</v>
      </c>
      <c r="C22" s="1">
        <v>0</v>
      </c>
      <c r="D22" s="1">
        <v>8</v>
      </c>
      <c r="E22" s="1">
        <v>2724493</v>
      </c>
      <c r="F22" s="1">
        <v>0</v>
      </c>
      <c r="G22" s="1">
        <v>0</v>
      </c>
      <c r="H22" s="1">
        <v>14</v>
      </c>
      <c r="I22" s="1">
        <v>408986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16</v>
      </c>
      <c r="BC22" s="1">
        <v>5448986</v>
      </c>
      <c r="BD22" t="s">
        <v>74</v>
      </c>
      <c r="BE22" t="s">
        <v>2957</v>
      </c>
      <c r="BF22" t="s">
        <v>245</v>
      </c>
      <c r="BH22" t="s">
        <v>77</v>
      </c>
      <c r="BI22" t="s">
        <v>129</v>
      </c>
      <c r="BJ22" t="s">
        <v>79</v>
      </c>
      <c r="BM22">
        <v>0</v>
      </c>
      <c r="BN22">
        <v>2</v>
      </c>
      <c r="BO22">
        <v>2</v>
      </c>
      <c r="BP22" t="s">
        <v>80</v>
      </c>
      <c r="BR22">
        <v>0</v>
      </c>
      <c r="BS22">
        <v>6</v>
      </c>
      <c r="BU22" s="1">
        <v>3133479</v>
      </c>
    </row>
    <row r="23" spans="1:73" x14ac:dyDescent="0.3">
      <c r="A23" t="s">
        <v>3303</v>
      </c>
      <c r="B23">
        <v>0</v>
      </c>
      <c r="C23" s="1">
        <v>0</v>
      </c>
      <c r="D23" s="1">
        <v>6</v>
      </c>
      <c r="E23" s="1">
        <v>2741556</v>
      </c>
      <c r="F23" s="1">
        <v>0</v>
      </c>
      <c r="G23" s="1">
        <v>0</v>
      </c>
      <c r="H23" s="1">
        <v>8</v>
      </c>
      <c r="I23" s="1">
        <v>410384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73535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14</v>
      </c>
      <c r="BC23" s="1">
        <v>5630182</v>
      </c>
      <c r="BD23" t="s">
        <v>74</v>
      </c>
      <c r="BE23" t="s">
        <v>3304</v>
      </c>
      <c r="BF23" t="s">
        <v>245</v>
      </c>
      <c r="BH23" t="s">
        <v>77</v>
      </c>
      <c r="BI23" t="s">
        <v>129</v>
      </c>
      <c r="BJ23" t="s">
        <v>79</v>
      </c>
      <c r="BM23">
        <v>1</v>
      </c>
      <c r="BN23">
        <v>2</v>
      </c>
      <c r="BO23">
        <v>3</v>
      </c>
      <c r="BP23" t="s">
        <v>80</v>
      </c>
      <c r="BR23">
        <v>0</v>
      </c>
      <c r="BS23">
        <v>6</v>
      </c>
      <c r="BU23" s="1">
        <v>3225475</v>
      </c>
    </row>
    <row r="24" spans="1:73" x14ac:dyDescent="0.3">
      <c r="A24" t="s">
        <v>3569</v>
      </c>
      <c r="B24">
        <v>0</v>
      </c>
      <c r="C24" s="1">
        <v>0</v>
      </c>
      <c r="D24" s="1">
        <v>4</v>
      </c>
      <c r="E24" s="1">
        <v>1033177</v>
      </c>
      <c r="F24" s="1">
        <v>0</v>
      </c>
      <c r="G24" s="1">
        <v>0</v>
      </c>
      <c r="H24" s="1">
        <v>6</v>
      </c>
      <c r="I24" s="1">
        <v>266354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8</v>
      </c>
      <c r="BC24" s="1">
        <v>2066354</v>
      </c>
      <c r="BD24" t="s">
        <v>74</v>
      </c>
      <c r="BE24" t="s">
        <v>3570</v>
      </c>
      <c r="BF24" t="s">
        <v>245</v>
      </c>
      <c r="BH24" t="s">
        <v>77</v>
      </c>
      <c r="BI24" t="s">
        <v>129</v>
      </c>
      <c r="BJ24" t="s">
        <v>79</v>
      </c>
      <c r="BM24">
        <v>0</v>
      </c>
      <c r="BN24">
        <v>2</v>
      </c>
      <c r="BO24">
        <v>2</v>
      </c>
      <c r="BP24" t="s">
        <v>80</v>
      </c>
      <c r="BR24">
        <v>0</v>
      </c>
      <c r="BS24">
        <v>6</v>
      </c>
      <c r="BU24" s="1">
        <v>1299531</v>
      </c>
    </row>
    <row r="25" spans="1:73" x14ac:dyDescent="0.3">
      <c r="A25" t="s">
        <v>5231</v>
      </c>
      <c r="B25">
        <v>5</v>
      </c>
      <c r="C25" s="1">
        <v>1087517</v>
      </c>
      <c r="D25" s="1">
        <v>9</v>
      </c>
      <c r="E25" s="1">
        <v>930109</v>
      </c>
      <c r="F25" s="1">
        <v>0</v>
      </c>
      <c r="G25" s="1">
        <v>0</v>
      </c>
      <c r="H25" s="1">
        <v>6</v>
      </c>
      <c r="I25" s="1">
        <v>227496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19</v>
      </c>
      <c r="BC25" s="1">
        <v>2854231</v>
      </c>
      <c r="BD25" t="s">
        <v>74</v>
      </c>
      <c r="BE25" t="s">
        <v>5232</v>
      </c>
      <c r="BF25" t="s">
        <v>245</v>
      </c>
      <c r="BH25" t="s">
        <v>136</v>
      </c>
      <c r="BI25" t="s">
        <v>191</v>
      </c>
      <c r="BJ25" t="s">
        <v>125</v>
      </c>
      <c r="BM25">
        <v>0</v>
      </c>
      <c r="BN25">
        <v>3</v>
      </c>
      <c r="BO25">
        <v>3</v>
      </c>
      <c r="BP25" t="s">
        <v>80</v>
      </c>
      <c r="BR25">
        <v>0</v>
      </c>
      <c r="BS25">
        <v>6</v>
      </c>
      <c r="BU25" s="1">
        <v>2245122</v>
      </c>
    </row>
    <row r="26" spans="1:73" x14ac:dyDescent="0.3">
      <c r="A26" t="s">
        <v>1815</v>
      </c>
      <c r="B26">
        <v>0</v>
      </c>
      <c r="C26" s="1">
        <v>0</v>
      </c>
      <c r="D26" s="1">
        <v>2</v>
      </c>
      <c r="E26" s="1">
        <v>2340000</v>
      </c>
      <c r="F26" s="1">
        <v>0</v>
      </c>
      <c r="G26" s="1">
        <v>0</v>
      </c>
      <c r="H26" s="1">
        <v>7</v>
      </c>
      <c r="I26" s="1">
        <v>150349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33332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</v>
      </c>
      <c r="Z26" s="1">
        <v>145757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16</v>
      </c>
      <c r="BC26" s="1">
        <v>2789689</v>
      </c>
      <c r="BD26" t="s">
        <v>74</v>
      </c>
      <c r="BE26" t="s">
        <v>1816</v>
      </c>
      <c r="BF26" t="s">
        <v>1817</v>
      </c>
      <c r="BH26" t="s">
        <v>77</v>
      </c>
      <c r="BI26" t="s">
        <v>129</v>
      </c>
      <c r="BJ26" t="s">
        <v>79</v>
      </c>
      <c r="BM26">
        <v>2</v>
      </c>
      <c r="BN26">
        <v>2</v>
      </c>
      <c r="BO26">
        <v>4</v>
      </c>
      <c r="BP26" t="s">
        <v>80</v>
      </c>
      <c r="BR26">
        <v>0</v>
      </c>
      <c r="BS26">
        <v>6</v>
      </c>
      <c r="BU26" s="1">
        <v>2669438</v>
      </c>
    </row>
    <row r="27" spans="1:73" x14ac:dyDescent="0.3">
      <c r="A27" t="s">
        <v>3040</v>
      </c>
      <c r="B27">
        <v>2</v>
      </c>
      <c r="C27" s="1">
        <v>752837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2</v>
      </c>
      <c r="BC27" s="1">
        <v>752837</v>
      </c>
      <c r="BD27" t="s">
        <v>74</v>
      </c>
      <c r="BE27" t="s">
        <v>3041</v>
      </c>
      <c r="BF27" t="s">
        <v>3042</v>
      </c>
      <c r="BM27">
        <v>0</v>
      </c>
      <c r="BN27">
        <v>1</v>
      </c>
      <c r="BO27">
        <v>1</v>
      </c>
      <c r="BP27" t="s">
        <v>80</v>
      </c>
      <c r="BR27">
        <v>0</v>
      </c>
      <c r="BS27">
        <v>6</v>
      </c>
      <c r="BU27" s="1">
        <v>752837</v>
      </c>
    </row>
    <row r="28" spans="1:73" x14ac:dyDescent="0.3">
      <c r="A28" t="s">
        <v>2386</v>
      </c>
      <c r="B28">
        <v>0</v>
      </c>
      <c r="C28" s="1">
        <v>0</v>
      </c>
      <c r="D28" s="1">
        <v>4</v>
      </c>
      <c r="E28" s="1">
        <v>1682254</v>
      </c>
      <c r="F28" s="1">
        <v>0</v>
      </c>
      <c r="G28" s="1">
        <v>0</v>
      </c>
      <c r="H28" s="1">
        <v>6</v>
      </c>
      <c r="I28" s="1">
        <v>164508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96439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10</v>
      </c>
      <c r="BC28" s="1">
        <v>3557386</v>
      </c>
      <c r="BD28" t="s">
        <v>74</v>
      </c>
      <c r="BE28" t="s">
        <v>2387</v>
      </c>
      <c r="BF28" t="s">
        <v>2388</v>
      </c>
      <c r="BH28" t="s">
        <v>77</v>
      </c>
      <c r="BI28" t="s">
        <v>129</v>
      </c>
      <c r="BJ28" t="s">
        <v>79</v>
      </c>
      <c r="BM28">
        <v>1</v>
      </c>
      <c r="BN28">
        <v>2</v>
      </c>
      <c r="BO28">
        <v>3</v>
      </c>
      <c r="BP28" t="s">
        <v>80</v>
      </c>
      <c r="BR28">
        <v>0</v>
      </c>
      <c r="BS28">
        <v>6</v>
      </c>
      <c r="BU28" s="1">
        <v>1943201</v>
      </c>
    </row>
    <row r="29" spans="1:73" x14ac:dyDescent="0.3">
      <c r="A29" t="s">
        <v>797</v>
      </c>
      <c r="B29">
        <v>0</v>
      </c>
      <c r="C29" s="1">
        <v>0</v>
      </c>
      <c r="D29" s="1">
        <v>4</v>
      </c>
      <c r="E29" s="1">
        <v>1672271</v>
      </c>
      <c r="F29" s="1">
        <v>0</v>
      </c>
      <c r="G29" s="1">
        <v>0</v>
      </c>
      <c r="H29" s="1">
        <v>6</v>
      </c>
      <c r="I29" s="1">
        <v>144542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8</v>
      </c>
      <c r="BC29" s="1">
        <v>3344542</v>
      </c>
      <c r="BD29" t="s">
        <v>74</v>
      </c>
      <c r="BE29" t="s">
        <v>798</v>
      </c>
      <c r="BF29" t="s">
        <v>799</v>
      </c>
      <c r="BH29" t="s">
        <v>77</v>
      </c>
      <c r="BI29" t="s">
        <v>129</v>
      </c>
      <c r="BJ29" t="s">
        <v>79</v>
      </c>
      <c r="BM29">
        <v>0</v>
      </c>
      <c r="BN29">
        <v>2</v>
      </c>
      <c r="BO29">
        <v>2</v>
      </c>
      <c r="BP29" t="s">
        <v>80</v>
      </c>
      <c r="BR29">
        <v>0</v>
      </c>
      <c r="BS29">
        <v>6</v>
      </c>
      <c r="BU29" s="1">
        <v>1816813</v>
      </c>
    </row>
    <row r="30" spans="1:73" x14ac:dyDescent="0.3">
      <c r="A30" t="s">
        <v>3896</v>
      </c>
      <c r="B30">
        <v>0</v>
      </c>
      <c r="C30" s="1">
        <v>0</v>
      </c>
      <c r="D30" s="1">
        <v>5</v>
      </c>
      <c r="E30" s="1">
        <v>1458586</v>
      </c>
      <c r="F30" s="1">
        <v>0</v>
      </c>
      <c r="G30" s="1">
        <v>0</v>
      </c>
      <c r="H30" s="1">
        <v>6</v>
      </c>
      <c r="I30" s="1">
        <v>146262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10</v>
      </c>
      <c r="BC30" s="1">
        <v>2917172</v>
      </c>
      <c r="BD30" t="s">
        <v>74</v>
      </c>
      <c r="BE30" t="s">
        <v>3897</v>
      </c>
      <c r="BF30" t="s">
        <v>3898</v>
      </c>
      <c r="BH30" t="s">
        <v>77</v>
      </c>
      <c r="BI30" t="s">
        <v>129</v>
      </c>
      <c r="BJ30" t="s">
        <v>79</v>
      </c>
      <c r="BM30">
        <v>0</v>
      </c>
      <c r="BN30">
        <v>2</v>
      </c>
      <c r="BO30">
        <v>2</v>
      </c>
      <c r="BP30" t="s">
        <v>80</v>
      </c>
      <c r="BR30">
        <v>0</v>
      </c>
      <c r="BS30">
        <v>6</v>
      </c>
      <c r="BU30" s="1">
        <v>1604848</v>
      </c>
    </row>
    <row r="31" spans="1:73" x14ac:dyDescent="0.3">
      <c r="A31" t="s">
        <v>1818</v>
      </c>
      <c r="B31">
        <v>0</v>
      </c>
      <c r="C31" s="1">
        <v>0</v>
      </c>
      <c r="D31" s="1">
        <v>4</v>
      </c>
      <c r="E31" s="1">
        <v>3161287</v>
      </c>
      <c r="F31" s="1">
        <v>0</v>
      </c>
      <c r="G31" s="1">
        <v>0</v>
      </c>
      <c r="H31" s="1">
        <v>6</v>
      </c>
      <c r="I31" s="1">
        <v>326212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9</v>
      </c>
      <c r="BC31" s="1">
        <v>6344393</v>
      </c>
      <c r="BD31" t="s">
        <v>74</v>
      </c>
      <c r="BE31" t="s">
        <v>1819</v>
      </c>
      <c r="BF31" t="s">
        <v>1820</v>
      </c>
      <c r="BH31" t="s">
        <v>77</v>
      </c>
      <c r="BI31" t="s">
        <v>129</v>
      </c>
      <c r="BJ31" t="s">
        <v>79</v>
      </c>
      <c r="BM31">
        <v>0</v>
      </c>
      <c r="BN31">
        <v>2</v>
      </c>
      <c r="BO31">
        <v>2</v>
      </c>
      <c r="BP31" t="s">
        <v>80</v>
      </c>
      <c r="BR31">
        <v>0</v>
      </c>
      <c r="BS31">
        <v>6</v>
      </c>
      <c r="BU31" s="1">
        <v>3487499</v>
      </c>
    </row>
    <row r="32" spans="1:73" x14ac:dyDescent="0.3">
      <c r="A32" t="s">
        <v>3364</v>
      </c>
      <c r="B32">
        <v>0</v>
      </c>
      <c r="C32" s="1">
        <v>0</v>
      </c>
      <c r="D32" s="1">
        <v>1</v>
      </c>
      <c r="E32" s="1">
        <v>35000</v>
      </c>
      <c r="F32" s="1">
        <v>0</v>
      </c>
      <c r="G32" s="1">
        <v>0</v>
      </c>
      <c r="H32" s="1">
        <v>8</v>
      </c>
      <c r="I32" s="1">
        <v>160000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10</v>
      </c>
      <c r="BC32" s="1">
        <v>230000</v>
      </c>
      <c r="BD32" t="s">
        <v>74</v>
      </c>
      <c r="BE32" t="s">
        <v>3365</v>
      </c>
      <c r="BF32" t="s">
        <v>3366</v>
      </c>
      <c r="BH32" t="s">
        <v>77</v>
      </c>
      <c r="BI32" t="s">
        <v>129</v>
      </c>
      <c r="BJ32" t="s">
        <v>79</v>
      </c>
      <c r="BM32">
        <v>0</v>
      </c>
      <c r="BN32">
        <v>2</v>
      </c>
      <c r="BO32">
        <v>2</v>
      </c>
      <c r="BP32" t="s">
        <v>80</v>
      </c>
      <c r="BR32">
        <v>0</v>
      </c>
      <c r="BS32">
        <v>6</v>
      </c>
      <c r="BU32" s="1">
        <v>195000</v>
      </c>
    </row>
    <row r="33" spans="1:73" x14ac:dyDescent="0.3">
      <c r="A33" t="s">
        <v>302</v>
      </c>
      <c r="B33">
        <v>0</v>
      </c>
      <c r="C33" s="1">
        <v>0</v>
      </c>
      <c r="D33" s="1">
        <v>1</v>
      </c>
      <c r="E33" s="1">
        <v>700000</v>
      </c>
      <c r="F33" s="1">
        <v>0</v>
      </c>
      <c r="G33" s="1">
        <v>0</v>
      </c>
      <c r="H33" s="1">
        <v>6</v>
      </c>
      <c r="I33" s="1">
        <v>120000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59255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1">
        <v>27713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13</v>
      </c>
      <c r="BC33" s="1">
        <v>2452364</v>
      </c>
      <c r="BD33" t="s">
        <v>74</v>
      </c>
      <c r="BE33" t="s">
        <v>303</v>
      </c>
      <c r="BF33" t="s">
        <v>304</v>
      </c>
      <c r="BH33" t="s">
        <v>77</v>
      </c>
      <c r="BI33" t="s">
        <v>129</v>
      </c>
      <c r="BJ33" t="s">
        <v>79</v>
      </c>
      <c r="BM33">
        <v>2</v>
      </c>
      <c r="BN33">
        <v>2</v>
      </c>
      <c r="BO33">
        <v>4</v>
      </c>
      <c r="BP33" t="s">
        <v>80</v>
      </c>
      <c r="BR33">
        <v>0</v>
      </c>
      <c r="BS33">
        <v>6</v>
      </c>
      <c r="BU33" s="1">
        <v>906968</v>
      </c>
    </row>
    <row r="34" spans="1:73" x14ac:dyDescent="0.3">
      <c r="A34" t="s">
        <v>233</v>
      </c>
      <c r="B34">
        <v>0</v>
      </c>
      <c r="C34" s="1">
        <v>0</v>
      </c>
      <c r="D34" s="1">
        <v>34</v>
      </c>
      <c r="E34" s="1">
        <v>29490088</v>
      </c>
      <c r="F34" s="1">
        <v>0</v>
      </c>
      <c r="G34" s="1">
        <v>0</v>
      </c>
      <c r="H34" s="1">
        <v>54</v>
      </c>
      <c r="I34" s="1">
        <v>1572806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85</v>
      </c>
      <c r="BC34" s="1">
        <v>47038324</v>
      </c>
      <c r="BD34" t="s">
        <v>74</v>
      </c>
      <c r="BE34" t="s">
        <v>234</v>
      </c>
      <c r="BF34" t="s">
        <v>235</v>
      </c>
      <c r="BH34" t="s">
        <v>77</v>
      </c>
      <c r="BI34" t="s">
        <v>129</v>
      </c>
      <c r="BJ34" t="s">
        <v>79</v>
      </c>
      <c r="BM34">
        <v>0</v>
      </c>
      <c r="BN34">
        <v>2</v>
      </c>
      <c r="BO34">
        <v>2</v>
      </c>
      <c r="BP34" t="s">
        <v>80</v>
      </c>
      <c r="BR34">
        <v>0</v>
      </c>
      <c r="BS34">
        <v>3</v>
      </c>
      <c r="BU34" s="1">
        <v>31062894</v>
      </c>
    </row>
    <row r="35" spans="1:73" x14ac:dyDescent="0.3">
      <c r="A35" t="s">
        <v>755</v>
      </c>
      <c r="B35">
        <v>0</v>
      </c>
      <c r="C35" s="1">
        <v>0</v>
      </c>
      <c r="D35" s="1">
        <v>5</v>
      </c>
      <c r="E35" s="1">
        <v>630000</v>
      </c>
      <c r="F35" s="1">
        <v>0</v>
      </c>
      <c r="G35" s="1">
        <v>0</v>
      </c>
      <c r="H35" s="1">
        <v>6</v>
      </c>
      <c r="I35" s="1">
        <v>120000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10</v>
      </c>
      <c r="BC35" s="1">
        <v>1260000</v>
      </c>
      <c r="BD35" t="s">
        <v>74</v>
      </c>
      <c r="BE35" t="s">
        <v>756</v>
      </c>
      <c r="BF35" t="s">
        <v>757</v>
      </c>
      <c r="BH35" t="s">
        <v>77</v>
      </c>
      <c r="BI35" t="s">
        <v>129</v>
      </c>
      <c r="BJ35" t="s">
        <v>79</v>
      </c>
      <c r="BM35">
        <v>0</v>
      </c>
      <c r="BN35">
        <v>2</v>
      </c>
      <c r="BO35">
        <v>2</v>
      </c>
      <c r="BP35" t="s">
        <v>80</v>
      </c>
      <c r="BR35">
        <v>0</v>
      </c>
      <c r="BS35">
        <v>6</v>
      </c>
      <c r="BU35" s="1">
        <v>750000</v>
      </c>
    </row>
    <row r="36" spans="1:73" x14ac:dyDescent="0.3">
      <c r="A36" t="s">
        <v>1572</v>
      </c>
      <c r="B36">
        <v>2</v>
      </c>
      <c r="C36" s="1">
        <v>301910</v>
      </c>
      <c r="D36" s="1">
        <v>7</v>
      </c>
      <c r="E36" s="1">
        <v>4282703</v>
      </c>
      <c r="F36" s="1">
        <v>0</v>
      </c>
      <c r="G36" s="1">
        <v>0</v>
      </c>
      <c r="H36" s="1">
        <v>10</v>
      </c>
      <c r="I36" s="1">
        <v>245406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16</v>
      </c>
      <c r="BC36" s="1">
        <v>8867316</v>
      </c>
      <c r="BD36" t="s">
        <v>74</v>
      </c>
      <c r="BE36" t="s">
        <v>1573</v>
      </c>
      <c r="BF36" t="s">
        <v>1574</v>
      </c>
      <c r="BH36" t="s">
        <v>136</v>
      </c>
      <c r="BI36" t="s">
        <v>191</v>
      </c>
      <c r="BJ36" t="s">
        <v>125</v>
      </c>
      <c r="BM36">
        <v>0</v>
      </c>
      <c r="BN36">
        <v>3</v>
      </c>
      <c r="BO36">
        <v>3</v>
      </c>
      <c r="BP36" t="s">
        <v>80</v>
      </c>
      <c r="BR36">
        <v>0</v>
      </c>
      <c r="BS36">
        <v>6</v>
      </c>
      <c r="BU36" s="1">
        <v>4830019</v>
      </c>
    </row>
    <row r="37" spans="1:73" x14ac:dyDescent="0.3">
      <c r="A37" t="s">
        <v>1851</v>
      </c>
      <c r="B37">
        <v>0</v>
      </c>
      <c r="C37" s="1">
        <v>0</v>
      </c>
      <c r="D37" s="1">
        <v>5</v>
      </c>
      <c r="E37" s="1">
        <v>136824</v>
      </c>
      <c r="F37" s="1">
        <v>0</v>
      </c>
      <c r="G37" s="1">
        <v>0</v>
      </c>
      <c r="H37" s="1">
        <v>8</v>
      </c>
      <c r="I37" s="1">
        <v>225648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</v>
      </c>
      <c r="Z37" s="1">
        <v>513105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2795000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16</v>
      </c>
      <c r="BC37" s="1">
        <v>4369144</v>
      </c>
      <c r="BD37" t="s">
        <v>74</v>
      </c>
      <c r="BE37" t="s">
        <v>1852</v>
      </c>
      <c r="BF37" t="s">
        <v>1853</v>
      </c>
      <c r="BH37" t="s">
        <v>77</v>
      </c>
      <c r="BI37" t="s">
        <v>129</v>
      </c>
      <c r="BJ37" t="s">
        <v>79</v>
      </c>
      <c r="BM37">
        <v>2</v>
      </c>
      <c r="BN37">
        <v>2</v>
      </c>
      <c r="BO37">
        <v>4</v>
      </c>
      <c r="BP37" t="s">
        <v>80</v>
      </c>
      <c r="BR37">
        <v>0</v>
      </c>
      <c r="BS37">
        <v>6</v>
      </c>
      <c r="BU37" s="1">
        <v>3670577</v>
      </c>
    </row>
    <row r="38" spans="1:73" x14ac:dyDescent="0.3">
      <c r="A38" t="s">
        <v>5963</v>
      </c>
      <c r="B38">
        <v>0</v>
      </c>
      <c r="C38" s="1">
        <v>0</v>
      </c>
      <c r="D38" s="1">
        <v>2</v>
      </c>
      <c r="E38" s="1">
        <v>778182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4</v>
      </c>
      <c r="BC38" s="1">
        <v>1556364</v>
      </c>
      <c r="BD38" t="s">
        <v>74</v>
      </c>
      <c r="BE38" t="s">
        <v>5964</v>
      </c>
      <c r="BF38" t="s">
        <v>5965</v>
      </c>
      <c r="BH38" t="s">
        <v>77</v>
      </c>
      <c r="BI38" t="s">
        <v>129</v>
      </c>
      <c r="BJ38" t="s">
        <v>79</v>
      </c>
      <c r="BM38">
        <v>0</v>
      </c>
      <c r="BN38">
        <v>1</v>
      </c>
      <c r="BO38">
        <v>1</v>
      </c>
      <c r="BP38" t="s">
        <v>80</v>
      </c>
      <c r="BR38">
        <v>0</v>
      </c>
      <c r="BS38">
        <v>6</v>
      </c>
      <c r="BU38" s="1">
        <v>778182</v>
      </c>
    </row>
    <row r="39" spans="1:73" x14ac:dyDescent="0.3">
      <c r="A39" t="s">
        <v>597</v>
      </c>
      <c r="B39">
        <v>0</v>
      </c>
      <c r="C39" s="1">
        <v>0</v>
      </c>
      <c r="D39" s="1">
        <v>3</v>
      </c>
      <c r="E39" s="1">
        <v>1485246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5</v>
      </c>
      <c r="BC39" s="1">
        <v>2538492</v>
      </c>
      <c r="BD39" t="s">
        <v>74</v>
      </c>
      <c r="BE39" t="s">
        <v>598</v>
      </c>
      <c r="BF39" t="s">
        <v>599</v>
      </c>
      <c r="BH39" t="s">
        <v>600</v>
      </c>
      <c r="BI39" t="s">
        <v>601</v>
      </c>
      <c r="BJ39" t="s">
        <v>125</v>
      </c>
      <c r="BM39">
        <v>0</v>
      </c>
      <c r="BN39">
        <v>1</v>
      </c>
      <c r="BO39">
        <v>1</v>
      </c>
      <c r="BP39" t="s">
        <v>80</v>
      </c>
      <c r="BR39">
        <v>0</v>
      </c>
      <c r="BS39">
        <v>6</v>
      </c>
      <c r="BU39" s="1">
        <v>1485246</v>
      </c>
    </row>
    <row r="40" spans="1:73" x14ac:dyDescent="0.3">
      <c r="A40" t="s">
        <v>571</v>
      </c>
      <c r="B40">
        <v>0</v>
      </c>
      <c r="C40" s="1">
        <v>1654546</v>
      </c>
      <c r="D40" s="1">
        <v>3</v>
      </c>
      <c r="E40" s="1">
        <v>1808052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7</v>
      </c>
      <c r="BC40" s="1">
        <v>6284936</v>
      </c>
      <c r="BD40" t="s">
        <v>74</v>
      </c>
      <c r="BE40" t="s">
        <v>572</v>
      </c>
      <c r="BF40" t="s">
        <v>573</v>
      </c>
      <c r="BH40" t="s">
        <v>77</v>
      </c>
      <c r="BI40" t="s">
        <v>574</v>
      </c>
      <c r="BJ40" t="s">
        <v>79</v>
      </c>
      <c r="BM40">
        <v>0</v>
      </c>
      <c r="BN40">
        <v>1</v>
      </c>
      <c r="BO40">
        <v>1</v>
      </c>
      <c r="BP40" t="s">
        <v>80</v>
      </c>
      <c r="BR40">
        <v>0</v>
      </c>
      <c r="BS40">
        <v>6</v>
      </c>
      <c r="BU40" s="1">
        <v>3462598</v>
      </c>
    </row>
    <row r="41" spans="1:73" x14ac:dyDescent="0.3">
      <c r="A41" t="s">
        <v>4042</v>
      </c>
      <c r="B41">
        <v>5</v>
      </c>
      <c r="C41" s="1">
        <v>715848</v>
      </c>
      <c r="D41" s="1">
        <v>5</v>
      </c>
      <c r="E41" s="1">
        <v>2246364</v>
      </c>
      <c r="F41" s="1">
        <v>0</v>
      </c>
      <c r="G41" s="1">
        <v>0</v>
      </c>
      <c r="H41" s="1">
        <v>6</v>
      </c>
      <c r="I41" s="1">
        <v>172728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14</v>
      </c>
      <c r="BC41" s="1">
        <v>4128576</v>
      </c>
      <c r="BD41" t="s">
        <v>74</v>
      </c>
      <c r="BE41" t="s">
        <v>4043</v>
      </c>
      <c r="BF41" t="s">
        <v>4044</v>
      </c>
      <c r="BH41" t="s">
        <v>136</v>
      </c>
      <c r="BI41" t="s">
        <v>191</v>
      </c>
      <c r="BJ41" t="s">
        <v>125</v>
      </c>
      <c r="BM41">
        <v>0</v>
      </c>
      <c r="BN41">
        <v>3</v>
      </c>
      <c r="BO41">
        <v>3</v>
      </c>
      <c r="BP41" t="s">
        <v>80</v>
      </c>
      <c r="BR41">
        <v>0</v>
      </c>
      <c r="BS41">
        <v>6</v>
      </c>
      <c r="BU41" s="1">
        <v>3134940</v>
      </c>
    </row>
    <row r="42" spans="1:73" x14ac:dyDescent="0.3">
      <c r="A42" t="s">
        <v>3928</v>
      </c>
      <c r="B42">
        <v>0</v>
      </c>
      <c r="C42" s="1">
        <v>0</v>
      </c>
      <c r="D42" s="1">
        <v>2</v>
      </c>
      <c r="E42" s="1">
        <v>2270000</v>
      </c>
      <c r="F42" s="1">
        <v>0</v>
      </c>
      <c r="G42" s="1">
        <v>0</v>
      </c>
      <c r="H42" s="1">
        <v>2</v>
      </c>
      <c r="I42" s="1">
        <v>40000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4</v>
      </c>
      <c r="BC42" s="1">
        <v>4540000</v>
      </c>
      <c r="BD42" t="s">
        <v>74</v>
      </c>
      <c r="BE42" t="s">
        <v>3929</v>
      </c>
      <c r="BF42" t="s">
        <v>3930</v>
      </c>
      <c r="BH42" t="s">
        <v>77</v>
      </c>
      <c r="BI42" t="s">
        <v>129</v>
      </c>
      <c r="BJ42" t="s">
        <v>79</v>
      </c>
      <c r="BM42">
        <v>0</v>
      </c>
      <c r="BN42">
        <v>2</v>
      </c>
      <c r="BO42">
        <v>2</v>
      </c>
      <c r="BP42" t="s">
        <v>80</v>
      </c>
      <c r="BR42">
        <v>0</v>
      </c>
      <c r="BS42">
        <v>6</v>
      </c>
      <c r="BU42" s="1">
        <v>2310000</v>
      </c>
    </row>
    <row r="43" spans="1:73" x14ac:dyDescent="0.3">
      <c r="A43" t="s">
        <v>4636</v>
      </c>
      <c r="B43">
        <v>0</v>
      </c>
      <c r="C43" s="1">
        <v>0</v>
      </c>
      <c r="D43" s="1">
        <v>4</v>
      </c>
      <c r="E43" s="1">
        <v>2103382</v>
      </c>
      <c r="F43" s="1">
        <v>0</v>
      </c>
      <c r="G43" s="1">
        <v>0</v>
      </c>
      <c r="H43" s="1">
        <v>6</v>
      </c>
      <c r="I43" s="1">
        <v>206764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8</v>
      </c>
      <c r="BC43" s="1">
        <v>4206764</v>
      </c>
      <c r="BD43" t="s">
        <v>74</v>
      </c>
      <c r="BE43" t="s">
        <v>4637</v>
      </c>
      <c r="BF43" t="s">
        <v>4638</v>
      </c>
      <c r="BH43" t="s">
        <v>77</v>
      </c>
      <c r="BI43" t="s">
        <v>129</v>
      </c>
      <c r="BJ43" t="s">
        <v>79</v>
      </c>
      <c r="BM43">
        <v>0</v>
      </c>
      <c r="BN43">
        <v>2</v>
      </c>
      <c r="BO43">
        <v>2</v>
      </c>
      <c r="BP43" t="s">
        <v>80</v>
      </c>
      <c r="BR43">
        <v>0</v>
      </c>
      <c r="BS43">
        <v>6</v>
      </c>
      <c r="BU43" s="1">
        <v>2310146</v>
      </c>
    </row>
    <row r="44" spans="1:73" x14ac:dyDescent="0.3">
      <c r="A44" t="s">
        <v>5418</v>
      </c>
      <c r="B44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2</v>
      </c>
      <c r="I44" s="1">
        <v>61709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2</v>
      </c>
      <c r="BC44" s="1">
        <v>61709</v>
      </c>
      <c r="BD44" t="s">
        <v>74</v>
      </c>
      <c r="BE44" t="s">
        <v>5419</v>
      </c>
      <c r="BF44" t="s">
        <v>5420</v>
      </c>
      <c r="BH44" t="s">
        <v>77</v>
      </c>
      <c r="BI44" t="s">
        <v>129</v>
      </c>
      <c r="BJ44" t="s">
        <v>79</v>
      </c>
      <c r="BM44">
        <v>0</v>
      </c>
      <c r="BN44">
        <v>1</v>
      </c>
      <c r="BO44">
        <v>1</v>
      </c>
      <c r="BP44" t="s">
        <v>80</v>
      </c>
      <c r="BR44">
        <v>0</v>
      </c>
      <c r="BS44">
        <v>6</v>
      </c>
      <c r="BU44" s="1">
        <v>61709</v>
      </c>
    </row>
    <row r="45" spans="1:73" x14ac:dyDescent="0.3">
      <c r="A45" t="s">
        <v>5522</v>
      </c>
      <c r="B45">
        <v>0</v>
      </c>
      <c r="C45" s="1">
        <v>0</v>
      </c>
      <c r="D45" s="1">
        <v>6</v>
      </c>
      <c r="E45" s="1">
        <v>3870910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6</v>
      </c>
      <c r="BC45" s="1">
        <v>3870910</v>
      </c>
      <c r="BD45" t="s">
        <v>74</v>
      </c>
      <c r="BE45" t="s">
        <v>5523</v>
      </c>
      <c r="BF45" t="s">
        <v>5524</v>
      </c>
      <c r="BH45" t="s">
        <v>114</v>
      </c>
      <c r="BI45" t="s">
        <v>221</v>
      </c>
      <c r="BJ45" t="s">
        <v>79</v>
      </c>
      <c r="BM45">
        <v>0</v>
      </c>
      <c r="BN45">
        <v>1</v>
      </c>
      <c r="BO45">
        <v>1</v>
      </c>
      <c r="BP45" t="s">
        <v>80</v>
      </c>
      <c r="BR45">
        <v>0</v>
      </c>
      <c r="BS45">
        <v>6</v>
      </c>
      <c r="BU45" s="1">
        <v>3870910</v>
      </c>
    </row>
    <row r="46" spans="1:73" x14ac:dyDescent="0.3">
      <c r="A46" t="s">
        <v>5758</v>
      </c>
      <c r="B46">
        <v>0</v>
      </c>
      <c r="C46" s="1">
        <v>0</v>
      </c>
      <c r="D46" s="1">
        <v>4</v>
      </c>
      <c r="E46" s="1">
        <v>4866263</v>
      </c>
      <c r="F46" s="1">
        <v>0</v>
      </c>
      <c r="G46" s="1">
        <v>0</v>
      </c>
      <c r="H46" s="1">
        <v>2</v>
      </c>
      <c r="I46" s="1">
        <v>75382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7</v>
      </c>
      <c r="BC46" s="1">
        <v>8332526</v>
      </c>
      <c r="BD46" t="s">
        <v>74</v>
      </c>
      <c r="BE46" t="s">
        <v>5759</v>
      </c>
      <c r="BF46" t="s">
        <v>5760</v>
      </c>
      <c r="BH46" t="s">
        <v>77</v>
      </c>
      <c r="BI46" t="s">
        <v>129</v>
      </c>
      <c r="BJ46" t="s">
        <v>79</v>
      </c>
      <c r="BM46">
        <v>0</v>
      </c>
      <c r="BN46">
        <v>2</v>
      </c>
      <c r="BO46">
        <v>2</v>
      </c>
      <c r="BP46" t="s">
        <v>80</v>
      </c>
      <c r="BR46">
        <v>0</v>
      </c>
      <c r="BS46">
        <v>6</v>
      </c>
      <c r="BU46" s="1">
        <v>4941645</v>
      </c>
    </row>
    <row r="47" spans="1:73" x14ac:dyDescent="0.3">
      <c r="A47" t="s">
        <v>867</v>
      </c>
      <c r="B47">
        <v>0</v>
      </c>
      <c r="C47" s="1">
        <v>0</v>
      </c>
      <c r="D47" s="1">
        <v>3</v>
      </c>
      <c r="E47" s="1">
        <v>2240000</v>
      </c>
      <c r="F47" s="1">
        <v>0</v>
      </c>
      <c r="G47" s="1">
        <v>0</v>
      </c>
      <c r="H47" s="1">
        <v>4</v>
      </c>
      <c r="I47" s="1">
        <v>80000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6</v>
      </c>
      <c r="BC47" s="1">
        <v>4480000</v>
      </c>
      <c r="BD47" t="s">
        <v>74</v>
      </c>
      <c r="BE47" t="s">
        <v>868</v>
      </c>
      <c r="BF47" t="s">
        <v>869</v>
      </c>
      <c r="BH47" t="s">
        <v>77</v>
      </c>
      <c r="BI47" t="s">
        <v>129</v>
      </c>
      <c r="BJ47" t="s">
        <v>79</v>
      </c>
      <c r="BM47">
        <v>0</v>
      </c>
      <c r="BN47">
        <v>2</v>
      </c>
      <c r="BO47">
        <v>2</v>
      </c>
      <c r="BP47" t="s">
        <v>80</v>
      </c>
      <c r="BR47">
        <v>0</v>
      </c>
      <c r="BS47">
        <v>6</v>
      </c>
      <c r="BU47" s="1">
        <v>2320000</v>
      </c>
    </row>
    <row r="48" spans="1:73" x14ac:dyDescent="0.3">
      <c r="A48" t="s">
        <v>3934</v>
      </c>
      <c r="B48">
        <v>0</v>
      </c>
      <c r="C48" s="1">
        <v>0</v>
      </c>
      <c r="D48" s="1">
        <v>5</v>
      </c>
      <c r="E48" s="1">
        <v>242002</v>
      </c>
      <c r="F48" s="1">
        <v>0</v>
      </c>
      <c r="G48" s="1">
        <v>0</v>
      </c>
      <c r="H48" s="1">
        <v>8</v>
      </c>
      <c r="I48" s="1">
        <v>203486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10</v>
      </c>
      <c r="BC48" s="1">
        <v>484004</v>
      </c>
      <c r="BD48" t="s">
        <v>74</v>
      </c>
      <c r="BE48" t="s">
        <v>3935</v>
      </c>
      <c r="BF48" t="s">
        <v>3936</v>
      </c>
      <c r="BH48" t="s">
        <v>77</v>
      </c>
      <c r="BI48" t="s">
        <v>129</v>
      </c>
      <c r="BJ48" t="s">
        <v>79</v>
      </c>
      <c r="BM48">
        <v>0</v>
      </c>
      <c r="BN48">
        <v>2</v>
      </c>
      <c r="BO48">
        <v>2</v>
      </c>
      <c r="BP48" t="s">
        <v>80</v>
      </c>
      <c r="BR48">
        <v>0</v>
      </c>
      <c r="BS48">
        <v>6</v>
      </c>
      <c r="BU48" s="1">
        <v>445488</v>
      </c>
    </row>
    <row r="49" spans="1:73" x14ac:dyDescent="0.3">
      <c r="A49" t="s">
        <v>3785</v>
      </c>
      <c r="B49">
        <v>3</v>
      </c>
      <c r="C49" s="1">
        <v>575995</v>
      </c>
      <c r="D49" s="1">
        <v>3</v>
      </c>
      <c r="E49" s="1">
        <v>1840000</v>
      </c>
      <c r="F49" s="1">
        <v>0</v>
      </c>
      <c r="G49" s="1">
        <v>0</v>
      </c>
      <c r="H49" s="1">
        <v>4</v>
      </c>
      <c r="I49" s="1">
        <v>80000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9</v>
      </c>
      <c r="BC49" s="1">
        <v>4255995</v>
      </c>
      <c r="BD49" t="s">
        <v>74</v>
      </c>
      <c r="BE49" t="s">
        <v>3786</v>
      </c>
      <c r="BF49" t="s">
        <v>3787</v>
      </c>
      <c r="BH49" t="s">
        <v>77</v>
      </c>
      <c r="BI49" t="s">
        <v>129</v>
      </c>
      <c r="BJ49" t="s">
        <v>79</v>
      </c>
      <c r="BM49">
        <v>0</v>
      </c>
      <c r="BN49">
        <v>3</v>
      </c>
      <c r="BO49">
        <v>3</v>
      </c>
      <c r="BP49" t="s">
        <v>80</v>
      </c>
      <c r="BR49">
        <v>0</v>
      </c>
      <c r="BS49">
        <v>6</v>
      </c>
      <c r="BU49" s="1">
        <v>2495995</v>
      </c>
    </row>
    <row r="50" spans="1:73" x14ac:dyDescent="0.3">
      <c r="A50" t="s">
        <v>4307</v>
      </c>
      <c r="B50">
        <v>0</v>
      </c>
      <c r="C50" s="1">
        <v>0</v>
      </c>
      <c r="D50" s="1">
        <v>4</v>
      </c>
      <c r="E50" s="1">
        <v>278199</v>
      </c>
      <c r="F50" s="1">
        <v>0</v>
      </c>
      <c r="G50" s="1">
        <v>0</v>
      </c>
      <c r="H50" s="1">
        <v>6</v>
      </c>
      <c r="I50" s="1">
        <v>220398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8</v>
      </c>
      <c r="BC50" s="1">
        <v>556398</v>
      </c>
      <c r="BD50" t="s">
        <v>74</v>
      </c>
      <c r="BE50" t="s">
        <v>4308</v>
      </c>
      <c r="BF50" t="s">
        <v>4309</v>
      </c>
      <c r="BH50" t="s">
        <v>77</v>
      </c>
      <c r="BI50" t="s">
        <v>129</v>
      </c>
      <c r="BJ50" t="s">
        <v>79</v>
      </c>
      <c r="BM50">
        <v>0</v>
      </c>
      <c r="BN50">
        <v>2</v>
      </c>
      <c r="BO50">
        <v>2</v>
      </c>
      <c r="BP50" t="s">
        <v>80</v>
      </c>
      <c r="BR50">
        <v>0</v>
      </c>
      <c r="BS50">
        <v>6</v>
      </c>
      <c r="BU50" s="1">
        <v>498597</v>
      </c>
    </row>
    <row r="51" spans="1:73" x14ac:dyDescent="0.3">
      <c r="A51" t="s">
        <v>5915</v>
      </c>
      <c r="B51">
        <v>0</v>
      </c>
      <c r="C51" s="1">
        <v>0</v>
      </c>
      <c r="D51" s="1">
        <v>3</v>
      </c>
      <c r="E51" s="1">
        <v>811428</v>
      </c>
      <c r="F51" s="1">
        <v>0</v>
      </c>
      <c r="G51" s="1">
        <v>0</v>
      </c>
      <c r="H51" s="1">
        <v>4</v>
      </c>
      <c r="I51" s="1">
        <v>80000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6</v>
      </c>
      <c r="BC51" s="1">
        <v>1622856</v>
      </c>
      <c r="BD51" t="s">
        <v>74</v>
      </c>
      <c r="BE51" t="s">
        <v>5916</v>
      </c>
      <c r="BF51" t="s">
        <v>5917</v>
      </c>
      <c r="BH51" t="s">
        <v>136</v>
      </c>
      <c r="BI51" t="s">
        <v>191</v>
      </c>
      <c r="BJ51" t="s">
        <v>125</v>
      </c>
      <c r="BM51">
        <v>0</v>
      </c>
      <c r="BN51">
        <v>2</v>
      </c>
      <c r="BO51">
        <v>2</v>
      </c>
      <c r="BP51" t="s">
        <v>80</v>
      </c>
      <c r="BR51">
        <v>0</v>
      </c>
      <c r="BS51">
        <v>6</v>
      </c>
      <c r="BU51" s="1">
        <v>891428</v>
      </c>
    </row>
    <row r="52" spans="1:73" x14ac:dyDescent="0.3">
      <c r="A52" t="s">
        <v>5906</v>
      </c>
      <c r="B52">
        <v>0</v>
      </c>
      <c r="C52" s="1">
        <v>0</v>
      </c>
      <c r="D52" s="1">
        <v>1</v>
      </c>
      <c r="E52" s="1">
        <v>2700000</v>
      </c>
      <c r="F52" s="1">
        <v>0</v>
      </c>
      <c r="G52" s="1">
        <v>0</v>
      </c>
      <c r="H52" s="1">
        <v>2</v>
      </c>
      <c r="I52" s="1">
        <v>195786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3</v>
      </c>
      <c r="BC52" s="1">
        <v>2895786</v>
      </c>
      <c r="BD52" t="s">
        <v>74</v>
      </c>
      <c r="BE52" t="s">
        <v>5907</v>
      </c>
      <c r="BF52" t="s">
        <v>5908</v>
      </c>
      <c r="BH52" t="s">
        <v>77</v>
      </c>
      <c r="BI52" t="s">
        <v>129</v>
      </c>
      <c r="BJ52" t="s">
        <v>79</v>
      </c>
      <c r="BM52">
        <v>0</v>
      </c>
      <c r="BN52">
        <v>2</v>
      </c>
      <c r="BO52">
        <v>2</v>
      </c>
      <c r="BP52" t="s">
        <v>80</v>
      </c>
      <c r="BR52">
        <v>0</v>
      </c>
      <c r="BS52">
        <v>6</v>
      </c>
      <c r="BU52" s="1">
        <v>2895786</v>
      </c>
    </row>
    <row r="53" spans="1:73" x14ac:dyDescent="0.3">
      <c r="A53" t="s">
        <v>4732</v>
      </c>
      <c r="B53">
        <v>0</v>
      </c>
      <c r="C53" s="1">
        <v>0</v>
      </c>
      <c r="D53" s="1">
        <v>1</v>
      </c>
      <c r="E53" s="1">
        <v>2571429</v>
      </c>
      <c r="F53" s="1">
        <v>0</v>
      </c>
      <c r="G53" s="1">
        <v>0</v>
      </c>
      <c r="H53" s="1">
        <v>3</v>
      </c>
      <c r="I53" s="1">
        <v>70526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73535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5</v>
      </c>
      <c r="BC53" s="1">
        <v>2715490</v>
      </c>
      <c r="BD53" t="s">
        <v>74</v>
      </c>
      <c r="BE53" t="s">
        <v>4733</v>
      </c>
      <c r="BF53" t="s">
        <v>4734</v>
      </c>
      <c r="BH53" t="s">
        <v>77</v>
      </c>
      <c r="BI53" t="s">
        <v>129</v>
      </c>
      <c r="BJ53" t="s">
        <v>79</v>
      </c>
      <c r="BM53">
        <v>1</v>
      </c>
      <c r="BN53">
        <v>2</v>
      </c>
      <c r="BO53">
        <v>3</v>
      </c>
      <c r="BP53" t="s">
        <v>80</v>
      </c>
      <c r="BR53">
        <v>0</v>
      </c>
      <c r="BS53">
        <v>6</v>
      </c>
      <c r="BU53" s="1">
        <v>2715490</v>
      </c>
    </row>
    <row r="54" spans="1:73" x14ac:dyDescent="0.3">
      <c r="A54" t="s">
        <v>4804</v>
      </c>
      <c r="B54">
        <v>0</v>
      </c>
      <c r="C54" s="1">
        <v>0</v>
      </c>
      <c r="D54" s="1">
        <v>31</v>
      </c>
      <c r="E54" s="1">
        <v>5809110</v>
      </c>
      <c r="F54" s="1">
        <v>0</v>
      </c>
      <c r="G54" s="1">
        <v>0</v>
      </c>
      <c r="H54" s="1">
        <v>60</v>
      </c>
      <c r="I54" s="1">
        <v>818220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62</v>
      </c>
      <c r="BC54" s="1">
        <v>11618220</v>
      </c>
      <c r="BD54" t="s">
        <v>74</v>
      </c>
      <c r="BE54" t="s">
        <v>4805</v>
      </c>
      <c r="BF54" t="s">
        <v>4806</v>
      </c>
      <c r="BH54" t="s">
        <v>77</v>
      </c>
      <c r="BI54" t="s">
        <v>129</v>
      </c>
      <c r="BJ54" t="s">
        <v>79</v>
      </c>
      <c r="BM54">
        <v>0</v>
      </c>
      <c r="BN54">
        <v>2</v>
      </c>
      <c r="BO54">
        <v>2</v>
      </c>
      <c r="BP54" t="s">
        <v>80</v>
      </c>
      <c r="BR54">
        <v>0</v>
      </c>
      <c r="BS54">
        <v>5</v>
      </c>
      <c r="BU54" s="1">
        <v>6627330</v>
      </c>
    </row>
    <row r="55" spans="1:73" x14ac:dyDescent="0.3">
      <c r="A55" t="s">
        <v>1384</v>
      </c>
      <c r="B55">
        <v>0</v>
      </c>
      <c r="C55" s="1">
        <v>0</v>
      </c>
      <c r="D55" s="1">
        <v>4</v>
      </c>
      <c r="E55" s="1">
        <v>1223366</v>
      </c>
      <c r="F55" s="1">
        <v>0</v>
      </c>
      <c r="G55" s="1">
        <v>0</v>
      </c>
      <c r="H55" s="1">
        <v>6</v>
      </c>
      <c r="I55" s="1">
        <v>286732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8</v>
      </c>
      <c r="BC55" s="1">
        <v>2446732</v>
      </c>
      <c r="BD55" t="s">
        <v>74</v>
      </c>
      <c r="BE55" t="s">
        <v>1385</v>
      </c>
      <c r="BF55" t="s">
        <v>1386</v>
      </c>
      <c r="BH55" t="s">
        <v>77</v>
      </c>
      <c r="BI55" t="s">
        <v>129</v>
      </c>
      <c r="BJ55" t="s">
        <v>79</v>
      </c>
      <c r="BM55">
        <v>0</v>
      </c>
      <c r="BN55">
        <v>2</v>
      </c>
      <c r="BO55">
        <v>2</v>
      </c>
      <c r="BP55" t="s">
        <v>80</v>
      </c>
      <c r="BR55">
        <v>0</v>
      </c>
      <c r="BS55">
        <v>6</v>
      </c>
      <c r="BU55" s="1">
        <v>1510098</v>
      </c>
    </row>
    <row r="56" spans="1:73" x14ac:dyDescent="0.3">
      <c r="A56" t="s">
        <v>5708</v>
      </c>
      <c r="B56">
        <v>0</v>
      </c>
      <c r="C56" s="1">
        <v>592582</v>
      </c>
      <c r="D56" s="1">
        <v>5</v>
      </c>
      <c r="E56" s="1">
        <v>3806371</v>
      </c>
      <c r="F56" s="1">
        <v>0</v>
      </c>
      <c r="G56" s="1">
        <v>0</v>
      </c>
      <c r="H56" s="1">
        <v>6</v>
      </c>
      <c r="I56" s="1">
        <v>137832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78585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1</v>
      </c>
      <c r="AL56" s="1">
        <v>24243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12</v>
      </c>
      <c r="BC56" s="1">
        <v>8308152</v>
      </c>
      <c r="BD56" t="s">
        <v>74</v>
      </c>
      <c r="BE56" t="s">
        <v>5709</v>
      </c>
      <c r="BF56" t="s">
        <v>5710</v>
      </c>
      <c r="BH56" t="s">
        <v>77</v>
      </c>
      <c r="BI56" t="s">
        <v>129</v>
      </c>
      <c r="BJ56" t="s">
        <v>79</v>
      </c>
      <c r="BM56">
        <v>2</v>
      </c>
      <c r="BN56">
        <v>2</v>
      </c>
      <c r="BO56">
        <v>4</v>
      </c>
      <c r="BP56" t="s">
        <v>80</v>
      </c>
      <c r="BR56">
        <v>0</v>
      </c>
      <c r="BS56">
        <v>6</v>
      </c>
      <c r="BU56" s="1">
        <v>4639613</v>
      </c>
    </row>
    <row r="57" spans="1:73" x14ac:dyDescent="0.3">
      <c r="A57" t="s">
        <v>5646</v>
      </c>
      <c r="B57">
        <v>0</v>
      </c>
      <c r="C57" s="1">
        <v>0</v>
      </c>
      <c r="D57" s="1">
        <v>3</v>
      </c>
      <c r="E57" s="1">
        <v>137885</v>
      </c>
      <c r="F57" s="1">
        <v>0</v>
      </c>
      <c r="G57" s="1">
        <v>0</v>
      </c>
      <c r="H57" s="1">
        <v>4</v>
      </c>
      <c r="I57" s="1">
        <v>81484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6</v>
      </c>
      <c r="BC57" s="1">
        <v>17177827</v>
      </c>
      <c r="BD57" t="s">
        <v>74</v>
      </c>
      <c r="BE57" t="s">
        <v>5647</v>
      </c>
      <c r="BF57" t="s">
        <v>5648</v>
      </c>
      <c r="BH57" t="s">
        <v>77</v>
      </c>
      <c r="BI57" t="s">
        <v>129</v>
      </c>
      <c r="BJ57" t="s">
        <v>79</v>
      </c>
      <c r="BM57">
        <v>0</v>
      </c>
      <c r="BN57">
        <v>2</v>
      </c>
      <c r="BO57">
        <v>2</v>
      </c>
      <c r="BP57" t="s">
        <v>80</v>
      </c>
      <c r="BR57">
        <v>0</v>
      </c>
      <c r="BS57">
        <v>6</v>
      </c>
      <c r="BU57" s="1">
        <v>219369</v>
      </c>
    </row>
    <row r="58" spans="1:73" x14ac:dyDescent="0.3">
      <c r="A58" t="s">
        <v>4834</v>
      </c>
      <c r="B58">
        <v>0</v>
      </c>
      <c r="C58" s="1">
        <v>0</v>
      </c>
      <c r="D58" s="1">
        <v>4</v>
      </c>
      <c r="E58" s="1">
        <v>488571</v>
      </c>
      <c r="F58" s="1">
        <v>0</v>
      </c>
      <c r="G58" s="1">
        <v>0</v>
      </c>
      <c r="H58" s="1">
        <v>6</v>
      </c>
      <c r="I58" s="1">
        <v>120000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8</v>
      </c>
      <c r="BC58" s="1">
        <v>977142</v>
      </c>
      <c r="BD58" t="s">
        <v>74</v>
      </c>
      <c r="BE58" t="s">
        <v>4835</v>
      </c>
      <c r="BF58" t="s">
        <v>4836</v>
      </c>
      <c r="BH58" t="s">
        <v>136</v>
      </c>
      <c r="BI58" t="s">
        <v>191</v>
      </c>
      <c r="BJ58" t="s">
        <v>125</v>
      </c>
      <c r="BM58">
        <v>0</v>
      </c>
      <c r="BN58">
        <v>2</v>
      </c>
      <c r="BO58">
        <v>2</v>
      </c>
      <c r="BP58" t="s">
        <v>80</v>
      </c>
      <c r="BR58">
        <v>0</v>
      </c>
      <c r="BS58">
        <v>6</v>
      </c>
      <c r="BU58" s="1">
        <v>608571</v>
      </c>
    </row>
    <row r="59" spans="1:73" s="5" customFormat="1" x14ac:dyDescent="0.3">
      <c r="A59" s="5" t="s">
        <v>166</v>
      </c>
      <c r="B59" s="5">
        <v>1</v>
      </c>
      <c r="C59" s="6">
        <v>474545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1</v>
      </c>
      <c r="Z59" s="6">
        <v>73535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2</v>
      </c>
      <c r="BC59" s="6">
        <v>548080</v>
      </c>
      <c r="BD59" s="5" t="s">
        <v>74</v>
      </c>
      <c r="BE59" s="5" t="s">
        <v>167</v>
      </c>
      <c r="BF59" s="5" t="s">
        <v>168</v>
      </c>
      <c r="BH59" s="5" t="s">
        <v>77</v>
      </c>
      <c r="BI59" s="5" t="s">
        <v>129</v>
      </c>
      <c r="BJ59" s="5" t="s">
        <v>79</v>
      </c>
      <c r="BM59" s="5">
        <v>1</v>
      </c>
      <c r="BN59" s="5">
        <v>1</v>
      </c>
      <c r="BO59" s="5">
        <v>2</v>
      </c>
      <c r="BP59" s="5" t="s">
        <v>80</v>
      </c>
      <c r="BR59" s="5">
        <v>0</v>
      </c>
      <c r="BS59" s="5">
        <v>6</v>
      </c>
      <c r="BU59" s="6">
        <v>548080</v>
      </c>
    </row>
    <row r="60" spans="1:73" x14ac:dyDescent="0.3">
      <c r="A60" t="s">
        <v>1938</v>
      </c>
      <c r="B60">
        <v>0</v>
      </c>
      <c r="C60" s="1">
        <v>0</v>
      </c>
      <c r="D60" s="1">
        <v>6</v>
      </c>
      <c r="E60" s="1">
        <v>1932439</v>
      </c>
      <c r="F60" s="1">
        <v>0</v>
      </c>
      <c r="G60" s="1">
        <v>0</v>
      </c>
      <c r="H60" s="1">
        <v>10</v>
      </c>
      <c r="I60" s="1">
        <v>264878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13</v>
      </c>
      <c r="BC60" s="1">
        <v>4533449</v>
      </c>
      <c r="BD60" t="s">
        <v>74</v>
      </c>
      <c r="BE60" t="s">
        <v>1939</v>
      </c>
      <c r="BF60" t="s">
        <v>1940</v>
      </c>
      <c r="BH60" t="s">
        <v>77</v>
      </c>
      <c r="BI60" t="s">
        <v>129</v>
      </c>
      <c r="BJ60" t="s">
        <v>79</v>
      </c>
      <c r="BM60">
        <v>0</v>
      </c>
      <c r="BN60">
        <v>2</v>
      </c>
      <c r="BO60">
        <v>2</v>
      </c>
      <c r="BP60" t="s">
        <v>80</v>
      </c>
      <c r="BR60">
        <v>0</v>
      </c>
      <c r="BS60">
        <v>6</v>
      </c>
      <c r="BU60" s="1">
        <v>2197317</v>
      </c>
    </row>
    <row r="61" spans="1:73" x14ac:dyDescent="0.3">
      <c r="A61" t="s">
        <v>1143</v>
      </c>
      <c r="B6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6297000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6297000</v>
      </c>
      <c r="BD61" t="s">
        <v>74</v>
      </c>
      <c r="BE61" t="s">
        <v>1144</v>
      </c>
      <c r="BF61" t="s">
        <v>1145</v>
      </c>
      <c r="BH61" t="s">
        <v>77</v>
      </c>
      <c r="BI61" t="s">
        <v>129</v>
      </c>
      <c r="BJ61" t="s">
        <v>79</v>
      </c>
      <c r="BM61">
        <v>0</v>
      </c>
      <c r="BN61">
        <v>1</v>
      </c>
      <c r="BO61">
        <v>1</v>
      </c>
      <c r="BP61" t="s">
        <v>80</v>
      </c>
      <c r="BR61">
        <v>0</v>
      </c>
      <c r="BS61">
        <v>5</v>
      </c>
      <c r="BU61" s="1">
        <v>6297000</v>
      </c>
    </row>
    <row r="62" spans="1:73" x14ac:dyDescent="0.3">
      <c r="A62" t="s">
        <v>1750</v>
      </c>
      <c r="B62">
        <v>0</v>
      </c>
      <c r="C62" s="1">
        <v>0</v>
      </c>
      <c r="D62" s="1">
        <v>6</v>
      </c>
      <c r="E62" s="1">
        <v>1999786</v>
      </c>
      <c r="F62" s="1">
        <v>0</v>
      </c>
      <c r="G62" s="1">
        <v>0</v>
      </c>
      <c r="H62" s="1">
        <v>8</v>
      </c>
      <c r="I62" s="1">
        <v>199572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12</v>
      </c>
      <c r="BC62" s="1">
        <v>3999572</v>
      </c>
      <c r="BD62" t="s">
        <v>74</v>
      </c>
      <c r="BE62" t="s">
        <v>1751</v>
      </c>
      <c r="BF62" t="s">
        <v>1752</v>
      </c>
      <c r="BH62" t="s">
        <v>77</v>
      </c>
      <c r="BI62" t="s">
        <v>129</v>
      </c>
      <c r="BJ62" t="s">
        <v>79</v>
      </c>
      <c r="BM62">
        <v>0</v>
      </c>
      <c r="BN62">
        <v>2</v>
      </c>
      <c r="BO62">
        <v>2</v>
      </c>
      <c r="BP62" t="s">
        <v>80</v>
      </c>
      <c r="BR62">
        <v>0</v>
      </c>
      <c r="BS62">
        <v>6</v>
      </c>
      <c r="BU62" s="1">
        <v>2199358</v>
      </c>
    </row>
    <row r="63" spans="1:73" x14ac:dyDescent="0.3">
      <c r="A63" t="s">
        <v>2639</v>
      </c>
      <c r="B63">
        <v>5</v>
      </c>
      <c r="C63" s="1">
        <v>1663624</v>
      </c>
      <c r="D63" s="1">
        <v>15</v>
      </c>
      <c r="E63" s="1">
        <v>6933870</v>
      </c>
      <c r="F63" s="1">
        <v>0</v>
      </c>
      <c r="G63" s="1">
        <v>0</v>
      </c>
      <c r="H63" s="1">
        <v>19</v>
      </c>
      <c r="I63" s="1">
        <v>1068784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78585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45</v>
      </c>
      <c r="BC63" s="1">
        <v>22526649</v>
      </c>
      <c r="BD63" t="s">
        <v>74</v>
      </c>
      <c r="BE63" t="s">
        <v>2640</v>
      </c>
      <c r="BF63" t="s">
        <v>2641</v>
      </c>
      <c r="BH63" t="s">
        <v>136</v>
      </c>
      <c r="BI63" t="s">
        <v>191</v>
      </c>
      <c r="BJ63" t="s">
        <v>125</v>
      </c>
      <c r="BM63">
        <v>1</v>
      </c>
      <c r="BN63">
        <v>3</v>
      </c>
      <c r="BO63">
        <v>4</v>
      </c>
      <c r="BP63" t="s">
        <v>80</v>
      </c>
      <c r="BR63">
        <v>0</v>
      </c>
      <c r="BS63">
        <v>5</v>
      </c>
      <c r="BU63" s="1">
        <v>9744863</v>
      </c>
    </row>
    <row r="64" spans="1:73" x14ac:dyDescent="0.3">
      <c r="A64" t="s">
        <v>820</v>
      </c>
      <c r="B64">
        <v>0</v>
      </c>
      <c r="C64" s="1">
        <v>885818</v>
      </c>
      <c r="D64" s="1">
        <v>2</v>
      </c>
      <c r="E64" s="1">
        <v>663564</v>
      </c>
      <c r="F64" s="1">
        <v>0</v>
      </c>
      <c r="G64" s="1">
        <v>0</v>
      </c>
      <c r="H64" s="1">
        <v>3</v>
      </c>
      <c r="I64" s="1">
        <v>60000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</v>
      </c>
      <c r="BC64" s="1">
        <v>5472946</v>
      </c>
      <c r="BD64" t="s">
        <v>74</v>
      </c>
      <c r="BE64" t="s">
        <v>821</v>
      </c>
      <c r="BF64" t="s">
        <v>822</v>
      </c>
      <c r="BH64" t="s">
        <v>77</v>
      </c>
      <c r="BI64" t="s">
        <v>129</v>
      </c>
      <c r="BJ64" t="s">
        <v>79</v>
      </c>
      <c r="BM64">
        <v>0</v>
      </c>
      <c r="BN64">
        <v>2</v>
      </c>
      <c r="BO64">
        <v>2</v>
      </c>
      <c r="BP64" t="s">
        <v>99</v>
      </c>
      <c r="BR64">
        <v>0</v>
      </c>
      <c r="BS64">
        <v>6</v>
      </c>
      <c r="BU64" s="1">
        <v>1609382</v>
      </c>
    </row>
    <row r="65" spans="1:73" x14ac:dyDescent="0.3">
      <c r="A65" t="s">
        <v>4963</v>
      </c>
      <c r="B65">
        <v>0</v>
      </c>
      <c r="C65" s="1">
        <v>0</v>
      </c>
      <c r="D65" s="1">
        <v>2</v>
      </c>
      <c r="E65" s="1">
        <v>860000</v>
      </c>
      <c r="F65" s="1">
        <v>0</v>
      </c>
      <c r="G65" s="1">
        <v>0</v>
      </c>
      <c r="H65" s="1">
        <v>1</v>
      </c>
      <c r="I65" s="1">
        <v>20000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3</v>
      </c>
      <c r="BC65" s="1">
        <v>880000</v>
      </c>
      <c r="BD65" t="s">
        <v>74</v>
      </c>
      <c r="BE65" t="s">
        <v>4964</v>
      </c>
      <c r="BF65" t="s">
        <v>822</v>
      </c>
      <c r="BH65" t="s">
        <v>77</v>
      </c>
      <c r="BI65" t="s">
        <v>129</v>
      </c>
      <c r="BJ65" t="s">
        <v>79</v>
      </c>
      <c r="BM65">
        <v>0</v>
      </c>
      <c r="BN65">
        <v>2</v>
      </c>
      <c r="BO65">
        <v>2</v>
      </c>
      <c r="BP65" t="s">
        <v>80</v>
      </c>
      <c r="BR65">
        <v>0</v>
      </c>
      <c r="BS65">
        <v>6</v>
      </c>
      <c r="BU65" s="1">
        <v>880000</v>
      </c>
    </row>
    <row r="66" spans="1:73" x14ac:dyDescent="0.3">
      <c r="A66" t="s">
        <v>785</v>
      </c>
      <c r="B66">
        <v>2</v>
      </c>
      <c r="C66" s="1">
        <v>452726</v>
      </c>
      <c r="D66" s="1">
        <v>6</v>
      </c>
      <c r="E66" s="1">
        <v>2508203</v>
      </c>
      <c r="F66" s="1">
        <v>0</v>
      </c>
      <c r="G66" s="1">
        <v>0</v>
      </c>
      <c r="H66" s="1">
        <v>8</v>
      </c>
      <c r="I66" s="1">
        <v>446406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14</v>
      </c>
      <c r="BC66" s="1">
        <v>5469132</v>
      </c>
      <c r="BD66" t="s">
        <v>74</v>
      </c>
      <c r="BE66" t="s">
        <v>786</v>
      </c>
      <c r="BF66" t="s">
        <v>787</v>
      </c>
      <c r="BH66" t="s">
        <v>136</v>
      </c>
      <c r="BI66" t="s">
        <v>191</v>
      </c>
      <c r="BJ66" t="s">
        <v>125</v>
      </c>
      <c r="BM66">
        <v>0</v>
      </c>
      <c r="BN66">
        <v>3</v>
      </c>
      <c r="BO66">
        <v>3</v>
      </c>
      <c r="BP66" t="s">
        <v>80</v>
      </c>
      <c r="BR66">
        <v>0</v>
      </c>
      <c r="BS66">
        <v>6</v>
      </c>
      <c r="BU66" s="1">
        <v>3407335</v>
      </c>
    </row>
    <row r="67" spans="1:73" x14ac:dyDescent="0.3">
      <c r="A67" t="s">
        <v>1682</v>
      </c>
      <c r="B67">
        <v>0</v>
      </c>
      <c r="C67" s="1">
        <v>0</v>
      </c>
      <c r="D67" s="1">
        <v>11</v>
      </c>
      <c r="E67" s="1">
        <v>5362244</v>
      </c>
      <c r="F67" s="1">
        <v>0</v>
      </c>
      <c r="G67" s="1">
        <v>0</v>
      </c>
      <c r="H67" s="1">
        <v>20</v>
      </c>
      <c r="I67" s="1">
        <v>534488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2</v>
      </c>
      <c r="Z67" s="1">
        <v>152120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28</v>
      </c>
      <c r="BC67" s="1">
        <v>10956608</v>
      </c>
      <c r="BD67" t="s">
        <v>74</v>
      </c>
      <c r="BE67" t="s">
        <v>1683</v>
      </c>
      <c r="BF67" t="s">
        <v>787</v>
      </c>
      <c r="BH67" t="s">
        <v>77</v>
      </c>
      <c r="BI67" t="s">
        <v>129</v>
      </c>
      <c r="BJ67" t="s">
        <v>79</v>
      </c>
      <c r="BM67">
        <v>1</v>
      </c>
      <c r="BN67">
        <v>2</v>
      </c>
      <c r="BO67">
        <v>3</v>
      </c>
      <c r="BP67" t="s">
        <v>80</v>
      </c>
      <c r="BR67">
        <v>0</v>
      </c>
      <c r="BS67">
        <v>5</v>
      </c>
      <c r="BU67" s="1">
        <v>6048852</v>
      </c>
    </row>
    <row r="68" spans="1:73" x14ac:dyDescent="0.3">
      <c r="A68" t="s">
        <v>1791</v>
      </c>
      <c r="B68">
        <v>0</v>
      </c>
      <c r="C68" s="1">
        <v>0</v>
      </c>
      <c r="D68" s="1">
        <v>11</v>
      </c>
      <c r="E68" s="1">
        <v>957125</v>
      </c>
      <c r="F68" s="1">
        <v>0</v>
      </c>
      <c r="G68" s="1">
        <v>0</v>
      </c>
      <c r="H68" s="1">
        <v>20</v>
      </c>
      <c r="I68" s="1">
        <v>614250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22</v>
      </c>
      <c r="BC68" s="1">
        <v>1914250</v>
      </c>
      <c r="BD68" t="s">
        <v>74</v>
      </c>
      <c r="BE68" t="s">
        <v>1792</v>
      </c>
      <c r="BF68" t="s">
        <v>787</v>
      </c>
      <c r="BH68" t="s">
        <v>77</v>
      </c>
      <c r="BI68" t="s">
        <v>129</v>
      </c>
      <c r="BJ68" t="s">
        <v>79</v>
      </c>
      <c r="BM68">
        <v>0</v>
      </c>
      <c r="BN68">
        <v>2</v>
      </c>
      <c r="BO68">
        <v>2</v>
      </c>
      <c r="BP68" t="s">
        <v>80</v>
      </c>
      <c r="BR68">
        <v>0</v>
      </c>
      <c r="BS68">
        <v>6</v>
      </c>
      <c r="BU68" s="1">
        <v>1571375</v>
      </c>
    </row>
    <row r="69" spans="1:73" x14ac:dyDescent="0.3">
      <c r="A69" t="s">
        <v>2637</v>
      </c>
      <c r="B69">
        <v>0</v>
      </c>
      <c r="C69" s="1">
        <v>0</v>
      </c>
      <c r="D69" s="1">
        <v>2</v>
      </c>
      <c r="E69" s="1">
        <v>2018181</v>
      </c>
      <c r="F69" s="1">
        <v>0</v>
      </c>
      <c r="G69" s="1">
        <v>0</v>
      </c>
      <c r="H69" s="1">
        <v>8</v>
      </c>
      <c r="I69" s="1">
        <v>285312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10</v>
      </c>
      <c r="BC69" s="1">
        <v>2303493</v>
      </c>
      <c r="BD69" t="s">
        <v>74</v>
      </c>
      <c r="BE69" t="s">
        <v>2638</v>
      </c>
      <c r="BF69" t="s">
        <v>787</v>
      </c>
      <c r="BH69" t="s">
        <v>77</v>
      </c>
      <c r="BI69" t="s">
        <v>129</v>
      </c>
      <c r="BJ69" t="s">
        <v>79</v>
      </c>
      <c r="BM69">
        <v>0</v>
      </c>
      <c r="BN69">
        <v>2</v>
      </c>
      <c r="BO69">
        <v>2</v>
      </c>
      <c r="BP69" t="s">
        <v>80</v>
      </c>
      <c r="BR69">
        <v>0</v>
      </c>
      <c r="BS69">
        <v>6</v>
      </c>
      <c r="BU69" s="1">
        <v>2303493</v>
      </c>
    </row>
    <row r="70" spans="1:73" x14ac:dyDescent="0.3">
      <c r="A70" t="s">
        <v>2803</v>
      </c>
      <c r="B70">
        <v>0</v>
      </c>
      <c r="C70" s="1">
        <v>0</v>
      </c>
      <c r="D70" s="1">
        <v>2</v>
      </c>
      <c r="E70" s="1">
        <v>68163</v>
      </c>
      <c r="F70" s="1">
        <v>1</v>
      </c>
      <c r="G70" s="1">
        <v>14606725</v>
      </c>
      <c r="H70" s="1">
        <v>2</v>
      </c>
      <c r="I70" s="1">
        <v>68163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73535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8</v>
      </c>
      <c r="BC70" s="1">
        <v>29661638</v>
      </c>
      <c r="BD70" t="s">
        <v>74</v>
      </c>
      <c r="BE70" t="s">
        <v>2804</v>
      </c>
      <c r="BF70" t="s">
        <v>787</v>
      </c>
      <c r="BH70" t="s">
        <v>77</v>
      </c>
      <c r="BI70" t="s">
        <v>129</v>
      </c>
      <c r="BJ70" t="s">
        <v>79</v>
      </c>
      <c r="BM70">
        <v>1</v>
      </c>
      <c r="BN70">
        <v>3</v>
      </c>
      <c r="BO70">
        <v>4</v>
      </c>
      <c r="BP70" t="s">
        <v>80</v>
      </c>
      <c r="BR70">
        <v>0</v>
      </c>
      <c r="BS70">
        <v>4</v>
      </c>
      <c r="BU70" s="1">
        <v>14816586</v>
      </c>
    </row>
    <row r="71" spans="1:73" x14ac:dyDescent="0.3">
      <c r="A71" t="s">
        <v>3224</v>
      </c>
      <c r="B71">
        <v>0</v>
      </c>
      <c r="C71" s="1">
        <v>0</v>
      </c>
      <c r="D71" s="1">
        <v>7</v>
      </c>
      <c r="E71" s="1">
        <v>6839428</v>
      </c>
      <c r="F71" s="1">
        <v>0</v>
      </c>
      <c r="G71" s="1">
        <v>0</v>
      </c>
      <c r="H71" s="1">
        <v>13</v>
      </c>
      <c r="I71" s="1">
        <v>260000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20</v>
      </c>
      <c r="BC71" s="1">
        <v>10618856</v>
      </c>
      <c r="BD71" t="s">
        <v>74</v>
      </c>
      <c r="BE71" t="s">
        <v>3225</v>
      </c>
      <c r="BF71" t="s">
        <v>3226</v>
      </c>
      <c r="BH71" t="s">
        <v>77</v>
      </c>
      <c r="BI71" t="s">
        <v>129</v>
      </c>
      <c r="BJ71" t="s">
        <v>79</v>
      </c>
      <c r="BM71">
        <v>0</v>
      </c>
      <c r="BN71">
        <v>2</v>
      </c>
      <c r="BO71">
        <v>2</v>
      </c>
      <c r="BP71" t="s">
        <v>80</v>
      </c>
      <c r="BR71">
        <v>0</v>
      </c>
      <c r="BS71">
        <v>5</v>
      </c>
      <c r="BU71" s="1">
        <v>7099428</v>
      </c>
    </row>
    <row r="72" spans="1:73" x14ac:dyDescent="0.3">
      <c r="A72" t="s">
        <v>3242</v>
      </c>
      <c r="B72">
        <v>0</v>
      </c>
      <c r="C72" s="1">
        <v>0</v>
      </c>
      <c r="D72" s="1">
        <v>6</v>
      </c>
      <c r="E72" s="1">
        <v>1822287</v>
      </c>
      <c r="F72" s="1">
        <v>0</v>
      </c>
      <c r="G72" s="1">
        <v>0</v>
      </c>
      <c r="H72" s="1">
        <v>8</v>
      </c>
      <c r="I72" s="1">
        <v>164574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73535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15</v>
      </c>
      <c r="BC72" s="1">
        <v>3870229</v>
      </c>
      <c r="BD72" t="s">
        <v>74</v>
      </c>
      <c r="BE72" t="s">
        <v>3243</v>
      </c>
      <c r="BF72" t="s">
        <v>787</v>
      </c>
      <c r="BH72" t="s">
        <v>77</v>
      </c>
      <c r="BI72" t="s">
        <v>129</v>
      </c>
      <c r="BJ72" t="s">
        <v>79</v>
      </c>
      <c r="BM72">
        <v>1</v>
      </c>
      <c r="BN72">
        <v>2</v>
      </c>
      <c r="BO72">
        <v>3</v>
      </c>
      <c r="BP72" t="s">
        <v>80</v>
      </c>
      <c r="BR72">
        <v>0</v>
      </c>
      <c r="BS72">
        <v>6</v>
      </c>
      <c r="BU72" s="1">
        <v>2060396</v>
      </c>
    </row>
    <row r="73" spans="1:73" x14ac:dyDescent="0.3">
      <c r="A73" t="s">
        <v>3546</v>
      </c>
      <c r="B73">
        <v>0</v>
      </c>
      <c r="C73" s="1">
        <v>0</v>
      </c>
      <c r="D73" s="1">
        <v>2</v>
      </c>
      <c r="E73" s="1">
        <v>5300000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4</v>
      </c>
      <c r="BC73" s="1">
        <v>10600000</v>
      </c>
      <c r="BD73" t="s">
        <v>74</v>
      </c>
      <c r="BE73" t="s">
        <v>3547</v>
      </c>
      <c r="BF73" t="s">
        <v>3548</v>
      </c>
      <c r="BH73" t="s">
        <v>77</v>
      </c>
      <c r="BI73" t="s">
        <v>129</v>
      </c>
      <c r="BJ73" t="s">
        <v>79</v>
      </c>
      <c r="BM73">
        <v>0</v>
      </c>
      <c r="BN73">
        <v>1</v>
      </c>
      <c r="BO73">
        <v>1</v>
      </c>
      <c r="BP73" t="s">
        <v>80</v>
      </c>
      <c r="BR73">
        <v>0</v>
      </c>
      <c r="BS73">
        <v>5</v>
      </c>
      <c r="BU73" s="1">
        <v>5300000</v>
      </c>
    </row>
    <row r="74" spans="1:73" x14ac:dyDescent="0.3">
      <c r="A74" t="s">
        <v>3418</v>
      </c>
      <c r="B74">
        <v>0</v>
      </c>
      <c r="C74" s="1">
        <v>0</v>
      </c>
      <c r="D74" s="1">
        <v>5</v>
      </c>
      <c r="E74" s="1">
        <v>583603</v>
      </c>
      <c r="F74" s="1">
        <v>0</v>
      </c>
      <c r="G74" s="1">
        <v>0</v>
      </c>
      <c r="H74" s="1">
        <v>8</v>
      </c>
      <c r="I74" s="1">
        <v>129082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2</v>
      </c>
      <c r="Z74" s="1">
        <v>157170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12</v>
      </c>
      <c r="BC74" s="1">
        <v>1324376</v>
      </c>
      <c r="BD74" t="s">
        <v>74</v>
      </c>
      <c r="BE74" t="s">
        <v>3419</v>
      </c>
      <c r="BF74" t="s">
        <v>3420</v>
      </c>
      <c r="BH74" t="s">
        <v>77</v>
      </c>
      <c r="BI74" t="s">
        <v>129</v>
      </c>
      <c r="BJ74" t="s">
        <v>79</v>
      </c>
      <c r="BM74">
        <v>1</v>
      </c>
      <c r="BN74">
        <v>2</v>
      </c>
      <c r="BO74">
        <v>3</v>
      </c>
      <c r="BP74" t="s">
        <v>80</v>
      </c>
      <c r="BR74">
        <v>0</v>
      </c>
      <c r="BS74">
        <v>6</v>
      </c>
      <c r="BU74" s="1">
        <v>869855</v>
      </c>
    </row>
    <row r="75" spans="1:73" x14ac:dyDescent="0.3">
      <c r="A75" t="s">
        <v>3276</v>
      </c>
      <c r="B75">
        <v>1</v>
      </c>
      <c r="C75" s="1">
        <v>112777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</v>
      </c>
      <c r="BC75" s="1">
        <v>112777</v>
      </c>
      <c r="BD75" t="s">
        <v>74</v>
      </c>
      <c r="BE75" t="s">
        <v>3132</v>
      </c>
      <c r="BF75" t="s">
        <v>3277</v>
      </c>
      <c r="BH75" t="s">
        <v>1350</v>
      </c>
      <c r="BI75" t="s">
        <v>1351</v>
      </c>
      <c r="BJ75" t="s">
        <v>79</v>
      </c>
      <c r="BM75">
        <v>0</v>
      </c>
      <c r="BN75">
        <v>1</v>
      </c>
      <c r="BO75">
        <v>1</v>
      </c>
      <c r="BP75" t="s">
        <v>80</v>
      </c>
      <c r="BR75">
        <v>0</v>
      </c>
      <c r="BS75">
        <v>6</v>
      </c>
      <c r="BU75" s="1">
        <v>112777</v>
      </c>
    </row>
    <row r="76" spans="1:73" x14ac:dyDescent="0.3">
      <c r="A76" t="s">
        <v>3131</v>
      </c>
      <c r="B76">
        <v>2</v>
      </c>
      <c r="C76" s="1">
        <v>388482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2</v>
      </c>
      <c r="BC76" s="1">
        <v>388482</v>
      </c>
      <c r="BD76" t="s">
        <v>74</v>
      </c>
      <c r="BE76" t="s">
        <v>3132</v>
      </c>
      <c r="BF76" t="s">
        <v>3133</v>
      </c>
      <c r="BM76">
        <v>0</v>
      </c>
      <c r="BN76">
        <v>1</v>
      </c>
      <c r="BO76">
        <v>1</v>
      </c>
      <c r="BP76" t="s">
        <v>80</v>
      </c>
      <c r="BR76">
        <v>0</v>
      </c>
      <c r="BS76">
        <v>6</v>
      </c>
      <c r="BU76" s="1">
        <v>388482</v>
      </c>
    </row>
    <row r="77" spans="1:73" x14ac:dyDescent="0.3">
      <c r="A77" t="s">
        <v>1123</v>
      </c>
      <c r="B77">
        <v>1</v>
      </c>
      <c r="C77" s="1">
        <v>544545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1</v>
      </c>
      <c r="BC77" s="1">
        <v>544545</v>
      </c>
      <c r="BD77" t="s">
        <v>74</v>
      </c>
      <c r="BE77" t="s">
        <v>1124</v>
      </c>
      <c r="BF77" t="s">
        <v>1125</v>
      </c>
      <c r="BM77">
        <v>0</v>
      </c>
      <c r="BN77">
        <v>1</v>
      </c>
      <c r="BO77">
        <v>1</v>
      </c>
      <c r="BP77" t="s">
        <v>80</v>
      </c>
      <c r="BR77">
        <v>0</v>
      </c>
      <c r="BS77">
        <v>0</v>
      </c>
      <c r="BU77" s="1">
        <v>544545</v>
      </c>
    </row>
    <row r="78" spans="1:73" x14ac:dyDescent="0.3">
      <c r="A78" t="s">
        <v>3461</v>
      </c>
      <c r="B78">
        <v>5</v>
      </c>
      <c r="C78" s="1">
        <v>619136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5</v>
      </c>
      <c r="BC78" s="1">
        <v>619136</v>
      </c>
      <c r="BD78" t="s">
        <v>74</v>
      </c>
      <c r="BE78" t="s">
        <v>3462</v>
      </c>
      <c r="BF78" t="s">
        <v>1125</v>
      </c>
      <c r="BM78">
        <v>0</v>
      </c>
      <c r="BN78">
        <v>1</v>
      </c>
      <c r="BO78">
        <v>1</v>
      </c>
      <c r="BP78" t="s">
        <v>80</v>
      </c>
      <c r="BR78">
        <v>0</v>
      </c>
      <c r="BS78">
        <v>6</v>
      </c>
      <c r="BU78" s="1">
        <v>619136</v>
      </c>
    </row>
    <row r="79" spans="1:73" x14ac:dyDescent="0.3">
      <c r="A79" t="s">
        <v>3034</v>
      </c>
      <c r="B79">
        <v>0</v>
      </c>
      <c r="C79" s="1">
        <v>0</v>
      </c>
      <c r="D79" s="1">
        <v>8</v>
      </c>
      <c r="E79" s="1">
        <v>438319</v>
      </c>
      <c r="F79" s="1">
        <v>0</v>
      </c>
      <c r="G79" s="1">
        <v>0</v>
      </c>
      <c r="H79" s="1">
        <v>14</v>
      </c>
      <c r="I79" s="1">
        <v>494820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16</v>
      </c>
      <c r="BC79" s="1">
        <v>876638</v>
      </c>
      <c r="BD79" t="s">
        <v>74</v>
      </c>
      <c r="BE79" t="s">
        <v>3035</v>
      </c>
      <c r="BF79" t="s">
        <v>3036</v>
      </c>
      <c r="BH79" t="s">
        <v>136</v>
      </c>
      <c r="BI79" t="s">
        <v>191</v>
      </c>
      <c r="BJ79" t="s">
        <v>125</v>
      </c>
      <c r="BM79">
        <v>0</v>
      </c>
      <c r="BN79">
        <v>2</v>
      </c>
      <c r="BO79">
        <v>2</v>
      </c>
      <c r="BP79" t="s">
        <v>80</v>
      </c>
      <c r="BR79">
        <v>0</v>
      </c>
      <c r="BS79">
        <v>6</v>
      </c>
      <c r="BU79" s="1">
        <v>933139</v>
      </c>
    </row>
    <row r="80" spans="1:73" x14ac:dyDescent="0.3">
      <c r="A80" t="s">
        <v>1140</v>
      </c>
      <c r="B80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96439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1</v>
      </c>
      <c r="AL80" s="1">
        <v>9697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2</v>
      </c>
      <c r="BC80" s="1">
        <v>106136</v>
      </c>
      <c r="BD80" t="s">
        <v>74</v>
      </c>
      <c r="BE80" t="s">
        <v>1141</v>
      </c>
      <c r="BF80" t="s">
        <v>1142</v>
      </c>
      <c r="BH80" t="s">
        <v>77</v>
      </c>
      <c r="BI80" t="s">
        <v>129</v>
      </c>
      <c r="BJ80" t="s">
        <v>79</v>
      </c>
      <c r="BM80">
        <v>2</v>
      </c>
      <c r="BN80">
        <v>0</v>
      </c>
      <c r="BO80">
        <v>2</v>
      </c>
      <c r="BP80" t="s">
        <v>80</v>
      </c>
      <c r="BR80">
        <v>0</v>
      </c>
      <c r="BS80">
        <v>6</v>
      </c>
      <c r="BU80" s="1">
        <v>106136</v>
      </c>
    </row>
    <row r="81" spans="1:73" x14ac:dyDescent="0.3">
      <c r="A81" t="s">
        <v>771</v>
      </c>
      <c r="B81">
        <v>0</v>
      </c>
      <c r="C81" s="1">
        <v>0</v>
      </c>
      <c r="D81" s="1">
        <v>6</v>
      </c>
      <c r="E81" s="1">
        <v>734981</v>
      </c>
      <c r="F81" s="1">
        <v>0</v>
      </c>
      <c r="G81" s="1">
        <v>0</v>
      </c>
      <c r="H81" s="1">
        <v>8</v>
      </c>
      <c r="I81" s="1">
        <v>173600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73535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19792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16</v>
      </c>
      <c r="BC81" s="1">
        <v>1656616</v>
      </c>
      <c r="BD81" t="s">
        <v>74</v>
      </c>
      <c r="BE81" t="s">
        <v>772</v>
      </c>
      <c r="BF81" t="s">
        <v>773</v>
      </c>
      <c r="BH81" t="s">
        <v>77</v>
      </c>
      <c r="BI81" t="s">
        <v>129</v>
      </c>
      <c r="BJ81" t="s">
        <v>79</v>
      </c>
      <c r="BM81">
        <v>2</v>
      </c>
      <c r="BN81">
        <v>2</v>
      </c>
      <c r="BO81">
        <v>4</v>
      </c>
      <c r="BP81" t="s">
        <v>80</v>
      </c>
      <c r="BR81">
        <v>0</v>
      </c>
      <c r="BS81">
        <v>6</v>
      </c>
      <c r="BU81" s="1">
        <v>1001908</v>
      </c>
    </row>
    <row r="82" spans="1:73" x14ac:dyDescent="0.3">
      <c r="A82" t="s">
        <v>1687</v>
      </c>
      <c r="B82">
        <v>3</v>
      </c>
      <c r="C82" s="1">
        <v>664712</v>
      </c>
      <c r="D82" s="1">
        <v>5</v>
      </c>
      <c r="E82" s="1">
        <v>14793181</v>
      </c>
      <c r="F82" s="1">
        <v>0</v>
      </c>
      <c r="G82" s="1">
        <v>0</v>
      </c>
      <c r="H82" s="1">
        <v>27</v>
      </c>
      <c r="I82" s="1">
        <v>705555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34</v>
      </c>
      <c r="BC82" s="1">
        <v>16143448</v>
      </c>
      <c r="BD82" t="s">
        <v>74</v>
      </c>
      <c r="BE82" t="s">
        <v>1688</v>
      </c>
      <c r="BF82" t="s">
        <v>1689</v>
      </c>
      <c r="BH82" t="s">
        <v>77</v>
      </c>
      <c r="BI82" t="s">
        <v>129</v>
      </c>
      <c r="BJ82" t="s">
        <v>79</v>
      </c>
      <c r="BM82">
        <v>0</v>
      </c>
      <c r="BN82">
        <v>3</v>
      </c>
      <c r="BO82">
        <v>3</v>
      </c>
      <c r="BP82" t="s">
        <v>80</v>
      </c>
      <c r="BR82">
        <v>0</v>
      </c>
      <c r="BS82">
        <v>3</v>
      </c>
      <c r="BU82" s="1">
        <v>16163448</v>
      </c>
    </row>
    <row r="83" spans="1:73" x14ac:dyDescent="0.3">
      <c r="A83" t="s">
        <v>1802</v>
      </c>
      <c r="B83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9552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9552</v>
      </c>
      <c r="BD83" t="s">
        <v>74</v>
      </c>
      <c r="BE83" t="s">
        <v>1803</v>
      </c>
      <c r="BF83" t="s">
        <v>1689</v>
      </c>
      <c r="BH83" t="s">
        <v>77</v>
      </c>
      <c r="BI83" t="s">
        <v>129</v>
      </c>
      <c r="BJ83" t="s">
        <v>79</v>
      </c>
      <c r="BM83">
        <v>0</v>
      </c>
      <c r="BN83">
        <v>1</v>
      </c>
      <c r="BO83">
        <v>1</v>
      </c>
      <c r="BP83" t="s">
        <v>80</v>
      </c>
      <c r="BR83">
        <v>0</v>
      </c>
      <c r="BS83">
        <v>6</v>
      </c>
      <c r="BU83" s="1">
        <v>9552</v>
      </c>
    </row>
    <row r="84" spans="1:73" x14ac:dyDescent="0.3">
      <c r="A84" t="s">
        <v>4919</v>
      </c>
      <c r="B84">
        <v>0</v>
      </c>
      <c r="C84" s="1">
        <v>0</v>
      </c>
      <c r="D84" s="1">
        <v>5</v>
      </c>
      <c r="E84" s="1">
        <v>1264450</v>
      </c>
      <c r="F84" s="1">
        <v>0</v>
      </c>
      <c r="G84" s="1">
        <v>0</v>
      </c>
      <c r="H84" s="1">
        <v>8</v>
      </c>
      <c r="I84" s="1">
        <v>214614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10</v>
      </c>
      <c r="BC84" s="1">
        <v>2528900</v>
      </c>
      <c r="BD84" t="s">
        <v>74</v>
      </c>
      <c r="BE84" t="s">
        <v>4920</v>
      </c>
      <c r="BF84" t="s">
        <v>4921</v>
      </c>
      <c r="BH84" t="s">
        <v>77</v>
      </c>
      <c r="BI84" t="s">
        <v>129</v>
      </c>
      <c r="BJ84" t="s">
        <v>79</v>
      </c>
      <c r="BM84">
        <v>0</v>
      </c>
      <c r="BN84">
        <v>2</v>
      </c>
      <c r="BO84">
        <v>2</v>
      </c>
      <c r="BP84" t="s">
        <v>80</v>
      </c>
      <c r="BR84">
        <v>0</v>
      </c>
      <c r="BS84">
        <v>6</v>
      </c>
      <c r="BU84" s="1">
        <v>1479064</v>
      </c>
    </row>
    <row r="85" spans="1:73" x14ac:dyDescent="0.3">
      <c r="A85" t="s">
        <v>1653</v>
      </c>
      <c r="B85">
        <v>70</v>
      </c>
      <c r="C85" s="1">
        <v>25652063</v>
      </c>
      <c r="D85" s="1">
        <v>3</v>
      </c>
      <c r="E85" s="1">
        <v>105000</v>
      </c>
      <c r="F85" s="1">
        <v>0</v>
      </c>
      <c r="G85" s="1">
        <v>0</v>
      </c>
      <c r="H85" s="1">
        <v>2</v>
      </c>
      <c r="I85" s="1">
        <v>6086910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78</v>
      </c>
      <c r="BC85" s="1">
        <v>31948973</v>
      </c>
      <c r="BD85" t="s">
        <v>74</v>
      </c>
      <c r="BE85" t="s">
        <v>1654</v>
      </c>
      <c r="BF85" t="s">
        <v>1655</v>
      </c>
      <c r="BH85" t="s">
        <v>136</v>
      </c>
      <c r="BI85" t="s">
        <v>191</v>
      </c>
      <c r="BJ85" t="s">
        <v>125</v>
      </c>
      <c r="BM85">
        <v>0</v>
      </c>
      <c r="BN85">
        <v>3</v>
      </c>
      <c r="BO85">
        <v>3</v>
      </c>
      <c r="BP85" t="s">
        <v>80</v>
      </c>
      <c r="BR85">
        <v>0</v>
      </c>
      <c r="BS85">
        <v>4</v>
      </c>
      <c r="BU85" s="1">
        <v>31843973</v>
      </c>
    </row>
    <row r="86" spans="1:73" x14ac:dyDescent="0.3">
      <c r="A86" t="s">
        <v>4520</v>
      </c>
      <c r="B86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16000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16000</v>
      </c>
      <c r="BD86" t="s">
        <v>74</v>
      </c>
      <c r="BE86" t="s">
        <v>4521</v>
      </c>
      <c r="BF86" t="s">
        <v>4522</v>
      </c>
      <c r="BH86" t="s">
        <v>77</v>
      </c>
      <c r="BI86" t="s">
        <v>129</v>
      </c>
      <c r="BJ86" t="s">
        <v>79</v>
      </c>
      <c r="BM86">
        <v>0</v>
      </c>
      <c r="BN86">
        <v>1</v>
      </c>
      <c r="BO86">
        <v>1</v>
      </c>
      <c r="BP86" t="s">
        <v>80</v>
      </c>
      <c r="BR86">
        <v>0</v>
      </c>
      <c r="BS86">
        <v>0</v>
      </c>
      <c r="BU86" s="1">
        <v>16000</v>
      </c>
    </row>
    <row r="87" spans="1:73" x14ac:dyDescent="0.3">
      <c r="A87" t="s">
        <v>2864</v>
      </c>
      <c r="B87">
        <v>0</v>
      </c>
      <c r="C87" s="1">
        <v>0</v>
      </c>
      <c r="D87" s="1">
        <v>2</v>
      </c>
      <c r="E87" s="1">
        <v>3600000</v>
      </c>
      <c r="F87" s="1">
        <v>0</v>
      </c>
      <c r="G87" s="1">
        <v>0</v>
      </c>
      <c r="H87" s="1">
        <v>2</v>
      </c>
      <c r="I87" s="1">
        <v>2207300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</v>
      </c>
      <c r="Z87" s="1">
        <v>366187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11</v>
      </c>
      <c r="BC87" s="1">
        <v>10218259</v>
      </c>
      <c r="BD87" t="s">
        <v>74</v>
      </c>
      <c r="BE87" t="s">
        <v>2865</v>
      </c>
      <c r="BF87" t="s">
        <v>2866</v>
      </c>
      <c r="BH87" t="s">
        <v>77</v>
      </c>
      <c r="BI87" t="s">
        <v>129</v>
      </c>
      <c r="BJ87" t="s">
        <v>79</v>
      </c>
      <c r="BM87">
        <v>1</v>
      </c>
      <c r="BN87">
        <v>2</v>
      </c>
      <c r="BO87">
        <v>3</v>
      </c>
      <c r="BP87" t="s">
        <v>80</v>
      </c>
      <c r="BR87">
        <v>0</v>
      </c>
      <c r="BS87">
        <v>5</v>
      </c>
      <c r="BU87" s="1">
        <v>6173487</v>
      </c>
    </row>
    <row r="88" spans="1:73" x14ac:dyDescent="0.3">
      <c r="A88" t="s">
        <v>817</v>
      </c>
      <c r="B88">
        <v>0</v>
      </c>
      <c r="C88" s="1">
        <v>0</v>
      </c>
      <c r="D88" s="1">
        <v>14</v>
      </c>
      <c r="E88" s="1">
        <v>1092938</v>
      </c>
      <c r="F88" s="1">
        <v>0</v>
      </c>
      <c r="G88" s="1">
        <v>0</v>
      </c>
      <c r="H88" s="1">
        <v>24</v>
      </c>
      <c r="I88" s="1">
        <v>844036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28</v>
      </c>
      <c r="BC88" s="1">
        <v>2185876</v>
      </c>
      <c r="BD88" t="s">
        <v>74</v>
      </c>
      <c r="BE88" t="s">
        <v>818</v>
      </c>
      <c r="BF88" t="s">
        <v>819</v>
      </c>
      <c r="BH88" t="s">
        <v>77</v>
      </c>
      <c r="BI88" t="s">
        <v>129</v>
      </c>
      <c r="BJ88" t="s">
        <v>79</v>
      </c>
      <c r="BM88">
        <v>0</v>
      </c>
      <c r="BN88">
        <v>2</v>
      </c>
      <c r="BO88">
        <v>2</v>
      </c>
      <c r="BP88" t="s">
        <v>80</v>
      </c>
      <c r="BR88">
        <v>0</v>
      </c>
      <c r="BS88">
        <v>6</v>
      </c>
      <c r="BU88" s="1">
        <v>1936974</v>
      </c>
    </row>
    <row r="89" spans="1:73" x14ac:dyDescent="0.3">
      <c r="A89" t="s">
        <v>2308</v>
      </c>
      <c r="B89">
        <v>0</v>
      </c>
      <c r="C89" s="1">
        <v>0</v>
      </c>
      <c r="D89" s="1">
        <v>1</v>
      </c>
      <c r="E89" s="1">
        <v>1000000</v>
      </c>
      <c r="F89" s="1">
        <v>0</v>
      </c>
      <c r="G89" s="1">
        <v>0</v>
      </c>
      <c r="H89" s="1">
        <v>1</v>
      </c>
      <c r="I89" s="1">
        <v>20000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2</v>
      </c>
      <c r="BC89" s="1">
        <v>1020000</v>
      </c>
      <c r="BD89" t="s">
        <v>74</v>
      </c>
      <c r="BE89" t="s">
        <v>2309</v>
      </c>
      <c r="BF89" t="s">
        <v>2310</v>
      </c>
      <c r="BH89" t="s">
        <v>77</v>
      </c>
      <c r="BI89" t="s">
        <v>204</v>
      </c>
      <c r="BJ89" t="s">
        <v>79</v>
      </c>
      <c r="BM89">
        <v>0</v>
      </c>
      <c r="BN89">
        <v>2</v>
      </c>
      <c r="BO89">
        <v>2</v>
      </c>
      <c r="BP89" t="s">
        <v>80</v>
      </c>
      <c r="BR89">
        <v>0</v>
      </c>
      <c r="BS89">
        <v>6</v>
      </c>
      <c r="BU89" s="1">
        <v>1020000</v>
      </c>
    </row>
    <row r="90" spans="1:73" x14ac:dyDescent="0.3">
      <c r="A90" t="s">
        <v>1022</v>
      </c>
      <c r="B90">
        <v>0</v>
      </c>
      <c r="C90" s="1">
        <v>0</v>
      </c>
      <c r="D90" s="1">
        <v>6</v>
      </c>
      <c r="E90" s="1">
        <v>2771428</v>
      </c>
      <c r="F90" s="1">
        <v>0</v>
      </c>
      <c r="G90" s="1">
        <v>0</v>
      </c>
      <c r="H90" s="1">
        <v>8</v>
      </c>
      <c r="I90" s="1">
        <v>160000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73535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13</v>
      </c>
      <c r="BC90" s="1">
        <v>5616391</v>
      </c>
      <c r="BD90" t="s">
        <v>74</v>
      </c>
      <c r="BE90" t="s">
        <v>1023</v>
      </c>
      <c r="BF90" t="s">
        <v>1024</v>
      </c>
      <c r="BH90" t="s">
        <v>77</v>
      </c>
      <c r="BI90" t="s">
        <v>129</v>
      </c>
      <c r="BJ90" t="s">
        <v>79</v>
      </c>
      <c r="BM90">
        <v>1</v>
      </c>
      <c r="BN90">
        <v>2</v>
      </c>
      <c r="BO90">
        <v>3</v>
      </c>
      <c r="BP90" t="s">
        <v>80</v>
      </c>
      <c r="BR90">
        <v>0</v>
      </c>
      <c r="BS90">
        <v>6</v>
      </c>
      <c r="BU90" s="1">
        <v>3004963</v>
      </c>
    </row>
    <row r="91" spans="1:73" x14ac:dyDescent="0.3">
      <c r="A91" t="s">
        <v>1742</v>
      </c>
      <c r="B91">
        <v>0</v>
      </c>
      <c r="C91" s="1">
        <v>0</v>
      </c>
      <c r="D91" s="1">
        <v>5</v>
      </c>
      <c r="E91" s="1">
        <v>751893</v>
      </c>
      <c r="F91" s="1">
        <v>0</v>
      </c>
      <c r="G91" s="1">
        <v>0</v>
      </c>
      <c r="H91" s="1">
        <v>8</v>
      </c>
      <c r="I91" s="1">
        <v>212876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10</v>
      </c>
      <c r="BC91" s="1">
        <v>1503786</v>
      </c>
      <c r="BD91" t="s">
        <v>74</v>
      </c>
      <c r="BE91" t="s">
        <v>1743</v>
      </c>
      <c r="BF91" t="s">
        <v>1744</v>
      </c>
      <c r="BH91" t="s">
        <v>77</v>
      </c>
      <c r="BI91" t="s">
        <v>129</v>
      </c>
      <c r="BJ91" t="s">
        <v>79</v>
      </c>
      <c r="BM91">
        <v>0</v>
      </c>
      <c r="BN91">
        <v>2</v>
      </c>
      <c r="BO91">
        <v>2</v>
      </c>
      <c r="BP91" t="s">
        <v>80</v>
      </c>
      <c r="BR91">
        <v>0</v>
      </c>
      <c r="BS91">
        <v>6</v>
      </c>
      <c r="BU91" s="1">
        <v>964769</v>
      </c>
    </row>
    <row r="92" spans="1:73" x14ac:dyDescent="0.3">
      <c r="A92" t="s">
        <v>3067</v>
      </c>
      <c r="B92">
        <v>0</v>
      </c>
      <c r="C92" s="1">
        <v>0</v>
      </c>
      <c r="D92" s="1">
        <v>5</v>
      </c>
      <c r="E92" s="1">
        <v>2412418</v>
      </c>
      <c r="F92" s="1">
        <v>0</v>
      </c>
      <c r="G92" s="1">
        <v>0</v>
      </c>
      <c r="H92" s="1">
        <v>11</v>
      </c>
      <c r="I92" s="1">
        <v>472531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14</v>
      </c>
      <c r="BC92" s="1">
        <v>4302531</v>
      </c>
      <c r="BD92" t="s">
        <v>74</v>
      </c>
      <c r="BE92" t="s">
        <v>3068</v>
      </c>
      <c r="BF92" t="s">
        <v>3069</v>
      </c>
      <c r="BH92" t="s">
        <v>77</v>
      </c>
      <c r="BI92" t="s">
        <v>129</v>
      </c>
      <c r="BJ92" t="s">
        <v>79</v>
      </c>
      <c r="BM92">
        <v>0</v>
      </c>
      <c r="BN92">
        <v>2</v>
      </c>
      <c r="BO92">
        <v>2</v>
      </c>
      <c r="BP92" t="s">
        <v>80</v>
      </c>
      <c r="BR92">
        <v>0</v>
      </c>
      <c r="BS92">
        <v>6</v>
      </c>
      <c r="BU92" s="1">
        <v>2884949</v>
      </c>
    </row>
    <row r="93" spans="1:73" x14ac:dyDescent="0.3">
      <c r="A93" t="s">
        <v>1779</v>
      </c>
      <c r="B93">
        <v>3</v>
      </c>
      <c r="C93" s="1">
        <v>2700109</v>
      </c>
      <c r="D93" s="1">
        <v>5</v>
      </c>
      <c r="E93" s="1">
        <v>2120054</v>
      </c>
      <c r="F93" s="1">
        <v>0</v>
      </c>
      <c r="G93" s="1">
        <v>0</v>
      </c>
      <c r="H93" s="1">
        <v>8</v>
      </c>
      <c r="I93" s="1">
        <v>640108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13</v>
      </c>
      <c r="BC93" s="1">
        <v>6940217</v>
      </c>
      <c r="BD93" t="s">
        <v>74</v>
      </c>
      <c r="BE93" t="s">
        <v>1780</v>
      </c>
      <c r="BF93" t="s">
        <v>1781</v>
      </c>
      <c r="BH93" t="s">
        <v>77</v>
      </c>
      <c r="BI93" t="s">
        <v>129</v>
      </c>
      <c r="BJ93" t="s">
        <v>79</v>
      </c>
      <c r="BM93">
        <v>0</v>
      </c>
      <c r="BN93">
        <v>3</v>
      </c>
      <c r="BO93">
        <v>3</v>
      </c>
      <c r="BP93" t="s">
        <v>80</v>
      </c>
      <c r="BR93">
        <v>0</v>
      </c>
      <c r="BS93">
        <v>6</v>
      </c>
      <c r="BU93" s="1">
        <v>5460271</v>
      </c>
    </row>
    <row r="94" spans="1:73" x14ac:dyDescent="0.3">
      <c r="A94" t="s">
        <v>2777</v>
      </c>
      <c r="B94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12</v>
      </c>
      <c r="I94" s="1">
        <v>250000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3</v>
      </c>
      <c r="Z94" s="1">
        <v>235755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18</v>
      </c>
      <c r="BC94" s="1">
        <v>721510</v>
      </c>
      <c r="BD94" t="s">
        <v>74</v>
      </c>
      <c r="BE94" t="s">
        <v>2778</v>
      </c>
      <c r="BF94" t="s">
        <v>2779</v>
      </c>
      <c r="BH94" t="s">
        <v>77</v>
      </c>
      <c r="BI94" t="s">
        <v>129</v>
      </c>
      <c r="BJ94" t="s">
        <v>79</v>
      </c>
      <c r="BM94">
        <v>1</v>
      </c>
      <c r="BN94">
        <v>1</v>
      </c>
      <c r="BO94">
        <v>2</v>
      </c>
      <c r="BP94" t="s">
        <v>80</v>
      </c>
      <c r="BR94">
        <v>0</v>
      </c>
      <c r="BS94">
        <v>6</v>
      </c>
      <c r="BU94" s="1">
        <v>485755</v>
      </c>
    </row>
    <row r="95" spans="1:73" x14ac:dyDescent="0.3">
      <c r="A95" t="s">
        <v>3777</v>
      </c>
      <c r="B95">
        <v>0</v>
      </c>
      <c r="C95" s="1">
        <v>0</v>
      </c>
      <c r="D95" s="1">
        <v>9</v>
      </c>
      <c r="E95" s="1">
        <v>4768927</v>
      </c>
      <c r="F95" s="1">
        <v>0</v>
      </c>
      <c r="G95" s="1">
        <v>0</v>
      </c>
      <c r="H95" s="1">
        <v>12</v>
      </c>
      <c r="I95" s="1">
        <v>823568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29334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19</v>
      </c>
      <c r="BC95" s="1">
        <v>9567188</v>
      </c>
      <c r="BD95" t="s">
        <v>74</v>
      </c>
      <c r="BE95" t="s">
        <v>3778</v>
      </c>
      <c r="BF95" t="s">
        <v>1781</v>
      </c>
      <c r="BH95" t="s">
        <v>77</v>
      </c>
      <c r="BI95" t="s">
        <v>129</v>
      </c>
      <c r="BJ95" t="s">
        <v>79</v>
      </c>
      <c r="BM95">
        <v>1</v>
      </c>
      <c r="BN95">
        <v>2</v>
      </c>
      <c r="BO95">
        <v>3</v>
      </c>
      <c r="BP95" t="s">
        <v>80</v>
      </c>
      <c r="BR95">
        <v>0</v>
      </c>
      <c r="BS95">
        <v>6</v>
      </c>
      <c r="BU95" s="1">
        <v>5621829</v>
      </c>
    </row>
    <row r="96" spans="1:73" x14ac:dyDescent="0.3">
      <c r="A96" t="s">
        <v>126</v>
      </c>
      <c r="B96">
        <v>0</v>
      </c>
      <c r="C96" s="1">
        <v>0</v>
      </c>
      <c r="D96" s="1">
        <v>1</v>
      </c>
      <c r="E96" s="1">
        <v>270000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270000</v>
      </c>
      <c r="BD96" t="s">
        <v>74</v>
      </c>
      <c r="BE96" t="s">
        <v>127</v>
      </c>
      <c r="BF96" t="s">
        <v>128</v>
      </c>
      <c r="BH96" t="s">
        <v>77</v>
      </c>
      <c r="BI96" t="s">
        <v>129</v>
      </c>
      <c r="BJ96" t="s">
        <v>79</v>
      </c>
      <c r="BM96">
        <v>0</v>
      </c>
      <c r="BN96">
        <v>1</v>
      </c>
      <c r="BO96">
        <v>1</v>
      </c>
      <c r="BP96" t="s">
        <v>80</v>
      </c>
      <c r="BR96">
        <v>0</v>
      </c>
      <c r="BS96">
        <v>6</v>
      </c>
      <c r="BU96" s="1">
        <v>270000</v>
      </c>
    </row>
    <row r="97" spans="1:73" x14ac:dyDescent="0.3">
      <c r="A97" t="s">
        <v>829</v>
      </c>
      <c r="B97">
        <v>3</v>
      </c>
      <c r="C97" s="1">
        <v>601988</v>
      </c>
      <c r="D97" s="1">
        <v>11</v>
      </c>
      <c r="E97" s="1">
        <v>2322792</v>
      </c>
      <c r="F97" s="1">
        <v>0</v>
      </c>
      <c r="G97" s="1">
        <v>0</v>
      </c>
      <c r="H97" s="1">
        <v>16</v>
      </c>
      <c r="I97" s="1">
        <v>372856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2</v>
      </c>
      <c r="Z97" s="1">
        <v>376857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4394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28</v>
      </c>
      <c r="BC97" s="1">
        <v>5628823</v>
      </c>
      <c r="BD97" t="s">
        <v>74</v>
      </c>
      <c r="BE97" t="s">
        <v>830</v>
      </c>
      <c r="BF97" t="s">
        <v>831</v>
      </c>
      <c r="BH97" t="s">
        <v>77</v>
      </c>
      <c r="BI97" t="s">
        <v>129</v>
      </c>
      <c r="BJ97" t="s">
        <v>79</v>
      </c>
      <c r="BM97">
        <v>2</v>
      </c>
      <c r="BN97">
        <v>3</v>
      </c>
      <c r="BO97">
        <v>5</v>
      </c>
      <c r="BP97" t="s">
        <v>99</v>
      </c>
      <c r="BR97">
        <v>0</v>
      </c>
      <c r="BS97">
        <v>6</v>
      </c>
      <c r="BU97" s="1">
        <v>3678887</v>
      </c>
    </row>
    <row r="98" spans="1:73" x14ac:dyDescent="0.3">
      <c r="A98" t="s">
        <v>1584</v>
      </c>
      <c r="B98">
        <v>3</v>
      </c>
      <c r="C98" s="1">
        <v>726364</v>
      </c>
      <c r="D98" s="1">
        <v>13</v>
      </c>
      <c r="E98" s="1">
        <v>2005282</v>
      </c>
      <c r="F98" s="1">
        <v>0</v>
      </c>
      <c r="G98" s="1">
        <v>0</v>
      </c>
      <c r="H98" s="1">
        <v>24</v>
      </c>
      <c r="I98" s="1">
        <v>770564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333334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31</v>
      </c>
      <c r="BC98" s="1">
        <v>5403596</v>
      </c>
      <c r="BD98" t="s">
        <v>74</v>
      </c>
      <c r="BE98" t="s">
        <v>1585</v>
      </c>
      <c r="BF98" t="s">
        <v>1586</v>
      </c>
      <c r="BH98" t="s">
        <v>136</v>
      </c>
      <c r="BI98" t="s">
        <v>191</v>
      </c>
      <c r="BJ98" t="s">
        <v>125</v>
      </c>
      <c r="BM98">
        <v>1</v>
      </c>
      <c r="BN98">
        <v>3</v>
      </c>
      <c r="BO98">
        <v>4</v>
      </c>
      <c r="BP98" t="s">
        <v>80</v>
      </c>
      <c r="BR98">
        <v>0</v>
      </c>
      <c r="BS98">
        <v>5</v>
      </c>
      <c r="BU98" s="1">
        <v>3835544</v>
      </c>
    </row>
    <row r="99" spans="1:73" x14ac:dyDescent="0.3">
      <c r="A99" t="s">
        <v>2800</v>
      </c>
      <c r="B99">
        <v>0</v>
      </c>
      <c r="C99" s="1">
        <v>0</v>
      </c>
      <c r="D99" s="1">
        <v>5</v>
      </c>
      <c r="E99" s="1">
        <v>2128843</v>
      </c>
      <c r="F99" s="1">
        <v>0</v>
      </c>
      <c r="G99" s="1">
        <v>0</v>
      </c>
      <c r="H99" s="1">
        <v>8</v>
      </c>
      <c r="I99" s="1">
        <v>257686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10</v>
      </c>
      <c r="BC99" s="1">
        <v>4257686</v>
      </c>
      <c r="BD99" t="s">
        <v>74</v>
      </c>
      <c r="BE99" t="s">
        <v>2801</v>
      </c>
      <c r="BF99" t="s">
        <v>2802</v>
      </c>
      <c r="BH99" t="s">
        <v>77</v>
      </c>
      <c r="BI99" t="s">
        <v>129</v>
      </c>
      <c r="BJ99" t="s">
        <v>79</v>
      </c>
      <c r="BM99">
        <v>0</v>
      </c>
      <c r="BN99">
        <v>2</v>
      </c>
      <c r="BO99">
        <v>2</v>
      </c>
      <c r="BP99" t="s">
        <v>80</v>
      </c>
      <c r="BR99">
        <v>0</v>
      </c>
      <c r="BS99">
        <v>6</v>
      </c>
      <c r="BU99" s="1">
        <v>2386529</v>
      </c>
    </row>
    <row r="100" spans="1:73" x14ac:dyDescent="0.3">
      <c r="A100" t="s">
        <v>1172</v>
      </c>
      <c r="B100">
        <v>0</v>
      </c>
      <c r="C100" s="1">
        <v>0</v>
      </c>
      <c r="D100" s="1">
        <v>2</v>
      </c>
      <c r="E100" s="1">
        <v>335454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4</v>
      </c>
      <c r="BC100" s="1">
        <v>712986</v>
      </c>
      <c r="BD100" t="s">
        <v>74</v>
      </c>
      <c r="BE100" t="s">
        <v>1173</v>
      </c>
      <c r="BF100" t="s">
        <v>1174</v>
      </c>
      <c r="BH100" t="s">
        <v>136</v>
      </c>
      <c r="BI100" t="s">
        <v>191</v>
      </c>
      <c r="BJ100" t="s">
        <v>125</v>
      </c>
      <c r="BM100">
        <v>0</v>
      </c>
      <c r="BN100">
        <v>1</v>
      </c>
      <c r="BO100">
        <v>1</v>
      </c>
      <c r="BP100" t="s">
        <v>80</v>
      </c>
      <c r="BR100">
        <v>0</v>
      </c>
      <c r="BS100">
        <v>6</v>
      </c>
      <c r="BU100" s="1">
        <v>335454</v>
      </c>
    </row>
    <row r="101" spans="1:73" x14ac:dyDescent="0.3">
      <c r="A101" t="s">
        <v>1184</v>
      </c>
      <c r="B101">
        <v>0</v>
      </c>
      <c r="C101" s="1">
        <v>0</v>
      </c>
      <c r="D101" s="1">
        <v>1</v>
      </c>
      <c r="E101" s="1">
        <v>246857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1</v>
      </c>
      <c r="BC101" s="1">
        <v>246857</v>
      </c>
      <c r="BD101" t="s">
        <v>74</v>
      </c>
      <c r="BE101" t="s">
        <v>1185</v>
      </c>
      <c r="BF101" t="s">
        <v>1186</v>
      </c>
      <c r="BH101" t="s">
        <v>77</v>
      </c>
      <c r="BI101" t="s">
        <v>129</v>
      </c>
      <c r="BJ101" t="s">
        <v>79</v>
      </c>
      <c r="BM101">
        <v>0</v>
      </c>
      <c r="BN101">
        <v>1</v>
      </c>
      <c r="BO101">
        <v>1</v>
      </c>
      <c r="BP101" t="s">
        <v>80</v>
      </c>
      <c r="BR101">
        <v>0</v>
      </c>
      <c r="BS101">
        <v>6</v>
      </c>
      <c r="BU101" s="1">
        <v>246857</v>
      </c>
    </row>
    <row r="102" spans="1:73" x14ac:dyDescent="0.3">
      <c r="A102" t="s">
        <v>4888</v>
      </c>
      <c r="B102">
        <v>6</v>
      </c>
      <c r="C102" s="1">
        <v>487158</v>
      </c>
      <c r="D102" s="1">
        <v>3</v>
      </c>
      <c r="E102" s="1">
        <v>3753246</v>
      </c>
      <c r="F102" s="1">
        <v>0</v>
      </c>
      <c r="G102" s="1">
        <v>0</v>
      </c>
      <c r="H102" s="1">
        <v>6</v>
      </c>
      <c r="I102" s="1">
        <v>10632586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18</v>
      </c>
      <c r="BC102" s="1">
        <v>18626236</v>
      </c>
      <c r="BD102" t="s">
        <v>74</v>
      </c>
      <c r="BE102" t="s">
        <v>4889</v>
      </c>
      <c r="BF102" t="s">
        <v>4890</v>
      </c>
      <c r="BH102" t="s">
        <v>77</v>
      </c>
      <c r="BI102" t="s">
        <v>593</v>
      </c>
      <c r="BJ102" t="s">
        <v>79</v>
      </c>
      <c r="BM102">
        <v>0</v>
      </c>
      <c r="BN102">
        <v>3</v>
      </c>
      <c r="BO102">
        <v>3</v>
      </c>
      <c r="BP102" t="s">
        <v>80</v>
      </c>
      <c r="BR102">
        <v>0</v>
      </c>
      <c r="BS102">
        <v>5</v>
      </c>
      <c r="BU102" s="1">
        <v>14872990</v>
      </c>
    </row>
    <row r="103" spans="1:73" x14ac:dyDescent="0.3">
      <c r="A103" t="s">
        <v>752</v>
      </c>
      <c r="B103">
        <v>1</v>
      </c>
      <c r="C103" s="1">
        <v>499090</v>
      </c>
      <c r="D103" s="1">
        <v>5</v>
      </c>
      <c r="E103" s="1">
        <v>2793029</v>
      </c>
      <c r="F103" s="1">
        <v>0</v>
      </c>
      <c r="G103" s="1">
        <v>0</v>
      </c>
      <c r="H103" s="1">
        <v>6</v>
      </c>
      <c r="I103" s="1">
        <v>286058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12</v>
      </c>
      <c r="BC103" s="1">
        <v>6158683</v>
      </c>
      <c r="BD103" t="s">
        <v>74</v>
      </c>
      <c r="BE103" t="s">
        <v>753</v>
      </c>
      <c r="BF103" t="s">
        <v>754</v>
      </c>
      <c r="BH103" t="s">
        <v>136</v>
      </c>
      <c r="BI103" t="s">
        <v>191</v>
      </c>
      <c r="BJ103" t="s">
        <v>125</v>
      </c>
      <c r="BM103">
        <v>0</v>
      </c>
      <c r="BN103">
        <v>3</v>
      </c>
      <c r="BO103">
        <v>3</v>
      </c>
      <c r="BP103" t="s">
        <v>80</v>
      </c>
      <c r="BR103">
        <v>0</v>
      </c>
      <c r="BS103">
        <v>6</v>
      </c>
      <c r="BU103" s="1">
        <v>3578177</v>
      </c>
    </row>
    <row r="104" spans="1:73" x14ac:dyDescent="0.3">
      <c r="A104" t="s">
        <v>1736</v>
      </c>
      <c r="B104">
        <v>0</v>
      </c>
      <c r="C104" s="1">
        <v>0</v>
      </c>
      <c r="D104" s="1">
        <v>14</v>
      </c>
      <c r="E104" s="1">
        <v>1933880</v>
      </c>
      <c r="F104" s="1">
        <v>0</v>
      </c>
      <c r="G104" s="1">
        <v>0</v>
      </c>
      <c r="H104" s="1">
        <v>26</v>
      </c>
      <c r="I104" s="1">
        <v>627760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7743000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2</v>
      </c>
      <c r="Z104" s="1">
        <v>169974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34</v>
      </c>
      <c r="BC104" s="1">
        <v>19693708</v>
      </c>
      <c r="BD104" t="s">
        <v>74</v>
      </c>
      <c r="BE104" t="s">
        <v>1737</v>
      </c>
      <c r="BF104" t="s">
        <v>1738</v>
      </c>
      <c r="BH104" t="s">
        <v>77</v>
      </c>
      <c r="BI104" t="s">
        <v>129</v>
      </c>
      <c r="BJ104" t="s">
        <v>79</v>
      </c>
      <c r="BM104">
        <v>1</v>
      </c>
      <c r="BN104">
        <v>3</v>
      </c>
      <c r="BO104">
        <v>4</v>
      </c>
      <c r="BP104" t="s">
        <v>80</v>
      </c>
      <c r="BR104">
        <v>0</v>
      </c>
      <c r="BS104">
        <v>5</v>
      </c>
      <c r="BU104" s="1">
        <v>10474614</v>
      </c>
    </row>
    <row r="105" spans="1:73" x14ac:dyDescent="0.3">
      <c r="A105" t="s">
        <v>1927</v>
      </c>
      <c r="B105">
        <v>35</v>
      </c>
      <c r="C105" s="1">
        <v>5579801</v>
      </c>
      <c r="D105" s="1">
        <v>4</v>
      </c>
      <c r="E105" s="1">
        <v>14310000</v>
      </c>
      <c r="F105" s="1">
        <v>0</v>
      </c>
      <c r="G105" s="1">
        <v>0</v>
      </c>
      <c r="H105" s="1">
        <v>2</v>
      </c>
      <c r="I105" s="1">
        <v>17733184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45</v>
      </c>
      <c r="BC105" s="1">
        <v>83164785</v>
      </c>
      <c r="BD105" t="s">
        <v>74</v>
      </c>
      <c r="BE105" t="s">
        <v>1928</v>
      </c>
      <c r="BF105" t="s">
        <v>754</v>
      </c>
      <c r="BH105" t="s">
        <v>136</v>
      </c>
      <c r="BI105" t="s">
        <v>191</v>
      </c>
      <c r="BJ105" t="s">
        <v>125</v>
      </c>
      <c r="BM105">
        <v>0</v>
      </c>
      <c r="BN105">
        <v>3</v>
      </c>
      <c r="BO105">
        <v>3</v>
      </c>
      <c r="BP105" t="s">
        <v>80</v>
      </c>
      <c r="BR105">
        <v>0</v>
      </c>
      <c r="BS105">
        <v>4</v>
      </c>
      <c r="BU105" s="1">
        <v>37622985</v>
      </c>
    </row>
    <row r="106" spans="1:73" x14ac:dyDescent="0.3">
      <c r="A106" t="s">
        <v>386</v>
      </c>
      <c r="B106">
        <v>0</v>
      </c>
      <c r="C106" s="1">
        <v>0</v>
      </c>
      <c r="D106" s="1">
        <v>1</v>
      </c>
      <c r="E106" s="1">
        <v>1875000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</v>
      </c>
      <c r="BC106" s="1">
        <v>1875000</v>
      </c>
      <c r="BD106" t="s">
        <v>74</v>
      </c>
      <c r="BE106" t="s">
        <v>387</v>
      </c>
      <c r="BF106" t="s">
        <v>388</v>
      </c>
      <c r="BH106" t="s">
        <v>77</v>
      </c>
      <c r="BI106" t="s">
        <v>129</v>
      </c>
      <c r="BJ106" t="s">
        <v>79</v>
      </c>
      <c r="BM106">
        <v>0</v>
      </c>
      <c r="BN106">
        <v>1</v>
      </c>
      <c r="BO106">
        <v>1</v>
      </c>
      <c r="BP106" t="s">
        <v>80</v>
      </c>
      <c r="BR106">
        <v>0</v>
      </c>
      <c r="BS106">
        <v>6</v>
      </c>
      <c r="BU106" s="1">
        <v>1875000</v>
      </c>
    </row>
    <row r="107" spans="1:73" x14ac:dyDescent="0.3">
      <c r="A107" t="s">
        <v>2973</v>
      </c>
      <c r="B107">
        <v>0</v>
      </c>
      <c r="C107" s="1">
        <v>0</v>
      </c>
      <c r="D107" s="1">
        <v>4</v>
      </c>
      <c r="E107" s="1">
        <v>1460000</v>
      </c>
      <c r="F107" s="1">
        <v>0</v>
      </c>
      <c r="G107" s="1">
        <v>0</v>
      </c>
      <c r="H107" s="1">
        <v>6</v>
      </c>
      <c r="I107" s="1">
        <v>120000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8</v>
      </c>
      <c r="BC107" s="1">
        <v>2920000</v>
      </c>
      <c r="BD107" t="s">
        <v>74</v>
      </c>
      <c r="BE107" t="s">
        <v>2974</v>
      </c>
      <c r="BF107" t="s">
        <v>2975</v>
      </c>
      <c r="BH107" t="s">
        <v>77</v>
      </c>
      <c r="BI107" t="s">
        <v>129</v>
      </c>
      <c r="BJ107" t="s">
        <v>79</v>
      </c>
      <c r="BM107">
        <v>0</v>
      </c>
      <c r="BN107">
        <v>2</v>
      </c>
      <c r="BO107">
        <v>2</v>
      </c>
      <c r="BP107" t="s">
        <v>80</v>
      </c>
      <c r="BR107">
        <v>0</v>
      </c>
      <c r="BS107">
        <v>6</v>
      </c>
      <c r="BU107" s="1">
        <v>1580000</v>
      </c>
    </row>
    <row r="108" spans="1:73" x14ac:dyDescent="0.3">
      <c r="A108" t="s">
        <v>440</v>
      </c>
      <c r="B108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4</v>
      </c>
      <c r="I108" s="1">
        <v>80000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4</v>
      </c>
      <c r="BC108" s="1">
        <v>80000</v>
      </c>
      <c r="BD108" t="s">
        <v>74</v>
      </c>
      <c r="BE108" t="s">
        <v>441</v>
      </c>
      <c r="BF108" t="s">
        <v>442</v>
      </c>
      <c r="BH108" t="s">
        <v>77</v>
      </c>
      <c r="BI108" t="s">
        <v>129</v>
      </c>
      <c r="BJ108" t="s">
        <v>79</v>
      </c>
      <c r="BM108">
        <v>0</v>
      </c>
      <c r="BN108">
        <v>1</v>
      </c>
      <c r="BO108">
        <v>1</v>
      </c>
      <c r="BP108" t="s">
        <v>80</v>
      </c>
      <c r="BR108">
        <v>0</v>
      </c>
      <c r="BS108">
        <v>6</v>
      </c>
      <c r="BU108" s="1">
        <v>80000</v>
      </c>
    </row>
    <row r="109" spans="1:73" x14ac:dyDescent="0.3">
      <c r="A109" t="s">
        <v>222</v>
      </c>
      <c r="B109">
        <v>0</v>
      </c>
      <c r="C109" s="1">
        <v>0</v>
      </c>
      <c r="D109" s="1">
        <v>1</v>
      </c>
      <c r="E109" s="1">
        <v>668000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</v>
      </c>
      <c r="BC109" s="1">
        <v>668000</v>
      </c>
      <c r="BD109" t="s">
        <v>74</v>
      </c>
      <c r="BE109" t="s">
        <v>223</v>
      </c>
      <c r="BF109" t="s">
        <v>224</v>
      </c>
      <c r="BH109" t="s">
        <v>77</v>
      </c>
      <c r="BI109" t="s">
        <v>129</v>
      </c>
      <c r="BJ109" t="s">
        <v>79</v>
      </c>
      <c r="BM109">
        <v>0</v>
      </c>
      <c r="BN109">
        <v>1</v>
      </c>
      <c r="BO109">
        <v>1</v>
      </c>
      <c r="BP109" t="s">
        <v>80</v>
      </c>
      <c r="BR109">
        <v>0</v>
      </c>
      <c r="BS109">
        <v>6</v>
      </c>
      <c r="BU109" s="1">
        <v>668000</v>
      </c>
    </row>
    <row r="110" spans="1:73" x14ac:dyDescent="0.3">
      <c r="A110" t="s">
        <v>3813</v>
      </c>
      <c r="B110">
        <v>9</v>
      </c>
      <c r="C110" s="1">
        <v>2985562</v>
      </c>
      <c r="D110" s="1">
        <v>3</v>
      </c>
      <c r="E110" s="1">
        <v>1240000</v>
      </c>
      <c r="F110" s="1">
        <v>0</v>
      </c>
      <c r="G110" s="1">
        <v>0</v>
      </c>
      <c r="H110" s="1">
        <v>4</v>
      </c>
      <c r="I110" s="1">
        <v>80000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15</v>
      </c>
      <c r="BC110" s="1">
        <v>5465562</v>
      </c>
      <c r="BD110" t="s">
        <v>74</v>
      </c>
      <c r="BE110" t="s">
        <v>3814</v>
      </c>
      <c r="BF110" t="s">
        <v>3815</v>
      </c>
      <c r="BH110" t="s">
        <v>136</v>
      </c>
      <c r="BI110" t="s">
        <v>191</v>
      </c>
      <c r="BJ110" t="s">
        <v>125</v>
      </c>
      <c r="BM110">
        <v>0</v>
      </c>
      <c r="BN110">
        <v>3</v>
      </c>
      <c r="BO110">
        <v>3</v>
      </c>
      <c r="BP110" t="s">
        <v>80</v>
      </c>
      <c r="BR110">
        <v>0</v>
      </c>
      <c r="BS110">
        <v>6</v>
      </c>
      <c r="BU110" s="1">
        <v>4305562</v>
      </c>
    </row>
    <row r="111" spans="1:73" s="8" customFormat="1" x14ac:dyDescent="0.3">
      <c r="A111" s="13" t="s">
        <v>5984</v>
      </c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5">
        <f>SUM(BC2:BC110)</f>
        <v>642060445</v>
      </c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5">
        <f>SUM(BU2:BU110)</f>
        <v>392312811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553E-FDA4-4AA1-AEAF-6F43996EE3A0}">
  <dimension ref="A1:BU35"/>
  <sheetViews>
    <sheetView topLeftCell="A11" workbookViewId="0">
      <pane xSplit="1" topLeftCell="BC1" activePane="topRight" state="frozen"/>
      <selection pane="topRight" activeCell="BU2" sqref="BU2:BU34"/>
    </sheetView>
  </sheetViews>
  <sheetFormatPr defaultRowHeight="14.4" x14ac:dyDescent="0.3"/>
  <cols>
    <col min="1" max="1" width="20.109375" bestFit="1" customWidth="1"/>
    <col min="2" max="2" width="0" hidden="1" customWidth="1"/>
    <col min="3" max="3" width="12.77734375" style="1" hidden="1" customWidth="1"/>
    <col min="4" max="4" width="9" style="1" hidden="1" customWidth="1"/>
    <col min="5" max="5" width="10.21875" style="1" hidden="1" customWidth="1"/>
    <col min="6" max="8" width="9" style="1" hidden="1" customWidth="1"/>
    <col min="9" max="9" width="12.77734375" style="1" hidden="1" customWidth="1"/>
    <col min="10" max="25" width="0" hidden="1" customWidth="1"/>
    <col min="26" max="26" width="10.33203125" style="1" hidden="1" customWidth="1"/>
    <col min="27" max="49" width="0" hidden="1" customWidth="1"/>
    <col min="50" max="50" width="11.33203125" style="1" hidden="1" customWidth="1"/>
    <col min="51" max="54" width="0" hidden="1" customWidth="1"/>
    <col min="55" max="55" width="12.44140625" bestFit="1" customWidth="1"/>
    <col min="57" max="57" width="63.6640625" customWidth="1"/>
    <col min="58" max="58" width="53.44140625" customWidth="1"/>
    <col min="59" max="59" width="31.88671875" hidden="1" customWidth="1"/>
    <col min="60" max="72" width="0" hidden="1" customWidth="1"/>
    <col min="73" max="73" width="12.21875" customWidth="1"/>
  </cols>
  <sheetData>
    <row r="1" spans="1:73" s="8" customFormat="1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9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9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16" t="s">
        <v>72</v>
      </c>
    </row>
    <row r="2" spans="1:73" x14ac:dyDescent="0.3">
      <c r="A2" t="s">
        <v>1240</v>
      </c>
      <c r="B2">
        <v>0</v>
      </c>
      <c r="C2" s="1">
        <v>0</v>
      </c>
      <c r="D2" s="1">
        <v>10</v>
      </c>
      <c r="E2" s="1">
        <v>5401080</v>
      </c>
      <c r="F2" s="1">
        <v>0</v>
      </c>
      <c r="G2" s="1">
        <v>0</v>
      </c>
      <c r="H2" s="1">
        <v>17</v>
      </c>
      <c r="I2" s="1">
        <v>402160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1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s="1">
        <v>0</v>
      </c>
      <c r="AY2">
        <v>0</v>
      </c>
      <c r="AZ2">
        <v>0</v>
      </c>
      <c r="BA2">
        <v>0</v>
      </c>
      <c r="BB2">
        <v>22</v>
      </c>
      <c r="BC2" s="1">
        <v>10232160</v>
      </c>
      <c r="BD2" t="s">
        <v>74</v>
      </c>
      <c r="BE2" t="s">
        <v>1241</v>
      </c>
      <c r="BF2" t="s">
        <v>1242</v>
      </c>
      <c r="BH2" t="s">
        <v>77</v>
      </c>
      <c r="BI2" t="s">
        <v>88</v>
      </c>
      <c r="BJ2" t="s">
        <v>79</v>
      </c>
      <c r="BM2">
        <v>0</v>
      </c>
      <c r="BN2">
        <v>2</v>
      </c>
      <c r="BO2">
        <v>2</v>
      </c>
      <c r="BP2" t="s">
        <v>80</v>
      </c>
      <c r="BR2">
        <v>0</v>
      </c>
      <c r="BS2">
        <v>5</v>
      </c>
      <c r="BU2" s="1">
        <v>5803240</v>
      </c>
    </row>
    <row r="3" spans="1:73" x14ac:dyDescent="0.3">
      <c r="A3" t="s">
        <v>1280</v>
      </c>
      <c r="B3">
        <v>0</v>
      </c>
      <c r="C3" s="1">
        <v>0</v>
      </c>
      <c r="D3" s="1">
        <v>1</v>
      </c>
      <c r="E3" s="1">
        <v>900000</v>
      </c>
      <c r="F3" s="1">
        <v>0</v>
      </c>
      <c r="G3" s="1">
        <v>0</v>
      </c>
      <c r="H3" s="1">
        <v>15</v>
      </c>
      <c r="I3" s="1">
        <v>301786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 s="1">
        <v>78585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1">
        <v>0</v>
      </c>
      <c r="AY3">
        <v>0</v>
      </c>
      <c r="AZ3">
        <v>0</v>
      </c>
      <c r="BA3">
        <v>0</v>
      </c>
      <c r="BB3">
        <v>18</v>
      </c>
      <c r="BC3" s="1">
        <v>2180371</v>
      </c>
      <c r="BD3" t="s">
        <v>74</v>
      </c>
      <c r="BE3" t="s">
        <v>1281</v>
      </c>
      <c r="BF3" t="s">
        <v>1242</v>
      </c>
      <c r="BH3" t="s">
        <v>77</v>
      </c>
      <c r="BI3" t="s">
        <v>88</v>
      </c>
      <c r="BJ3" t="s">
        <v>79</v>
      </c>
      <c r="BM3">
        <v>1</v>
      </c>
      <c r="BN3">
        <v>2</v>
      </c>
      <c r="BO3">
        <v>3</v>
      </c>
      <c r="BP3" t="s">
        <v>80</v>
      </c>
      <c r="BR3">
        <v>0</v>
      </c>
      <c r="BS3">
        <v>6</v>
      </c>
      <c r="BU3" s="1">
        <v>1280371</v>
      </c>
    </row>
    <row r="4" spans="1:73" x14ac:dyDescent="0.3">
      <c r="A4" t="s">
        <v>1396</v>
      </c>
      <c r="B4">
        <v>8</v>
      </c>
      <c r="C4" s="1">
        <v>1444772</v>
      </c>
      <c r="D4" s="1">
        <v>7</v>
      </c>
      <c r="E4" s="1">
        <v>1088934</v>
      </c>
      <c r="F4" s="1">
        <v>0</v>
      </c>
      <c r="G4" s="1">
        <v>0</v>
      </c>
      <c r="H4" s="1">
        <v>10</v>
      </c>
      <c r="I4" s="1">
        <v>667868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1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1">
        <v>0</v>
      </c>
      <c r="AY4">
        <v>0</v>
      </c>
      <c r="AZ4">
        <v>0</v>
      </c>
      <c r="BA4">
        <v>0</v>
      </c>
      <c r="BB4">
        <v>22</v>
      </c>
      <c r="BC4" s="1">
        <v>3622640</v>
      </c>
      <c r="BD4" t="s">
        <v>74</v>
      </c>
      <c r="BE4" t="s">
        <v>1397</v>
      </c>
      <c r="BF4" t="s">
        <v>1242</v>
      </c>
      <c r="BH4" t="s">
        <v>175</v>
      </c>
      <c r="BI4" t="s">
        <v>176</v>
      </c>
      <c r="BJ4" t="s">
        <v>125</v>
      </c>
      <c r="BM4">
        <v>0</v>
      </c>
      <c r="BN4">
        <v>3</v>
      </c>
      <c r="BO4">
        <v>3</v>
      </c>
      <c r="BP4" t="s">
        <v>80</v>
      </c>
      <c r="BR4">
        <v>0</v>
      </c>
      <c r="BS4">
        <v>6</v>
      </c>
      <c r="BU4" s="1">
        <v>3201574</v>
      </c>
    </row>
    <row r="5" spans="1:73" x14ac:dyDescent="0.3">
      <c r="A5" t="s">
        <v>1570</v>
      </c>
      <c r="B5">
        <v>0</v>
      </c>
      <c r="C5" s="1">
        <v>0</v>
      </c>
      <c r="D5" s="1">
        <v>9</v>
      </c>
      <c r="E5" s="1">
        <v>4443742</v>
      </c>
      <c r="F5" s="1">
        <v>0</v>
      </c>
      <c r="G5" s="1">
        <v>0</v>
      </c>
      <c r="H5" s="1">
        <v>16</v>
      </c>
      <c r="I5" s="1">
        <v>397484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1">
        <v>0</v>
      </c>
      <c r="AY5">
        <v>0</v>
      </c>
      <c r="AZ5">
        <v>0</v>
      </c>
      <c r="BA5">
        <v>0</v>
      </c>
      <c r="BB5">
        <v>22</v>
      </c>
      <c r="BC5" s="1">
        <v>8967484</v>
      </c>
      <c r="BD5" t="s">
        <v>74</v>
      </c>
      <c r="BE5" t="s">
        <v>1571</v>
      </c>
      <c r="BF5" t="s">
        <v>1242</v>
      </c>
      <c r="BH5" t="s">
        <v>77</v>
      </c>
      <c r="BI5" t="s">
        <v>88</v>
      </c>
      <c r="BJ5" t="s">
        <v>79</v>
      </c>
      <c r="BM5">
        <v>0</v>
      </c>
      <c r="BN5">
        <v>2</v>
      </c>
      <c r="BO5">
        <v>2</v>
      </c>
      <c r="BP5" t="s">
        <v>80</v>
      </c>
      <c r="BR5">
        <v>0</v>
      </c>
      <c r="BS5">
        <v>6</v>
      </c>
      <c r="BU5" s="1">
        <v>4841226</v>
      </c>
    </row>
    <row r="6" spans="1:73" x14ac:dyDescent="0.3">
      <c r="A6" t="s">
        <v>1950</v>
      </c>
      <c r="B6">
        <v>0</v>
      </c>
      <c r="C6" s="1">
        <v>0</v>
      </c>
      <c r="D6" s="1">
        <v>5</v>
      </c>
      <c r="E6" s="1">
        <v>1564373</v>
      </c>
      <c r="F6" s="1">
        <v>0</v>
      </c>
      <c r="G6" s="1">
        <v>0</v>
      </c>
      <c r="H6" s="1">
        <v>8</v>
      </c>
      <c r="I6" s="1">
        <v>248746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1">
        <v>0</v>
      </c>
      <c r="AY6">
        <v>0</v>
      </c>
      <c r="AZ6">
        <v>0</v>
      </c>
      <c r="BA6">
        <v>0</v>
      </c>
      <c r="BB6">
        <v>10</v>
      </c>
      <c r="BC6" s="1">
        <v>3128746</v>
      </c>
      <c r="BD6" t="s">
        <v>74</v>
      </c>
      <c r="BE6" t="s">
        <v>1951</v>
      </c>
      <c r="BF6" t="s">
        <v>1242</v>
      </c>
      <c r="BH6" t="s">
        <v>77</v>
      </c>
      <c r="BI6" t="s">
        <v>88</v>
      </c>
      <c r="BJ6" t="s">
        <v>79</v>
      </c>
      <c r="BM6">
        <v>0</v>
      </c>
      <c r="BN6">
        <v>2</v>
      </c>
      <c r="BO6">
        <v>2</v>
      </c>
      <c r="BP6" t="s">
        <v>80</v>
      </c>
      <c r="BR6">
        <v>0</v>
      </c>
      <c r="BS6">
        <v>6</v>
      </c>
      <c r="BU6" s="1">
        <v>1813119</v>
      </c>
    </row>
    <row r="7" spans="1:73" x14ac:dyDescent="0.3">
      <c r="A7" t="s">
        <v>1952</v>
      </c>
      <c r="B7">
        <v>0</v>
      </c>
      <c r="C7" s="1">
        <v>0</v>
      </c>
      <c r="D7" s="1">
        <v>10</v>
      </c>
      <c r="E7" s="1">
        <v>4978429</v>
      </c>
      <c r="F7" s="1">
        <v>0</v>
      </c>
      <c r="G7" s="1">
        <v>0</v>
      </c>
      <c r="H7" s="1">
        <v>22</v>
      </c>
      <c r="I7" s="1">
        <v>618288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 s="1">
        <v>73535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1">
        <v>0</v>
      </c>
      <c r="AY7">
        <v>0</v>
      </c>
      <c r="AZ7">
        <v>0</v>
      </c>
      <c r="BA7">
        <v>0</v>
      </c>
      <c r="BB7">
        <v>31</v>
      </c>
      <c r="BC7" s="1">
        <v>10342513</v>
      </c>
      <c r="BD7" t="s">
        <v>74</v>
      </c>
      <c r="BE7" t="s">
        <v>1953</v>
      </c>
      <c r="BF7" t="s">
        <v>1242</v>
      </c>
      <c r="BH7" t="s">
        <v>77</v>
      </c>
      <c r="BI7" t="s">
        <v>88</v>
      </c>
      <c r="BJ7" t="s">
        <v>79</v>
      </c>
      <c r="BM7">
        <v>1</v>
      </c>
      <c r="BN7">
        <v>2</v>
      </c>
      <c r="BO7">
        <v>3</v>
      </c>
      <c r="BP7" t="s">
        <v>80</v>
      </c>
      <c r="BR7">
        <v>0</v>
      </c>
      <c r="BS7">
        <v>6</v>
      </c>
      <c r="BU7" s="1">
        <v>5670252</v>
      </c>
    </row>
    <row r="8" spans="1:73" x14ac:dyDescent="0.3">
      <c r="A8" t="s">
        <v>2209</v>
      </c>
      <c r="B8">
        <v>0</v>
      </c>
      <c r="C8" s="1">
        <v>0</v>
      </c>
      <c r="D8" s="1">
        <v>10</v>
      </c>
      <c r="E8" s="1">
        <v>987025</v>
      </c>
      <c r="F8" s="1">
        <v>0</v>
      </c>
      <c r="G8" s="1">
        <v>0</v>
      </c>
      <c r="H8" s="1">
        <v>16</v>
      </c>
      <c r="I8" s="1">
        <v>464050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1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1">
        <v>0</v>
      </c>
      <c r="AY8">
        <v>0</v>
      </c>
      <c r="AZ8">
        <v>0</v>
      </c>
      <c r="BA8">
        <v>0</v>
      </c>
      <c r="BB8">
        <v>20</v>
      </c>
      <c r="BC8" s="1">
        <v>1974050</v>
      </c>
      <c r="BD8" t="s">
        <v>74</v>
      </c>
      <c r="BE8" t="s">
        <v>2210</v>
      </c>
      <c r="BF8" t="s">
        <v>1242</v>
      </c>
      <c r="BH8" t="s">
        <v>77</v>
      </c>
      <c r="BI8" t="s">
        <v>88</v>
      </c>
      <c r="BJ8" t="s">
        <v>79</v>
      </c>
      <c r="BM8">
        <v>0</v>
      </c>
      <c r="BN8">
        <v>2</v>
      </c>
      <c r="BO8">
        <v>2</v>
      </c>
      <c r="BP8" t="s">
        <v>80</v>
      </c>
      <c r="BR8">
        <v>0</v>
      </c>
      <c r="BS8">
        <v>4</v>
      </c>
      <c r="BU8" s="1">
        <v>1451075</v>
      </c>
    </row>
    <row r="9" spans="1:73" x14ac:dyDescent="0.3">
      <c r="A9" t="s">
        <v>2306</v>
      </c>
      <c r="B9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6</v>
      </c>
      <c r="I9" s="1">
        <v>120000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1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s="1">
        <v>0</v>
      </c>
      <c r="AY9">
        <v>0</v>
      </c>
      <c r="AZ9">
        <v>0</v>
      </c>
      <c r="BA9">
        <v>0</v>
      </c>
      <c r="BB9">
        <v>6</v>
      </c>
      <c r="BC9" s="1">
        <v>120000</v>
      </c>
      <c r="BD9" t="s">
        <v>74</v>
      </c>
      <c r="BE9" t="s">
        <v>2307</v>
      </c>
      <c r="BF9" t="s">
        <v>1242</v>
      </c>
      <c r="BH9" t="s">
        <v>77</v>
      </c>
      <c r="BI9" t="s">
        <v>88</v>
      </c>
      <c r="BJ9" t="s">
        <v>79</v>
      </c>
      <c r="BM9">
        <v>0</v>
      </c>
      <c r="BN9">
        <v>1</v>
      </c>
      <c r="BO9">
        <v>1</v>
      </c>
      <c r="BP9" t="s">
        <v>80</v>
      </c>
      <c r="BR9">
        <v>0</v>
      </c>
      <c r="BS9">
        <v>6</v>
      </c>
      <c r="BU9" s="1">
        <v>120000</v>
      </c>
    </row>
    <row r="10" spans="1:73" x14ac:dyDescent="0.3">
      <c r="A10" t="s">
        <v>4906</v>
      </c>
      <c r="B10">
        <v>0</v>
      </c>
      <c r="C10" s="1">
        <v>0</v>
      </c>
      <c r="D10" s="1">
        <v>7</v>
      </c>
      <c r="E10" s="1">
        <v>2588799</v>
      </c>
      <c r="F10" s="1">
        <v>0</v>
      </c>
      <c r="G10" s="1">
        <v>0</v>
      </c>
      <c r="H10" s="1">
        <v>11</v>
      </c>
      <c r="I10" s="1">
        <v>220564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1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s="1">
        <v>0</v>
      </c>
      <c r="AY10">
        <v>0</v>
      </c>
      <c r="AZ10">
        <v>0</v>
      </c>
      <c r="BA10">
        <v>0</v>
      </c>
      <c r="BB10">
        <v>16</v>
      </c>
      <c r="BC10" s="1">
        <v>5581469</v>
      </c>
      <c r="BD10" t="s">
        <v>74</v>
      </c>
      <c r="BE10" t="s">
        <v>4907</v>
      </c>
      <c r="BF10" t="s">
        <v>1242</v>
      </c>
      <c r="BH10" t="s">
        <v>77</v>
      </c>
      <c r="BI10" t="s">
        <v>88</v>
      </c>
      <c r="BJ10" t="s">
        <v>79</v>
      </c>
      <c r="BM10">
        <v>0</v>
      </c>
      <c r="BN10">
        <v>2</v>
      </c>
      <c r="BO10">
        <v>2</v>
      </c>
      <c r="BP10" t="s">
        <v>80</v>
      </c>
      <c r="BR10">
        <v>0</v>
      </c>
      <c r="BS10">
        <v>6</v>
      </c>
      <c r="BU10" s="1">
        <v>2809363</v>
      </c>
    </row>
    <row r="11" spans="1:73" x14ac:dyDescent="0.3">
      <c r="A11" t="s">
        <v>727</v>
      </c>
      <c r="B11">
        <v>1</v>
      </c>
      <c r="C11" s="1">
        <v>399091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1">
        <v>0</v>
      </c>
      <c r="AY11">
        <v>0</v>
      </c>
      <c r="AZ11">
        <v>0</v>
      </c>
      <c r="BA11">
        <v>0</v>
      </c>
      <c r="BB11">
        <v>1</v>
      </c>
      <c r="BC11" s="1">
        <v>399091</v>
      </c>
      <c r="BD11" t="s">
        <v>74</v>
      </c>
      <c r="BE11" t="s">
        <v>728</v>
      </c>
      <c r="BF11" t="s">
        <v>729</v>
      </c>
      <c r="BH11" t="s">
        <v>77</v>
      </c>
      <c r="BI11" t="s">
        <v>88</v>
      </c>
      <c r="BJ11" t="s">
        <v>79</v>
      </c>
      <c r="BM11">
        <v>0</v>
      </c>
      <c r="BN11">
        <v>1</v>
      </c>
      <c r="BO11">
        <v>1</v>
      </c>
      <c r="BP11" t="s">
        <v>80</v>
      </c>
      <c r="BR11">
        <v>0</v>
      </c>
      <c r="BS11">
        <v>6</v>
      </c>
      <c r="BU11" s="1">
        <v>399091</v>
      </c>
    </row>
    <row r="12" spans="1:73" x14ac:dyDescent="0.3">
      <c r="A12" t="s">
        <v>85</v>
      </c>
      <c r="B12">
        <v>0</v>
      </c>
      <c r="C12" s="1">
        <v>0</v>
      </c>
      <c r="D12" s="1">
        <v>1</v>
      </c>
      <c r="E12" s="1">
        <v>428571</v>
      </c>
      <c r="F12" s="1">
        <v>0</v>
      </c>
      <c r="G12" s="1">
        <v>0</v>
      </c>
      <c r="H12" s="1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1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1">
        <v>0</v>
      </c>
      <c r="AY12">
        <v>0</v>
      </c>
      <c r="AZ12">
        <v>0</v>
      </c>
      <c r="BA12">
        <v>0</v>
      </c>
      <c r="BB12">
        <v>1</v>
      </c>
      <c r="BC12" s="1">
        <v>428571</v>
      </c>
      <c r="BD12" t="s">
        <v>74</v>
      </c>
      <c r="BE12" t="s">
        <v>86</v>
      </c>
      <c r="BF12" t="s">
        <v>87</v>
      </c>
      <c r="BH12" t="s">
        <v>77</v>
      </c>
      <c r="BI12" t="s">
        <v>88</v>
      </c>
      <c r="BJ12" t="s">
        <v>79</v>
      </c>
      <c r="BM12">
        <v>0</v>
      </c>
      <c r="BN12">
        <v>1</v>
      </c>
      <c r="BO12">
        <v>1</v>
      </c>
      <c r="BP12" t="s">
        <v>80</v>
      </c>
      <c r="BR12">
        <v>0</v>
      </c>
      <c r="BS12">
        <v>6</v>
      </c>
      <c r="BU12" s="1">
        <v>428571</v>
      </c>
    </row>
    <row r="13" spans="1:73" x14ac:dyDescent="0.3">
      <c r="A13" t="s">
        <v>533</v>
      </c>
      <c r="B13">
        <v>0</v>
      </c>
      <c r="C13" s="1">
        <v>0</v>
      </c>
      <c r="D13" s="1">
        <v>1</v>
      </c>
      <c r="E13" s="1">
        <v>1080000</v>
      </c>
      <c r="F13" s="1">
        <v>0</v>
      </c>
      <c r="G13" s="1">
        <v>0</v>
      </c>
      <c r="H13" s="1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1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1">
        <v>0</v>
      </c>
      <c r="AY13">
        <v>0</v>
      </c>
      <c r="AZ13">
        <v>0</v>
      </c>
      <c r="BA13">
        <v>0</v>
      </c>
      <c r="BB13">
        <v>2</v>
      </c>
      <c r="BC13" s="1">
        <v>2160000</v>
      </c>
      <c r="BD13" t="s">
        <v>74</v>
      </c>
      <c r="BE13" t="s">
        <v>534</v>
      </c>
      <c r="BF13" t="s">
        <v>535</v>
      </c>
      <c r="BH13" t="s">
        <v>77</v>
      </c>
      <c r="BI13" t="s">
        <v>88</v>
      </c>
      <c r="BJ13" t="s">
        <v>79</v>
      </c>
      <c r="BM13">
        <v>0</v>
      </c>
      <c r="BN13">
        <v>1</v>
      </c>
      <c r="BO13">
        <v>1</v>
      </c>
      <c r="BP13" t="s">
        <v>80</v>
      </c>
      <c r="BR13">
        <v>0</v>
      </c>
      <c r="BS13">
        <v>6</v>
      </c>
      <c r="BU13" s="1">
        <v>1080000</v>
      </c>
    </row>
    <row r="14" spans="1:73" x14ac:dyDescent="0.3">
      <c r="A14" t="s">
        <v>1762</v>
      </c>
      <c r="B14">
        <v>0</v>
      </c>
      <c r="C14" s="1">
        <v>0</v>
      </c>
      <c r="D14" s="1">
        <v>1</v>
      </c>
      <c r="E14" s="1">
        <v>340000</v>
      </c>
      <c r="F14" s="1">
        <v>0</v>
      </c>
      <c r="G14" s="1">
        <v>0</v>
      </c>
      <c r="H14" s="1">
        <v>2</v>
      </c>
      <c r="I14" s="1">
        <v>40000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1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1">
        <v>0</v>
      </c>
      <c r="AY14">
        <v>0</v>
      </c>
      <c r="AZ14">
        <v>0</v>
      </c>
      <c r="BA14">
        <v>0</v>
      </c>
      <c r="BB14">
        <v>3</v>
      </c>
      <c r="BC14" s="1">
        <v>380000</v>
      </c>
      <c r="BD14" t="s">
        <v>74</v>
      </c>
      <c r="BE14" t="s">
        <v>1763</v>
      </c>
      <c r="BF14" t="s">
        <v>1764</v>
      </c>
      <c r="BH14" t="s">
        <v>77</v>
      </c>
      <c r="BI14" t="s">
        <v>88</v>
      </c>
      <c r="BJ14" t="s">
        <v>79</v>
      </c>
      <c r="BM14">
        <v>0</v>
      </c>
      <c r="BN14">
        <v>2</v>
      </c>
      <c r="BO14">
        <v>2</v>
      </c>
      <c r="BP14" t="s">
        <v>80</v>
      </c>
      <c r="BR14">
        <v>0</v>
      </c>
      <c r="BS14">
        <v>6</v>
      </c>
      <c r="BU14" s="1">
        <v>380000</v>
      </c>
    </row>
    <row r="15" spans="1:73" x14ac:dyDescent="0.3">
      <c r="A15" t="s">
        <v>172</v>
      </c>
      <c r="B15">
        <v>0</v>
      </c>
      <c r="C15" s="1">
        <v>0</v>
      </c>
      <c r="D15" s="1">
        <v>1</v>
      </c>
      <c r="E15" s="1">
        <v>1350000</v>
      </c>
      <c r="F15" s="1">
        <v>0</v>
      </c>
      <c r="G15" s="1">
        <v>0</v>
      </c>
      <c r="H15" s="1">
        <v>0</v>
      </c>
      <c r="I15" s="1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1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1">
        <v>0</v>
      </c>
      <c r="AY15">
        <v>0</v>
      </c>
      <c r="AZ15">
        <v>0</v>
      </c>
      <c r="BA15">
        <v>0</v>
      </c>
      <c r="BB15">
        <v>2</v>
      </c>
      <c r="BC15" s="1">
        <v>2700000</v>
      </c>
      <c r="BD15" t="s">
        <v>74</v>
      </c>
      <c r="BE15" t="s">
        <v>173</v>
      </c>
      <c r="BF15" t="s">
        <v>174</v>
      </c>
      <c r="BH15" t="s">
        <v>175</v>
      </c>
      <c r="BI15" t="s">
        <v>176</v>
      </c>
      <c r="BJ15" t="s">
        <v>125</v>
      </c>
      <c r="BM15">
        <v>0</v>
      </c>
      <c r="BN15">
        <v>1</v>
      </c>
      <c r="BO15">
        <v>1</v>
      </c>
      <c r="BP15" t="s">
        <v>80</v>
      </c>
      <c r="BR15">
        <v>0</v>
      </c>
      <c r="BS15">
        <v>6</v>
      </c>
      <c r="BU15" s="1">
        <v>1350000</v>
      </c>
    </row>
    <row r="16" spans="1:73" x14ac:dyDescent="0.3">
      <c r="A16" t="s">
        <v>180</v>
      </c>
      <c r="B16">
        <v>1</v>
      </c>
      <c r="C16" s="1">
        <v>254568</v>
      </c>
      <c r="D16" s="1">
        <v>6</v>
      </c>
      <c r="E16" s="1">
        <v>2985914</v>
      </c>
      <c r="F16" s="1">
        <v>0</v>
      </c>
      <c r="G16" s="1">
        <v>0</v>
      </c>
      <c r="H16" s="1">
        <v>15</v>
      </c>
      <c r="I16" s="1">
        <v>300400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1">
        <v>0</v>
      </c>
      <c r="AY16">
        <v>0</v>
      </c>
      <c r="AZ16">
        <v>0</v>
      </c>
      <c r="BA16">
        <v>0</v>
      </c>
      <c r="BB16">
        <v>23</v>
      </c>
      <c r="BC16" s="1">
        <v>6484981</v>
      </c>
      <c r="BD16" t="s">
        <v>74</v>
      </c>
      <c r="BE16" t="s">
        <v>181</v>
      </c>
      <c r="BF16" t="s">
        <v>174</v>
      </c>
      <c r="BH16" t="s">
        <v>175</v>
      </c>
      <c r="BI16" t="s">
        <v>176</v>
      </c>
      <c r="BJ16" t="s">
        <v>125</v>
      </c>
      <c r="BM16">
        <v>0</v>
      </c>
      <c r="BN16">
        <v>3</v>
      </c>
      <c r="BO16">
        <v>3</v>
      </c>
      <c r="BP16" t="s">
        <v>99</v>
      </c>
      <c r="BR16">
        <v>0</v>
      </c>
      <c r="BS16">
        <v>6</v>
      </c>
      <c r="BU16" s="1">
        <v>3540882</v>
      </c>
    </row>
    <row r="17" spans="1:73" x14ac:dyDescent="0.3">
      <c r="A17" t="s">
        <v>543</v>
      </c>
      <c r="B17">
        <v>0</v>
      </c>
      <c r="C17" s="1">
        <v>0</v>
      </c>
      <c r="D17" s="1">
        <v>1</v>
      </c>
      <c r="E17" s="1">
        <v>520000</v>
      </c>
      <c r="F17" s="1">
        <v>0</v>
      </c>
      <c r="G17" s="1">
        <v>0</v>
      </c>
      <c r="H17" s="1">
        <v>2</v>
      </c>
      <c r="I17" s="1">
        <v>40000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s="1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1">
        <v>0</v>
      </c>
      <c r="AY17">
        <v>0</v>
      </c>
      <c r="AZ17">
        <v>0</v>
      </c>
      <c r="BA17">
        <v>0</v>
      </c>
      <c r="BB17">
        <v>3</v>
      </c>
      <c r="BC17" s="1">
        <v>560000</v>
      </c>
      <c r="BD17" t="s">
        <v>74</v>
      </c>
      <c r="BE17" t="s">
        <v>544</v>
      </c>
      <c r="BF17" t="s">
        <v>545</v>
      </c>
      <c r="BH17" t="s">
        <v>77</v>
      </c>
      <c r="BI17" t="s">
        <v>84</v>
      </c>
      <c r="BJ17" t="s">
        <v>79</v>
      </c>
      <c r="BM17">
        <v>0</v>
      </c>
      <c r="BN17">
        <v>2</v>
      </c>
      <c r="BO17">
        <v>2</v>
      </c>
      <c r="BP17" t="s">
        <v>80</v>
      </c>
      <c r="BR17">
        <v>0</v>
      </c>
      <c r="BS17">
        <v>6</v>
      </c>
      <c r="BU17" s="1">
        <v>560000</v>
      </c>
    </row>
    <row r="18" spans="1:73" x14ac:dyDescent="0.3">
      <c r="A18" t="s">
        <v>749</v>
      </c>
      <c r="B18">
        <v>0</v>
      </c>
      <c r="C18" s="1">
        <v>0</v>
      </c>
      <c r="D18" s="1">
        <v>15</v>
      </c>
      <c r="E18" s="1">
        <v>2166154</v>
      </c>
      <c r="F18" s="1">
        <v>0</v>
      </c>
      <c r="G18" s="1">
        <v>0</v>
      </c>
      <c r="H18" s="1">
        <v>22</v>
      </c>
      <c r="I18" s="1">
        <v>690308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1">
        <v>0</v>
      </c>
      <c r="AY18">
        <v>0</v>
      </c>
      <c r="AZ18">
        <v>0</v>
      </c>
      <c r="BA18">
        <v>0</v>
      </c>
      <c r="BB18">
        <v>30</v>
      </c>
      <c r="BC18" s="1">
        <v>4332308</v>
      </c>
      <c r="BD18" t="s">
        <v>74</v>
      </c>
      <c r="BE18" t="s">
        <v>750</v>
      </c>
      <c r="BF18" t="s">
        <v>751</v>
      </c>
      <c r="BH18" t="s">
        <v>77</v>
      </c>
      <c r="BI18" t="s">
        <v>88</v>
      </c>
      <c r="BJ18" t="s">
        <v>79</v>
      </c>
      <c r="BM18">
        <v>0</v>
      </c>
      <c r="BN18">
        <v>2</v>
      </c>
      <c r="BO18">
        <v>2</v>
      </c>
      <c r="BP18" t="s">
        <v>80</v>
      </c>
      <c r="BR18">
        <v>0</v>
      </c>
      <c r="BS18">
        <v>6</v>
      </c>
      <c r="BU18" s="1">
        <v>2856462</v>
      </c>
    </row>
    <row r="19" spans="1:73" x14ac:dyDescent="0.3">
      <c r="A19" t="s">
        <v>1237</v>
      </c>
      <c r="B19">
        <v>0</v>
      </c>
      <c r="C19" s="1">
        <v>0</v>
      </c>
      <c r="D19" s="1">
        <v>6</v>
      </c>
      <c r="E19" s="1">
        <v>2186127</v>
      </c>
      <c r="F19" s="1">
        <v>0</v>
      </c>
      <c r="G19" s="1">
        <v>0</v>
      </c>
      <c r="H19" s="1">
        <v>8</v>
      </c>
      <c r="I19" s="1">
        <v>212254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1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1">
        <v>0</v>
      </c>
      <c r="AY19">
        <v>0</v>
      </c>
      <c r="AZ19">
        <v>0</v>
      </c>
      <c r="BA19">
        <v>0</v>
      </c>
      <c r="BB19">
        <v>12</v>
      </c>
      <c r="BC19" s="1">
        <v>4372254</v>
      </c>
      <c r="BD19" t="s">
        <v>74</v>
      </c>
      <c r="BE19" t="s">
        <v>1238</v>
      </c>
      <c r="BF19" t="s">
        <v>1239</v>
      </c>
      <c r="BH19" t="s">
        <v>77</v>
      </c>
      <c r="BI19" t="s">
        <v>88</v>
      </c>
      <c r="BJ19" t="s">
        <v>79</v>
      </c>
      <c r="BM19">
        <v>0</v>
      </c>
      <c r="BN19">
        <v>2</v>
      </c>
      <c r="BO19">
        <v>2</v>
      </c>
      <c r="BP19" t="s">
        <v>80</v>
      </c>
      <c r="BR19">
        <v>0</v>
      </c>
      <c r="BS19">
        <v>6</v>
      </c>
      <c r="BU19" s="1">
        <v>2398381</v>
      </c>
    </row>
    <row r="20" spans="1:73" x14ac:dyDescent="0.3">
      <c r="A20" t="s">
        <v>1442</v>
      </c>
      <c r="B20">
        <v>0</v>
      </c>
      <c r="C20" s="1">
        <v>0</v>
      </c>
      <c r="D20" s="1">
        <v>8</v>
      </c>
      <c r="E20" s="1">
        <v>383374</v>
      </c>
      <c r="F20" s="1">
        <v>0</v>
      </c>
      <c r="G20" s="1">
        <v>0</v>
      </c>
      <c r="H20" s="1">
        <v>26</v>
      </c>
      <c r="I20" s="1">
        <v>520386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1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 s="1">
        <v>468357</v>
      </c>
      <c r="AY20">
        <v>0</v>
      </c>
      <c r="AZ20">
        <v>0</v>
      </c>
      <c r="BA20">
        <v>0</v>
      </c>
      <c r="BB20">
        <v>35</v>
      </c>
      <c r="BC20" s="1">
        <v>2152033</v>
      </c>
      <c r="BD20" t="s">
        <v>74</v>
      </c>
      <c r="BE20" t="s">
        <v>1443</v>
      </c>
      <c r="BF20" t="s">
        <v>1239</v>
      </c>
      <c r="BH20" t="s">
        <v>77</v>
      </c>
      <c r="BI20" t="s">
        <v>88</v>
      </c>
      <c r="BJ20" t="s">
        <v>79</v>
      </c>
      <c r="BM20">
        <v>0</v>
      </c>
      <c r="BN20">
        <v>2</v>
      </c>
      <c r="BO20">
        <v>2</v>
      </c>
      <c r="BP20" t="s">
        <v>80</v>
      </c>
      <c r="BR20">
        <v>0</v>
      </c>
      <c r="BS20">
        <v>6</v>
      </c>
      <c r="BU20" s="1">
        <v>1372117</v>
      </c>
    </row>
    <row r="21" spans="1:73" x14ac:dyDescent="0.3">
      <c r="A21" t="s">
        <v>1724</v>
      </c>
      <c r="B21">
        <v>0</v>
      </c>
      <c r="C21" s="1">
        <v>0</v>
      </c>
      <c r="D21" s="1">
        <v>4</v>
      </c>
      <c r="E21" s="1">
        <v>3025952</v>
      </c>
      <c r="F21" s="1">
        <v>0</v>
      </c>
      <c r="G21" s="1">
        <v>0</v>
      </c>
      <c r="H21" s="1">
        <v>5</v>
      </c>
      <c r="I21" s="1">
        <v>121048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s="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1">
        <v>0</v>
      </c>
      <c r="AY21">
        <v>0</v>
      </c>
      <c r="AZ21">
        <v>0</v>
      </c>
      <c r="BA21">
        <v>0</v>
      </c>
      <c r="BB21">
        <v>11</v>
      </c>
      <c r="BC21" s="1">
        <v>6111904</v>
      </c>
      <c r="BD21" t="s">
        <v>74</v>
      </c>
      <c r="BE21" t="s">
        <v>1725</v>
      </c>
      <c r="BF21" t="s">
        <v>1239</v>
      </c>
      <c r="BH21" t="s">
        <v>77</v>
      </c>
      <c r="BI21" t="s">
        <v>88</v>
      </c>
      <c r="BJ21" t="s">
        <v>79</v>
      </c>
      <c r="BM21">
        <v>0</v>
      </c>
      <c r="BN21">
        <v>2</v>
      </c>
      <c r="BO21">
        <v>2</v>
      </c>
      <c r="BP21" t="s">
        <v>80</v>
      </c>
      <c r="BR21">
        <v>0</v>
      </c>
      <c r="BS21">
        <v>6</v>
      </c>
      <c r="BU21" s="1">
        <v>3147000</v>
      </c>
    </row>
    <row r="22" spans="1:73" x14ac:dyDescent="0.3">
      <c r="A22" t="s">
        <v>259</v>
      </c>
      <c r="B22">
        <v>0</v>
      </c>
      <c r="C22" s="1">
        <v>0</v>
      </c>
      <c r="D22" s="1">
        <v>1</v>
      </c>
      <c r="E22" s="1">
        <v>384000</v>
      </c>
      <c r="F22" s="1">
        <v>0</v>
      </c>
      <c r="G22" s="1">
        <v>0</v>
      </c>
      <c r="H22" s="1">
        <v>0</v>
      </c>
      <c r="I22" s="1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1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1">
        <v>0</v>
      </c>
      <c r="AY22">
        <v>0</v>
      </c>
      <c r="AZ22">
        <v>0</v>
      </c>
      <c r="BA22">
        <v>0</v>
      </c>
      <c r="BB22">
        <v>5</v>
      </c>
      <c r="BC22" s="1">
        <v>1637629</v>
      </c>
      <c r="BD22" t="s">
        <v>74</v>
      </c>
      <c r="BE22" t="s">
        <v>260</v>
      </c>
      <c r="BF22" t="s">
        <v>261</v>
      </c>
      <c r="BH22" t="s">
        <v>175</v>
      </c>
      <c r="BI22" t="s">
        <v>176</v>
      </c>
      <c r="BJ22" t="s">
        <v>125</v>
      </c>
      <c r="BM22">
        <v>0</v>
      </c>
      <c r="BN22">
        <v>1</v>
      </c>
      <c r="BO22">
        <v>1</v>
      </c>
      <c r="BP22" t="s">
        <v>80</v>
      </c>
      <c r="BR22">
        <v>0</v>
      </c>
      <c r="BS22">
        <v>6</v>
      </c>
      <c r="BU22" s="1">
        <v>384000</v>
      </c>
    </row>
    <row r="23" spans="1:73" x14ac:dyDescent="0.3">
      <c r="A23" t="s">
        <v>478</v>
      </c>
      <c r="B23">
        <v>0</v>
      </c>
      <c r="C23" s="1">
        <v>0</v>
      </c>
      <c r="D23" s="1">
        <v>4</v>
      </c>
      <c r="E23" s="1">
        <v>3240000</v>
      </c>
      <c r="F23" s="1">
        <v>0</v>
      </c>
      <c r="G23" s="1">
        <v>0</v>
      </c>
      <c r="H23" s="1">
        <v>2</v>
      </c>
      <c r="I23" s="1">
        <v>40000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1">
        <v>0</v>
      </c>
      <c r="AY23">
        <v>0</v>
      </c>
      <c r="AZ23">
        <v>0</v>
      </c>
      <c r="BA23">
        <v>0</v>
      </c>
      <c r="BB23">
        <v>9</v>
      </c>
      <c r="BC23" s="1">
        <v>7337143</v>
      </c>
      <c r="BD23" t="s">
        <v>74</v>
      </c>
      <c r="BE23" t="s">
        <v>479</v>
      </c>
      <c r="BF23" t="s">
        <v>480</v>
      </c>
      <c r="BH23" t="s">
        <v>175</v>
      </c>
      <c r="BI23" t="s">
        <v>176</v>
      </c>
      <c r="BJ23" t="s">
        <v>125</v>
      </c>
      <c r="BM23">
        <v>0</v>
      </c>
      <c r="BN23">
        <v>2</v>
      </c>
      <c r="BO23">
        <v>2</v>
      </c>
      <c r="BP23" t="s">
        <v>80</v>
      </c>
      <c r="BR23">
        <v>0</v>
      </c>
      <c r="BS23">
        <v>6</v>
      </c>
      <c r="BU23" s="1">
        <v>3280000</v>
      </c>
    </row>
    <row r="24" spans="1:73" x14ac:dyDescent="0.3">
      <c r="A24" t="s">
        <v>1231</v>
      </c>
      <c r="B24">
        <v>0</v>
      </c>
      <c r="C24" s="1">
        <v>0</v>
      </c>
      <c r="D24" s="1">
        <v>3</v>
      </c>
      <c r="E24" s="1">
        <v>830001</v>
      </c>
      <c r="F24" s="1">
        <v>0</v>
      </c>
      <c r="G24" s="1">
        <v>0</v>
      </c>
      <c r="H24" s="1">
        <v>4</v>
      </c>
      <c r="I24" s="1">
        <v>2028980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1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1">
        <v>0</v>
      </c>
      <c r="AY24">
        <v>0</v>
      </c>
      <c r="AZ24">
        <v>0</v>
      </c>
      <c r="BA24">
        <v>0</v>
      </c>
      <c r="BB24">
        <v>9</v>
      </c>
      <c r="BC24" s="1">
        <v>4505708</v>
      </c>
      <c r="BD24" t="s">
        <v>74</v>
      </c>
      <c r="BE24" t="s">
        <v>1232</v>
      </c>
      <c r="BF24" t="s">
        <v>1233</v>
      </c>
      <c r="BH24" t="s">
        <v>77</v>
      </c>
      <c r="BI24" t="s">
        <v>88</v>
      </c>
      <c r="BJ24" t="s">
        <v>79</v>
      </c>
      <c r="BM24">
        <v>0</v>
      </c>
      <c r="BN24">
        <v>2</v>
      </c>
      <c r="BO24">
        <v>2</v>
      </c>
      <c r="BP24" t="s">
        <v>80</v>
      </c>
      <c r="BR24">
        <v>0</v>
      </c>
      <c r="BS24">
        <v>6</v>
      </c>
      <c r="BU24" s="1">
        <v>2858981</v>
      </c>
    </row>
    <row r="25" spans="1:73" x14ac:dyDescent="0.3">
      <c r="A25" t="s">
        <v>708</v>
      </c>
      <c r="B25">
        <v>1</v>
      </c>
      <c r="C25" s="1">
        <v>429786</v>
      </c>
      <c r="D25" s="1">
        <v>3</v>
      </c>
      <c r="E25" s="1">
        <v>1341279</v>
      </c>
      <c r="F25" s="1">
        <v>0</v>
      </c>
      <c r="G25" s="1">
        <v>0</v>
      </c>
      <c r="H25" s="1">
        <v>4</v>
      </c>
      <c r="I25" s="1">
        <v>82558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1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1">
        <v>0</v>
      </c>
      <c r="AY25">
        <v>0</v>
      </c>
      <c r="AZ25">
        <v>0</v>
      </c>
      <c r="BA25">
        <v>0</v>
      </c>
      <c r="BB25">
        <v>17</v>
      </c>
      <c r="BC25" s="1">
        <v>3719616</v>
      </c>
      <c r="BD25" t="s">
        <v>74</v>
      </c>
      <c r="BE25" t="s">
        <v>709</v>
      </c>
      <c r="BF25" t="s">
        <v>710</v>
      </c>
      <c r="BH25" t="s">
        <v>77</v>
      </c>
      <c r="BI25" t="s">
        <v>88</v>
      </c>
      <c r="BJ25" t="s">
        <v>79</v>
      </c>
      <c r="BM25">
        <v>0</v>
      </c>
      <c r="BN25">
        <v>3</v>
      </c>
      <c r="BO25">
        <v>3</v>
      </c>
      <c r="BP25" t="s">
        <v>80</v>
      </c>
      <c r="BR25">
        <v>0</v>
      </c>
      <c r="BS25">
        <v>6</v>
      </c>
      <c r="BU25" s="1">
        <v>1853623</v>
      </c>
    </row>
    <row r="26" spans="1:73" x14ac:dyDescent="0.3">
      <c r="A26" t="s">
        <v>2535</v>
      </c>
      <c r="B26">
        <v>3</v>
      </c>
      <c r="C26" s="1">
        <v>1177792</v>
      </c>
      <c r="D26" s="1">
        <v>1</v>
      </c>
      <c r="E26" s="1">
        <v>20000</v>
      </c>
      <c r="F26" s="1">
        <v>0</v>
      </c>
      <c r="G26" s="1">
        <v>0</v>
      </c>
      <c r="H26" s="1">
        <v>2</v>
      </c>
      <c r="I26" s="1">
        <v>40000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 s="1">
        <v>87046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8788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1">
        <v>0</v>
      </c>
      <c r="AY26">
        <v>0</v>
      </c>
      <c r="AZ26">
        <v>0</v>
      </c>
      <c r="BA26">
        <v>0</v>
      </c>
      <c r="BB26">
        <v>14</v>
      </c>
      <c r="BC26" s="1">
        <v>2909460</v>
      </c>
      <c r="BD26" t="s">
        <v>74</v>
      </c>
      <c r="BE26" t="s">
        <v>2536</v>
      </c>
      <c r="BF26" t="s">
        <v>710</v>
      </c>
      <c r="BH26" t="s">
        <v>175</v>
      </c>
      <c r="BI26" t="s">
        <v>176</v>
      </c>
      <c r="BJ26" t="s">
        <v>125</v>
      </c>
      <c r="BM26">
        <v>2</v>
      </c>
      <c r="BN26">
        <v>3</v>
      </c>
      <c r="BO26">
        <v>5</v>
      </c>
      <c r="BP26" t="s">
        <v>80</v>
      </c>
      <c r="BR26">
        <v>0</v>
      </c>
      <c r="BS26">
        <v>6</v>
      </c>
      <c r="BU26" s="1">
        <v>1333626</v>
      </c>
    </row>
    <row r="27" spans="1:73" x14ac:dyDescent="0.3">
      <c r="A27" t="s">
        <v>424</v>
      </c>
      <c r="B27">
        <v>0</v>
      </c>
      <c r="C27" s="1">
        <v>0</v>
      </c>
      <c r="D27" s="1">
        <v>1</v>
      </c>
      <c r="E27" s="1">
        <v>857143</v>
      </c>
      <c r="F27" s="1">
        <v>0</v>
      </c>
      <c r="G27" s="1">
        <v>0</v>
      </c>
      <c r="H27" s="1">
        <v>0</v>
      </c>
      <c r="I27" s="1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1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1">
        <v>0</v>
      </c>
      <c r="AY27">
        <v>0</v>
      </c>
      <c r="AZ27">
        <v>0</v>
      </c>
      <c r="BA27">
        <v>0</v>
      </c>
      <c r="BB27">
        <v>2</v>
      </c>
      <c r="BC27" s="1">
        <v>1714286</v>
      </c>
      <c r="BD27" t="s">
        <v>74</v>
      </c>
      <c r="BE27" t="s">
        <v>425</v>
      </c>
      <c r="BF27" t="s">
        <v>426</v>
      </c>
      <c r="BH27" t="s">
        <v>175</v>
      </c>
      <c r="BI27" t="s">
        <v>176</v>
      </c>
      <c r="BJ27" t="s">
        <v>125</v>
      </c>
      <c r="BM27">
        <v>0</v>
      </c>
      <c r="BN27">
        <v>1</v>
      </c>
      <c r="BO27">
        <v>1</v>
      </c>
      <c r="BP27" t="s">
        <v>80</v>
      </c>
      <c r="BR27">
        <v>0</v>
      </c>
      <c r="BS27">
        <v>6</v>
      </c>
      <c r="BU27" s="1">
        <v>857143</v>
      </c>
    </row>
    <row r="28" spans="1:73" x14ac:dyDescent="0.3">
      <c r="A28" t="s">
        <v>1152</v>
      </c>
      <c r="B28">
        <v>0</v>
      </c>
      <c r="C28" s="1">
        <v>0</v>
      </c>
      <c r="D28" s="1">
        <v>1</v>
      </c>
      <c r="E28" s="1">
        <v>340000</v>
      </c>
      <c r="F28" s="1">
        <v>0</v>
      </c>
      <c r="G28" s="1">
        <v>0</v>
      </c>
      <c r="H28" s="1">
        <v>1</v>
      </c>
      <c r="I28" s="1">
        <v>28400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1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1">
        <v>0</v>
      </c>
      <c r="AY28">
        <v>0</v>
      </c>
      <c r="AZ28">
        <v>0</v>
      </c>
      <c r="BA28">
        <v>0</v>
      </c>
      <c r="BB28">
        <v>2</v>
      </c>
      <c r="BC28" s="1">
        <v>368400</v>
      </c>
      <c r="BD28" t="s">
        <v>74</v>
      </c>
      <c r="BE28" t="s">
        <v>1153</v>
      </c>
      <c r="BF28" t="s">
        <v>1154</v>
      </c>
      <c r="BH28" t="s">
        <v>77</v>
      </c>
      <c r="BI28" t="s">
        <v>88</v>
      </c>
      <c r="BJ28" t="s">
        <v>79</v>
      </c>
      <c r="BM28">
        <v>0</v>
      </c>
      <c r="BN28">
        <v>2</v>
      </c>
      <c r="BO28">
        <v>2</v>
      </c>
      <c r="BP28" t="s">
        <v>80</v>
      </c>
      <c r="BR28">
        <v>0</v>
      </c>
      <c r="BS28">
        <v>0</v>
      </c>
      <c r="BU28" s="1">
        <v>368400</v>
      </c>
    </row>
    <row r="29" spans="1:73" x14ac:dyDescent="0.3">
      <c r="A29" t="s">
        <v>2092</v>
      </c>
      <c r="B29">
        <v>0</v>
      </c>
      <c r="C29" s="1">
        <v>114546</v>
      </c>
      <c r="D29" s="1">
        <v>6</v>
      </c>
      <c r="E29" s="1">
        <v>1230908</v>
      </c>
      <c r="F29" s="1">
        <v>0</v>
      </c>
      <c r="G29" s="1">
        <v>0</v>
      </c>
      <c r="H29" s="1">
        <v>6</v>
      </c>
      <c r="I29" s="1">
        <v>120000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1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1">
        <v>0</v>
      </c>
      <c r="AY29">
        <v>0</v>
      </c>
      <c r="AZ29">
        <v>0</v>
      </c>
      <c r="BA29">
        <v>0</v>
      </c>
      <c r="BB29">
        <v>12</v>
      </c>
      <c r="BC29" s="1">
        <v>2576362</v>
      </c>
      <c r="BD29" t="s">
        <v>74</v>
      </c>
      <c r="BE29" t="s">
        <v>2093</v>
      </c>
      <c r="BF29" t="s">
        <v>2094</v>
      </c>
      <c r="BH29" t="s">
        <v>77</v>
      </c>
      <c r="BI29" t="s">
        <v>88</v>
      </c>
      <c r="BJ29" t="s">
        <v>79</v>
      </c>
      <c r="BM29">
        <v>0</v>
      </c>
      <c r="BN29">
        <v>2</v>
      </c>
      <c r="BO29">
        <v>2</v>
      </c>
      <c r="BP29" t="s">
        <v>80</v>
      </c>
      <c r="BR29">
        <v>0</v>
      </c>
      <c r="BS29">
        <v>6</v>
      </c>
      <c r="BU29" s="1">
        <v>1465454</v>
      </c>
    </row>
    <row r="30" spans="1:73" x14ac:dyDescent="0.3">
      <c r="A30" t="s">
        <v>177</v>
      </c>
      <c r="B30">
        <v>0</v>
      </c>
      <c r="C30" s="1">
        <v>0</v>
      </c>
      <c r="D30" s="1">
        <v>1</v>
      </c>
      <c r="E30" s="1">
        <v>462857</v>
      </c>
      <c r="F30" s="1">
        <v>0</v>
      </c>
      <c r="G30" s="1">
        <v>0</v>
      </c>
      <c r="H30" s="1">
        <v>0</v>
      </c>
      <c r="I30" s="1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1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1">
        <v>0</v>
      </c>
      <c r="AY30">
        <v>0</v>
      </c>
      <c r="AZ30">
        <v>0</v>
      </c>
      <c r="BA30">
        <v>0</v>
      </c>
      <c r="BB30">
        <v>2</v>
      </c>
      <c r="BC30" s="1">
        <v>925714</v>
      </c>
      <c r="BD30" t="s">
        <v>74</v>
      </c>
      <c r="BE30" t="s">
        <v>178</v>
      </c>
      <c r="BF30" t="s">
        <v>179</v>
      </c>
      <c r="BH30" t="s">
        <v>77</v>
      </c>
      <c r="BI30" t="s">
        <v>88</v>
      </c>
      <c r="BJ30" t="s">
        <v>79</v>
      </c>
      <c r="BM30">
        <v>0</v>
      </c>
      <c r="BN30">
        <v>1</v>
      </c>
      <c r="BO30">
        <v>1</v>
      </c>
      <c r="BP30" t="s">
        <v>80</v>
      </c>
      <c r="BR30">
        <v>0</v>
      </c>
      <c r="BS30">
        <v>6</v>
      </c>
      <c r="BU30" s="1">
        <v>462857</v>
      </c>
    </row>
    <row r="31" spans="1:73" x14ac:dyDescent="0.3">
      <c r="A31" t="s">
        <v>1522</v>
      </c>
      <c r="B31">
        <v>0</v>
      </c>
      <c r="C31" s="1">
        <v>0</v>
      </c>
      <c r="D31" s="1">
        <v>1</v>
      </c>
      <c r="E31" s="1">
        <v>1500000</v>
      </c>
      <c r="F31" s="1">
        <v>0</v>
      </c>
      <c r="G31" s="1">
        <v>0</v>
      </c>
      <c r="H31" s="1">
        <v>0</v>
      </c>
      <c r="I31" s="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1">
        <v>0</v>
      </c>
      <c r="AY31">
        <v>0</v>
      </c>
      <c r="AZ31">
        <v>0</v>
      </c>
      <c r="BA31">
        <v>0</v>
      </c>
      <c r="BB31">
        <v>1</v>
      </c>
      <c r="BC31" s="1">
        <v>1500000</v>
      </c>
      <c r="BD31" t="s">
        <v>74</v>
      </c>
      <c r="BE31" t="s">
        <v>1523</v>
      </c>
      <c r="BF31" t="s">
        <v>1524</v>
      </c>
      <c r="BH31" t="s">
        <v>77</v>
      </c>
      <c r="BI31" t="s">
        <v>88</v>
      </c>
      <c r="BJ31" t="s">
        <v>79</v>
      </c>
      <c r="BM31">
        <v>0</v>
      </c>
      <c r="BN31">
        <v>1</v>
      </c>
      <c r="BO31">
        <v>1</v>
      </c>
      <c r="BP31" t="s">
        <v>80</v>
      </c>
      <c r="BR31">
        <v>0</v>
      </c>
      <c r="BS31">
        <v>6</v>
      </c>
      <c r="BU31" s="1">
        <v>1500000</v>
      </c>
    </row>
    <row r="32" spans="1:73" x14ac:dyDescent="0.3">
      <c r="A32" t="s">
        <v>3604</v>
      </c>
      <c r="B32">
        <v>0</v>
      </c>
      <c r="C32" s="1">
        <v>0</v>
      </c>
      <c r="D32" s="1">
        <v>6</v>
      </c>
      <c r="E32" s="1">
        <v>1171109</v>
      </c>
      <c r="F32" s="1">
        <v>0</v>
      </c>
      <c r="G32" s="1">
        <v>0</v>
      </c>
      <c r="H32" s="1">
        <v>8</v>
      </c>
      <c r="I32" s="1">
        <v>262218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1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1">
        <v>0</v>
      </c>
      <c r="AY32">
        <v>0</v>
      </c>
      <c r="AZ32">
        <v>0</v>
      </c>
      <c r="BA32">
        <v>0</v>
      </c>
      <c r="BB32">
        <v>12</v>
      </c>
      <c r="BC32" s="1">
        <v>2342218</v>
      </c>
      <c r="BD32" t="s">
        <v>74</v>
      </c>
      <c r="BE32" t="s">
        <v>3605</v>
      </c>
      <c r="BF32" t="s">
        <v>3606</v>
      </c>
      <c r="BH32" t="s">
        <v>77</v>
      </c>
      <c r="BI32" t="s">
        <v>88</v>
      </c>
      <c r="BJ32" t="s">
        <v>79</v>
      </c>
      <c r="BM32">
        <v>0</v>
      </c>
      <c r="BN32">
        <v>2</v>
      </c>
      <c r="BO32">
        <v>2</v>
      </c>
      <c r="BP32" t="s">
        <v>80</v>
      </c>
      <c r="BR32">
        <v>0</v>
      </c>
      <c r="BS32">
        <v>6</v>
      </c>
      <c r="BU32" s="1">
        <v>1433327</v>
      </c>
    </row>
    <row r="33" spans="1:73" x14ac:dyDescent="0.3">
      <c r="A33" t="s">
        <v>130</v>
      </c>
      <c r="B33">
        <v>0</v>
      </c>
      <c r="C33">
        <v>0</v>
      </c>
      <c r="D33">
        <v>1</v>
      </c>
      <c r="E33">
        <v>720000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 s="1">
        <v>720000</v>
      </c>
      <c r="BD33" t="s">
        <v>74</v>
      </c>
      <c r="BE33" t="s">
        <v>131</v>
      </c>
      <c r="BF33" t="s">
        <v>132</v>
      </c>
      <c r="BH33" t="s">
        <v>77</v>
      </c>
      <c r="BI33" t="s">
        <v>88</v>
      </c>
      <c r="BJ33" t="s">
        <v>79</v>
      </c>
      <c r="BM33">
        <v>0</v>
      </c>
      <c r="BN33">
        <v>1</v>
      </c>
      <c r="BO33">
        <v>1</v>
      </c>
      <c r="BP33" t="s">
        <v>80</v>
      </c>
      <c r="BR33">
        <v>0</v>
      </c>
      <c r="BS33">
        <v>6</v>
      </c>
      <c r="BU33" s="1">
        <v>720000</v>
      </c>
    </row>
    <row r="34" spans="1:73" x14ac:dyDescent="0.3">
      <c r="A34" t="s">
        <v>1565</v>
      </c>
      <c r="B34">
        <v>1</v>
      </c>
      <c r="C34">
        <v>606088</v>
      </c>
      <c r="D34">
        <v>10</v>
      </c>
      <c r="E34">
        <v>2440754</v>
      </c>
      <c r="F34">
        <v>0</v>
      </c>
      <c r="G34">
        <v>0</v>
      </c>
      <c r="H34">
        <v>14</v>
      </c>
      <c r="I34">
        <v>911224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141413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24</v>
      </c>
      <c r="BC34" s="1">
        <v>5523566</v>
      </c>
      <c r="BD34" t="s">
        <v>74</v>
      </c>
      <c r="BE34" t="s">
        <v>1566</v>
      </c>
      <c r="BF34" t="s">
        <v>1567</v>
      </c>
      <c r="BH34" t="s">
        <v>175</v>
      </c>
      <c r="BI34" t="s">
        <v>176</v>
      </c>
      <c r="BJ34" t="s">
        <v>125</v>
      </c>
      <c r="BM34">
        <v>1</v>
      </c>
      <c r="BN34">
        <v>3</v>
      </c>
      <c r="BO34">
        <v>4</v>
      </c>
      <c r="BP34" t="s">
        <v>80</v>
      </c>
      <c r="BR34">
        <v>0</v>
      </c>
      <c r="BS34">
        <v>6</v>
      </c>
      <c r="BU34" s="1">
        <v>4099479</v>
      </c>
    </row>
    <row r="35" spans="1:73" s="8" customFormat="1" x14ac:dyDescent="0.3">
      <c r="A35" s="8" t="s">
        <v>5984</v>
      </c>
      <c r="C35" s="9"/>
      <c r="D35" s="9"/>
      <c r="E35" s="9"/>
      <c r="F35" s="9"/>
      <c r="G35" s="9"/>
      <c r="H35" s="9"/>
      <c r="I35" s="9"/>
      <c r="Z35" s="9"/>
      <c r="AX35" s="9"/>
      <c r="BC35" s="12">
        <f>SUM(BC2:BC34)</f>
        <v>112010677</v>
      </c>
      <c r="BU35" s="12">
        <f>SUM(BU2:BU34)</f>
        <v>65119614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55BD-F0CD-4616-94BB-46A425636B95}">
  <dimension ref="A1:D130"/>
  <sheetViews>
    <sheetView topLeftCell="A99" workbookViewId="0">
      <selection activeCell="A113" sqref="A113:XFD113"/>
    </sheetView>
  </sheetViews>
  <sheetFormatPr defaultRowHeight="14.4" x14ac:dyDescent="0.3"/>
  <cols>
    <col min="1" max="1" width="7.77734375" style="25" bestFit="1" customWidth="1"/>
    <col min="2" max="2" width="75.6640625" customWidth="1"/>
    <col min="3" max="3" width="87" customWidth="1"/>
    <col min="4" max="4" width="16.33203125" style="25" bestFit="1" customWidth="1"/>
  </cols>
  <sheetData>
    <row r="1" spans="1:4" ht="20.399999999999999" x14ac:dyDescent="0.35">
      <c r="A1" s="49" t="s">
        <v>6107</v>
      </c>
      <c r="B1" s="49"/>
      <c r="C1" s="49"/>
      <c r="D1" s="49"/>
    </row>
    <row r="3" spans="1:4" s="38" customFormat="1" ht="18" x14ac:dyDescent="0.35">
      <c r="A3" s="28" t="s">
        <v>6040</v>
      </c>
      <c r="B3" s="28" t="s">
        <v>6039</v>
      </c>
      <c r="C3" s="28" t="s">
        <v>6041</v>
      </c>
      <c r="D3" s="28" t="s">
        <v>6098</v>
      </c>
    </row>
    <row r="4" spans="1:4" ht="15.6" x14ac:dyDescent="0.3">
      <c r="A4" s="31" t="s">
        <v>6042</v>
      </c>
      <c r="B4" s="18" t="s">
        <v>1760</v>
      </c>
      <c r="C4" s="18" t="s">
        <v>1761</v>
      </c>
      <c r="D4" s="42">
        <v>2560000</v>
      </c>
    </row>
    <row r="5" spans="1:4" ht="15.6" x14ac:dyDescent="0.3">
      <c r="A5" s="31" t="s">
        <v>6043</v>
      </c>
      <c r="B5" s="18" t="s">
        <v>1783</v>
      </c>
      <c r="C5" s="18" t="s">
        <v>1761</v>
      </c>
      <c r="D5" s="42">
        <v>678181</v>
      </c>
    </row>
    <row r="6" spans="1:4" ht="15.6" x14ac:dyDescent="0.3">
      <c r="A6" s="31" t="s">
        <v>6044</v>
      </c>
      <c r="B6" s="18" t="s">
        <v>3057</v>
      </c>
      <c r="C6" s="18" t="s">
        <v>1761</v>
      </c>
      <c r="D6" s="42">
        <v>5682227</v>
      </c>
    </row>
    <row r="7" spans="1:4" ht="15.6" x14ac:dyDescent="0.3">
      <c r="A7" s="31" t="s">
        <v>6045</v>
      </c>
      <c r="B7" s="18" t="s">
        <v>3223</v>
      </c>
      <c r="C7" s="18" t="s">
        <v>1761</v>
      </c>
      <c r="D7" s="42">
        <v>144456</v>
      </c>
    </row>
    <row r="8" spans="1:4" ht="15.6" x14ac:dyDescent="0.3">
      <c r="A8" s="31" t="s">
        <v>6046</v>
      </c>
      <c r="B8" s="18" t="s">
        <v>3584</v>
      </c>
      <c r="C8" s="18" t="s">
        <v>1761</v>
      </c>
      <c r="D8" s="42">
        <v>3505105</v>
      </c>
    </row>
    <row r="9" spans="1:4" ht="15.6" x14ac:dyDescent="0.3">
      <c r="A9" s="31" t="s">
        <v>6047</v>
      </c>
      <c r="B9" s="18" t="s">
        <v>5293</v>
      </c>
      <c r="C9" s="18" t="s">
        <v>5294</v>
      </c>
      <c r="D9" s="42">
        <v>565453</v>
      </c>
    </row>
    <row r="10" spans="1:4" ht="15.6" x14ac:dyDescent="0.3">
      <c r="A10" s="31" t="s">
        <v>6048</v>
      </c>
      <c r="B10" s="18" t="s">
        <v>3413</v>
      </c>
      <c r="C10" s="18" t="s">
        <v>3414</v>
      </c>
      <c r="D10" s="42">
        <v>20000</v>
      </c>
    </row>
    <row r="11" spans="1:4" ht="15.6" x14ac:dyDescent="0.3">
      <c r="A11" s="31" t="s">
        <v>6049</v>
      </c>
      <c r="B11" s="18" t="s">
        <v>244</v>
      </c>
      <c r="C11" s="18" t="s">
        <v>245</v>
      </c>
      <c r="D11" s="42">
        <v>138394</v>
      </c>
    </row>
    <row r="12" spans="1:4" ht="15.6" x14ac:dyDescent="0.3">
      <c r="A12" s="31" t="s">
        <v>6050</v>
      </c>
      <c r="B12" s="18" t="s">
        <v>682</v>
      </c>
      <c r="C12" s="18" t="s">
        <v>683</v>
      </c>
      <c r="D12" s="42">
        <v>8841250</v>
      </c>
    </row>
    <row r="13" spans="1:4" ht="15.6" x14ac:dyDescent="0.3">
      <c r="A13" s="31" t="s">
        <v>6051</v>
      </c>
      <c r="B13" s="18" t="s">
        <v>775</v>
      </c>
      <c r="C13" s="18" t="s">
        <v>245</v>
      </c>
      <c r="D13" s="42">
        <v>1280637</v>
      </c>
    </row>
    <row r="14" spans="1:4" ht="15.6" x14ac:dyDescent="0.3">
      <c r="A14" s="31" t="s">
        <v>6052</v>
      </c>
      <c r="B14" s="18" t="s">
        <v>845</v>
      </c>
      <c r="C14" s="18" t="s">
        <v>245</v>
      </c>
      <c r="D14" s="42">
        <v>600000</v>
      </c>
    </row>
    <row r="15" spans="1:4" ht="15.6" x14ac:dyDescent="0.3">
      <c r="A15" s="31" t="s">
        <v>6053</v>
      </c>
      <c r="B15" s="18" t="s">
        <v>1660</v>
      </c>
      <c r="C15" s="18" t="s">
        <v>245</v>
      </c>
      <c r="D15" s="42">
        <v>280000</v>
      </c>
    </row>
    <row r="16" spans="1:4" ht="15.6" x14ac:dyDescent="0.3">
      <c r="A16" s="31" t="s">
        <v>6054</v>
      </c>
      <c r="B16" s="18" t="s">
        <v>1670</v>
      </c>
      <c r="C16" s="18" t="s">
        <v>245</v>
      </c>
      <c r="D16" s="42">
        <v>20000</v>
      </c>
    </row>
    <row r="17" spans="1:4" ht="15.6" x14ac:dyDescent="0.3">
      <c r="A17" s="31" t="s">
        <v>6055</v>
      </c>
      <c r="B17" s="18" t="s">
        <v>1775</v>
      </c>
      <c r="C17" s="18" t="s">
        <v>245</v>
      </c>
      <c r="D17" s="42">
        <v>1027088</v>
      </c>
    </row>
    <row r="18" spans="1:4" ht="15.6" x14ac:dyDescent="0.3">
      <c r="A18" s="31" t="s">
        <v>6056</v>
      </c>
      <c r="B18" s="18" t="s">
        <v>1834</v>
      </c>
      <c r="C18" s="18" t="s">
        <v>245</v>
      </c>
      <c r="D18" s="42">
        <v>5002920</v>
      </c>
    </row>
    <row r="19" spans="1:4" ht="15.6" x14ac:dyDescent="0.3">
      <c r="A19" s="31" t="s">
        <v>6057</v>
      </c>
      <c r="B19" s="18" t="s">
        <v>1905</v>
      </c>
      <c r="C19" s="18" t="s">
        <v>245</v>
      </c>
      <c r="D19" s="42">
        <v>3389000</v>
      </c>
    </row>
    <row r="20" spans="1:4" ht="15.6" x14ac:dyDescent="0.3">
      <c r="A20" s="31" t="s">
        <v>6058</v>
      </c>
      <c r="B20" s="18" t="s">
        <v>2036</v>
      </c>
      <c r="C20" s="18" t="s">
        <v>683</v>
      </c>
      <c r="D20" s="42">
        <v>2731872</v>
      </c>
    </row>
    <row r="21" spans="1:4" ht="15.6" x14ac:dyDescent="0.3">
      <c r="A21" s="31" t="s">
        <v>6059</v>
      </c>
      <c r="B21" s="18" t="s">
        <v>2135</v>
      </c>
      <c r="C21" s="18" t="s">
        <v>245</v>
      </c>
      <c r="D21" s="42">
        <v>2308344</v>
      </c>
    </row>
    <row r="22" spans="1:4" ht="15.6" x14ac:dyDescent="0.3">
      <c r="A22" s="31" t="s">
        <v>6060</v>
      </c>
      <c r="B22" s="18" t="s">
        <v>2740</v>
      </c>
      <c r="C22" s="18" t="s">
        <v>245</v>
      </c>
      <c r="D22" s="42">
        <v>5504139</v>
      </c>
    </row>
    <row r="23" spans="1:4" ht="15.6" x14ac:dyDescent="0.3">
      <c r="A23" s="31" t="s">
        <v>6061</v>
      </c>
      <c r="B23" s="18" t="s">
        <v>2925</v>
      </c>
      <c r="C23" s="18" t="s">
        <v>245</v>
      </c>
      <c r="D23" s="42">
        <v>2681827</v>
      </c>
    </row>
    <row r="24" spans="1:4" ht="15.6" x14ac:dyDescent="0.3">
      <c r="A24" s="31" t="s">
        <v>6062</v>
      </c>
      <c r="B24" s="18" t="s">
        <v>2957</v>
      </c>
      <c r="C24" s="18" t="s">
        <v>245</v>
      </c>
      <c r="D24" s="42">
        <v>3133479</v>
      </c>
    </row>
    <row r="25" spans="1:4" ht="15.6" x14ac:dyDescent="0.3">
      <c r="A25" s="31" t="s">
        <v>6063</v>
      </c>
      <c r="B25" s="18" t="s">
        <v>3304</v>
      </c>
      <c r="C25" s="18" t="s">
        <v>245</v>
      </c>
      <c r="D25" s="42">
        <v>3225475</v>
      </c>
    </row>
    <row r="26" spans="1:4" ht="15.6" x14ac:dyDescent="0.3">
      <c r="A26" s="31" t="s">
        <v>6064</v>
      </c>
      <c r="B26" s="18" t="s">
        <v>3570</v>
      </c>
      <c r="C26" s="18" t="s">
        <v>245</v>
      </c>
      <c r="D26" s="42">
        <v>1299531</v>
      </c>
    </row>
    <row r="27" spans="1:4" ht="15.6" x14ac:dyDescent="0.3">
      <c r="A27" s="31" t="s">
        <v>6065</v>
      </c>
      <c r="B27" s="18" t="s">
        <v>5232</v>
      </c>
      <c r="C27" s="18" t="s">
        <v>245</v>
      </c>
      <c r="D27" s="42">
        <v>2245122</v>
      </c>
    </row>
    <row r="28" spans="1:4" ht="15.6" x14ac:dyDescent="0.3">
      <c r="A28" s="31" t="s">
        <v>6066</v>
      </c>
      <c r="B28" s="18" t="s">
        <v>1816</v>
      </c>
      <c r="C28" s="18" t="s">
        <v>1817</v>
      </c>
      <c r="D28" s="42">
        <v>2669438</v>
      </c>
    </row>
    <row r="29" spans="1:4" ht="15.6" x14ac:dyDescent="0.3">
      <c r="A29" s="31" t="s">
        <v>6067</v>
      </c>
      <c r="B29" s="18" t="s">
        <v>3041</v>
      </c>
      <c r="C29" s="18" t="s">
        <v>3042</v>
      </c>
      <c r="D29" s="42">
        <v>752837</v>
      </c>
    </row>
    <row r="30" spans="1:4" ht="15.6" x14ac:dyDescent="0.3">
      <c r="A30" s="31" t="s">
        <v>6068</v>
      </c>
      <c r="B30" s="18" t="s">
        <v>2387</v>
      </c>
      <c r="C30" s="18" t="s">
        <v>2388</v>
      </c>
      <c r="D30" s="42">
        <v>1943201</v>
      </c>
    </row>
    <row r="31" spans="1:4" ht="15.6" x14ac:dyDescent="0.3">
      <c r="A31" s="31" t="s">
        <v>6069</v>
      </c>
      <c r="B31" s="18" t="s">
        <v>798</v>
      </c>
      <c r="C31" s="18" t="s">
        <v>799</v>
      </c>
      <c r="D31" s="42">
        <v>1816813</v>
      </c>
    </row>
    <row r="32" spans="1:4" ht="15.6" x14ac:dyDescent="0.3">
      <c r="A32" s="31" t="s">
        <v>6070</v>
      </c>
      <c r="B32" s="18" t="s">
        <v>3897</v>
      </c>
      <c r="C32" s="18" t="s">
        <v>3898</v>
      </c>
      <c r="D32" s="42">
        <v>1604848</v>
      </c>
    </row>
    <row r="33" spans="1:4" ht="15.6" x14ac:dyDescent="0.3">
      <c r="A33" s="31" t="s">
        <v>6071</v>
      </c>
      <c r="B33" s="18" t="s">
        <v>1819</v>
      </c>
      <c r="C33" s="18" t="s">
        <v>1820</v>
      </c>
      <c r="D33" s="42">
        <v>3487499</v>
      </c>
    </row>
    <row r="34" spans="1:4" ht="15.6" x14ac:dyDescent="0.3">
      <c r="A34" s="31" t="s">
        <v>6072</v>
      </c>
      <c r="B34" s="18" t="s">
        <v>3365</v>
      </c>
      <c r="C34" s="18" t="s">
        <v>3366</v>
      </c>
      <c r="D34" s="42">
        <v>195000</v>
      </c>
    </row>
    <row r="35" spans="1:4" ht="15.6" x14ac:dyDescent="0.3">
      <c r="A35" s="31" t="s">
        <v>6073</v>
      </c>
      <c r="B35" s="18" t="s">
        <v>303</v>
      </c>
      <c r="C35" s="18" t="s">
        <v>304</v>
      </c>
      <c r="D35" s="42">
        <v>906968</v>
      </c>
    </row>
    <row r="36" spans="1:4" ht="15.6" x14ac:dyDescent="0.3">
      <c r="A36" s="31" t="s">
        <v>6074</v>
      </c>
      <c r="B36" s="18" t="s">
        <v>234</v>
      </c>
      <c r="C36" s="18" t="s">
        <v>235</v>
      </c>
      <c r="D36" s="42">
        <v>31062894</v>
      </c>
    </row>
    <row r="37" spans="1:4" ht="15.6" x14ac:dyDescent="0.3">
      <c r="A37" s="31" t="s">
        <v>6075</v>
      </c>
      <c r="B37" s="18" t="s">
        <v>756</v>
      </c>
      <c r="C37" s="18" t="s">
        <v>757</v>
      </c>
      <c r="D37" s="42">
        <v>750000</v>
      </c>
    </row>
    <row r="38" spans="1:4" ht="15.6" x14ac:dyDescent="0.3">
      <c r="A38" s="31" t="s">
        <v>6076</v>
      </c>
      <c r="B38" s="18" t="s">
        <v>1573</v>
      </c>
      <c r="C38" s="18" t="s">
        <v>1574</v>
      </c>
      <c r="D38" s="42">
        <v>4830019</v>
      </c>
    </row>
    <row r="39" spans="1:4" ht="15.6" x14ac:dyDescent="0.3">
      <c r="A39" s="31" t="s">
        <v>6077</v>
      </c>
      <c r="B39" s="18" t="s">
        <v>1852</v>
      </c>
      <c r="C39" s="18" t="s">
        <v>1853</v>
      </c>
      <c r="D39" s="42">
        <v>3670577</v>
      </c>
    </row>
    <row r="40" spans="1:4" ht="15.6" x14ac:dyDescent="0.3">
      <c r="A40" s="31" t="s">
        <v>6078</v>
      </c>
      <c r="B40" s="18" t="s">
        <v>5964</v>
      </c>
      <c r="C40" s="18" t="s">
        <v>5965</v>
      </c>
      <c r="D40" s="42">
        <v>778182</v>
      </c>
    </row>
    <row r="41" spans="1:4" ht="15.6" x14ac:dyDescent="0.3">
      <c r="A41" s="31" t="s">
        <v>6079</v>
      </c>
      <c r="B41" s="18" t="s">
        <v>598</v>
      </c>
      <c r="C41" s="18" t="s">
        <v>599</v>
      </c>
      <c r="D41" s="42">
        <v>1485246</v>
      </c>
    </row>
    <row r="42" spans="1:4" ht="15.6" x14ac:dyDescent="0.3">
      <c r="A42" s="31" t="s">
        <v>6080</v>
      </c>
      <c r="B42" s="18" t="s">
        <v>572</v>
      </c>
      <c r="C42" s="18" t="s">
        <v>573</v>
      </c>
      <c r="D42" s="42">
        <v>3462598</v>
      </c>
    </row>
    <row r="43" spans="1:4" ht="15.6" x14ac:dyDescent="0.3">
      <c r="A43" s="31" t="s">
        <v>6081</v>
      </c>
      <c r="B43" s="18" t="s">
        <v>4043</v>
      </c>
      <c r="C43" s="18" t="s">
        <v>4044</v>
      </c>
      <c r="D43" s="42">
        <v>3134940</v>
      </c>
    </row>
    <row r="44" spans="1:4" ht="15.6" x14ac:dyDescent="0.3">
      <c r="A44" s="31" t="s">
        <v>6082</v>
      </c>
      <c r="B44" s="18" t="s">
        <v>3929</v>
      </c>
      <c r="C44" s="18" t="s">
        <v>3930</v>
      </c>
      <c r="D44" s="42">
        <v>2310000</v>
      </c>
    </row>
    <row r="45" spans="1:4" ht="15.6" x14ac:dyDescent="0.3">
      <c r="A45" s="31" t="s">
        <v>6083</v>
      </c>
      <c r="B45" s="18" t="s">
        <v>4637</v>
      </c>
      <c r="C45" s="18" t="s">
        <v>4638</v>
      </c>
      <c r="D45" s="42">
        <v>2310146</v>
      </c>
    </row>
    <row r="46" spans="1:4" ht="15.6" x14ac:dyDescent="0.3">
      <c r="A46" s="31" t="s">
        <v>6084</v>
      </c>
      <c r="B46" s="18" t="s">
        <v>5419</v>
      </c>
      <c r="C46" s="18" t="s">
        <v>5420</v>
      </c>
      <c r="D46" s="42">
        <v>61709</v>
      </c>
    </row>
    <row r="47" spans="1:4" ht="15.6" x14ac:dyDescent="0.3">
      <c r="A47" s="31" t="s">
        <v>6085</v>
      </c>
      <c r="B47" s="18" t="s">
        <v>5523</v>
      </c>
      <c r="C47" s="18" t="s">
        <v>5524</v>
      </c>
      <c r="D47" s="42">
        <v>3870910</v>
      </c>
    </row>
    <row r="48" spans="1:4" ht="15.6" x14ac:dyDescent="0.3">
      <c r="A48" s="31" t="s">
        <v>6086</v>
      </c>
      <c r="B48" s="18" t="s">
        <v>5759</v>
      </c>
      <c r="C48" s="18" t="s">
        <v>5760</v>
      </c>
      <c r="D48" s="42">
        <v>4941645</v>
      </c>
    </row>
    <row r="49" spans="1:4" ht="15.6" x14ac:dyDescent="0.3">
      <c r="A49" s="31" t="s">
        <v>6087</v>
      </c>
      <c r="B49" s="18" t="s">
        <v>868</v>
      </c>
      <c r="C49" s="18" t="s">
        <v>869</v>
      </c>
      <c r="D49" s="42">
        <v>2320000</v>
      </c>
    </row>
    <row r="50" spans="1:4" ht="15.6" x14ac:dyDescent="0.3">
      <c r="A50" s="31" t="s">
        <v>6088</v>
      </c>
      <c r="B50" s="18" t="s">
        <v>3935</v>
      </c>
      <c r="C50" s="18" t="s">
        <v>3936</v>
      </c>
      <c r="D50" s="42">
        <v>445488</v>
      </c>
    </row>
    <row r="51" spans="1:4" ht="15.6" x14ac:dyDescent="0.3">
      <c r="A51" s="31" t="s">
        <v>6089</v>
      </c>
      <c r="B51" s="18" t="s">
        <v>3786</v>
      </c>
      <c r="C51" s="18" t="s">
        <v>3787</v>
      </c>
      <c r="D51" s="42">
        <v>2495995</v>
      </c>
    </row>
    <row r="52" spans="1:4" ht="15.6" x14ac:dyDescent="0.3">
      <c r="A52" s="31" t="s">
        <v>6090</v>
      </c>
      <c r="B52" s="18" t="s">
        <v>4308</v>
      </c>
      <c r="C52" s="18" t="s">
        <v>4309</v>
      </c>
      <c r="D52" s="42">
        <v>498597</v>
      </c>
    </row>
    <row r="53" spans="1:4" ht="15.6" x14ac:dyDescent="0.3">
      <c r="A53" s="31" t="s">
        <v>6091</v>
      </c>
      <c r="B53" s="18" t="s">
        <v>5916</v>
      </c>
      <c r="C53" s="18" t="s">
        <v>5917</v>
      </c>
      <c r="D53" s="42">
        <v>891428</v>
      </c>
    </row>
    <row r="54" spans="1:4" ht="15.6" x14ac:dyDescent="0.3">
      <c r="A54" s="31" t="s">
        <v>6092</v>
      </c>
      <c r="B54" s="18" t="s">
        <v>5907</v>
      </c>
      <c r="C54" s="18" t="s">
        <v>5908</v>
      </c>
      <c r="D54" s="42">
        <v>2895786</v>
      </c>
    </row>
    <row r="55" spans="1:4" ht="15.6" x14ac:dyDescent="0.3">
      <c r="A55" s="31" t="s">
        <v>6093</v>
      </c>
      <c r="B55" s="18" t="s">
        <v>4733</v>
      </c>
      <c r="C55" s="18" t="s">
        <v>4734</v>
      </c>
      <c r="D55" s="42">
        <v>2715490</v>
      </c>
    </row>
    <row r="56" spans="1:4" ht="15.6" x14ac:dyDescent="0.3">
      <c r="A56" s="31" t="s">
        <v>6108</v>
      </c>
      <c r="B56" s="18" t="s">
        <v>4805</v>
      </c>
      <c r="C56" s="18" t="s">
        <v>4806</v>
      </c>
      <c r="D56" s="42">
        <v>6627330</v>
      </c>
    </row>
    <row r="57" spans="1:4" ht="15.6" x14ac:dyDescent="0.3">
      <c r="A57" s="31" t="s">
        <v>6109</v>
      </c>
      <c r="B57" s="18" t="s">
        <v>1385</v>
      </c>
      <c r="C57" s="18" t="s">
        <v>1386</v>
      </c>
      <c r="D57" s="42">
        <v>1510098</v>
      </c>
    </row>
    <row r="58" spans="1:4" ht="15.6" x14ac:dyDescent="0.3">
      <c r="A58" s="31" t="s">
        <v>6110</v>
      </c>
      <c r="B58" s="18" t="s">
        <v>5709</v>
      </c>
      <c r="C58" s="18" t="s">
        <v>5710</v>
      </c>
      <c r="D58" s="42">
        <v>4639613</v>
      </c>
    </row>
    <row r="59" spans="1:4" ht="15.6" x14ac:dyDescent="0.3">
      <c r="A59" s="31" t="s">
        <v>6111</v>
      </c>
      <c r="B59" s="18" t="s">
        <v>5647</v>
      </c>
      <c r="C59" s="18" t="s">
        <v>5648</v>
      </c>
      <c r="D59" s="42">
        <v>219369</v>
      </c>
    </row>
    <row r="60" spans="1:4" ht="15.6" x14ac:dyDescent="0.3">
      <c r="A60" s="31" t="s">
        <v>6112</v>
      </c>
      <c r="B60" s="18" t="s">
        <v>4835</v>
      </c>
      <c r="C60" s="18" t="s">
        <v>4836</v>
      </c>
      <c r="D60" s="42">
        <v>608571</v>
      </c>
    </row>
    <row r="61" spans="1:4" ht="15.6" x14ac:dyDescent="0.3">
      <c r="A61" s="31" t="s">
        <v>6113</v>
      </c>
      <c r="B61" s="46" t="s">
        <v>167</v>
      </c>
      <c r="C61" s="46" t="s">
        <v>168</v>
      </c>
      <c r="D61" s="47">
        <v>548080</v>
      </c>
    </row>
    <row r="62" spans="1:4" ht="15.6" x14ac:dyDescent="0.3">
      <c r="A62" s="31" t="s">
        <v>6114</v>
      </c>
      <c r="B62" s="18" t="s">
        <v>1939</v>
      </c>
      <c r="C62" s="18" t="s">
        <v>1940</v>
      </c>
      <c r="D62" s="42">
        <v>2197317</v>
      </c>
    </row>
    <row r="63" spans="1:4" ht="15.6" x14ac:dyDescent="0.3">
      <c r="A63" s="31" t="s">
        <v>6115</v>
      </c>
      <c r="B63" s="18" t="s">
        <v>1144</v>
      </c>
      <c r="C63" s="18" t="s">
        <v>1145</v>
      </c>
      <c r="D63" s="42">
        <v>6297000</v>
      </c>
    </row>
    <row r="64" spans="1:4" ht="15.6" x14ac:dyDescent="0.3">
      <c r="A64" s="31" t="s">
        <v>6116</v>
      </c>
      <c r="B64" s="18" t="s">
        <v>1751</v>
      </c>
      <c r="C64" s="18" t="s">
        <v>1752</v>
      </c>
      <c r="D64" s="42">
        <v>2199358</v>
      </c>
    </row>
    <row r="65" spans="1:4" ht="15.6" x14ac:dyDescent="0.3">
      <c r="A65" s="31" t="s">
        <v>6117</v>
      </c>
      <c r="B65" s="18" t="s">
        <v>2640</v>
      </c>
      <c r="C65" s="18" t="s">
        <v>2641</v>
      </c>
      <c r="D65" s="42">
        <v>9744863</v>
      </c>
    </row>
    <row r="66" spans="1:4" ht="15.6" x14ac:dyDescent="0.3">
      <c r="A66" s="31" t="s">
        <v>6118</v>
      </c>
      <c r="B66" s="18" t="s">
        <v>821</v>
      </c>
      <c r="C66" s="18" t="s">
        <v>822</v>
      </c>
      <c r="D66" s="42">
        <v>1609382</v>
      </c>
    </row>
    <row r="67" spans="1:4" ht="15.6" x14ac:dyDescent="0.3">
      <c r="A67" s="31" t="s">
        <v>6119</v>
      </c>
      <c r="B67" s="18" t="s">
        <v>4964</v>
      </c>
      <c r="C67" s="18" t="s">
        <v>822</v>
      </c>
      <c r="D67" s="42">
        <v>880000</v>
      </c>
    </row>
    <row r="68" spans="1:4" ht="15.6" x14ac:dyDescent="0.3">
      <c r="A68" s="31" t="s">
        <v>6120</v>
      </c>
      <c r="B68" s="18" t="s">
        <v>786</v>
      </c>
      <c r="C68" s="18" t="s">
        <v>787</v>
      </c>
      <c r="D68" s="42">
        <v>3407335</v>
      </c>
    </row>
    <row r="69" spans="1:4" ht="15.6" x14ac:dyDescent="0.3">
      <c r="A69" s="31" t="s">
        <v>6121</v>
      </c>
      <c r="B69" s="18" t="s">
        <v>1683</v>
      </c>
      <c r="C69" s="18" t="s">
        <v>787</v>
      </c>
      <c r="D69" s="42">
        <v>6048852</v>
      </c>
    </row>
    <row r="70" spans="1:4" ht="15.6" x14ac:dyDescent="0.3">
      <c r="A70" s="31" t="s">
        <v>6122</v>
      </c>
      <c r="B70" s="18" t="s">
        <v>1792</v>
      </c>
      <c r="C70" s="18" t="s">
        <v>787</v>
      </c>
      <c r="D70" s="42">
        <v>1571375</v>
      </c>
    </row>
    <row r="71" spans="1:4" ht="15.6" x14ac:dyDescent="0.3">
      <c r="A71" s="31" t="s">
        <v>6123</v>
      </c>
      <c r="B71" s="18" t="s">
        <v>2638</v>
      </c>
      <c r="C71" s="18" t="s">
        <v>787</v>
      </c>
      <c r="D71" s="42">
        <v>2303493</v>
      </c>
    </row>
    <row r="72" spans="1:4" ht="15.6" x14ac:dyDescent="0.3">
      <c r="A72" s="31" t="s">
        <v>6124</v>
      </c>
      <c r="B72" s="18" t="s">
        <v>2804</v>
      </c>
      <c r="C72" s="18" t="s">
        <v>787</v>
      </c>
      <c r="D72" s="42">
        <v>14816586</v>
      </c>
    </row>
    <row r="73" spans="1:4" ht="15.6" x14ac:dyDescent="0.3">
      <c r="A73" s="31" t="s">
        <v>6125</v>
      </c>
      <c r="B73" s="18" t="s">
        <v>3225</v>
      </c>
      <c r="C73" s="18" t="s">
        <v>3226</v>
      </c>
      <c r="D73" s="42">
        <v>7099428</v>
      </c>
    </row>
    <row r="74" spans="1:4" ht="15.6" x14ac:dyDescent="0.3">
      <c r="A74" s="31" t="s">
        <v>6126</v>
      </c>
      <c r="B74" s="18" t="s">
        <v>3243</v>
      </c>
      <c r="C74" s="18" t="s">
        <v>787</v>
      </c>
      <c r="D74" s="42">
        <v>2060396</v>
      </c>
    </row>
    <row r="75" spans="1:4" ht="15.6" x14ac:dyDescent="0.3">
      <c r="A75" s="31" t="s">
        <v>6127</v>
      </c>
      <c r="B75" s="18" t="s">
        <v>3547</v>
      </c>
      <c r="C75" s="18" t="s">
        <v>3548</v>
      </c>
      <c r="D75" s="42">
        <v>5300000</v>
      </c>
    </row>
    <row r="76" spans="1:4" ht="15.6" x14ac:dyDescent="0.3">
      <c r="A76" s="31" t="s">
        <v>6128</v>
      </c>
      <c r="B76" s="18" t="s">
        <v>3419</v>
      </c>
      <c r="C76" s="18" t="s">
        <v>3420</v>
      </c>
      <c r="D76" s="42">
        <v>869855</v>
      </c>
    </row>
    <row r="77" spans="1:4" ht="15.6" x14ac:dyDescent="0.3">
      <c r="A77" s="31" t="s">
        <v>6129</v>
      </c>
      <c r="B77" s="18" t="s">
        <v>3132</v>
      </c>
      <c r="C77" s="18" t="s">
        <v>3277</v>
      </c>
      <c r="D77" s="42">
        <v>112777</v>
      </c>
    </row>
    <row r="78" spans="1:4" ht="15.6" x14ac:dyDescent="0.3">
      <c r="A78" s="31" t="s">
        <v>6130</v>
      </c>
      <c r="B78" s="18" t="s">
        <v>3132</v>
      </c>
      <c r="C78" s="18" t="s">
        <v>3133</v>
      </c>
      <c r="D78" s="42">
        <v>388482</v>
      </c>
    </row>
    <row r="79" spans="1:4" ht="15.6" x14ac:dyDescent="0.3">
      <c r="A79" s="31" t="s">
        <v>6131</v>
      </c>
      <c r="B79" s="18" t="s">
        <v>1124</v>
      </c>
      <c r="C79" s="18" t="s">
        <v>1125</v>
      </c>
      <c r="D79" s="42">
        <v>544545</v>
      </c>
    </row>
    <row r="80" spans="1:4" ht="15.6" x14ac:dyDescent="0.3">
      <c r="A80" s="31" t="s">
        <v>6132</v>
      </c>
      <c r="B80" s="18" t="s">
        <v>3462</v>
      </c>
      <c r="C80" s="18" t="s">
        <v>1125</v>
      </c>
      <c r="D80" s="42">
        <v>619136</v>
      </c>
    </row>
    <row r="81" spans="1:4" ht="15.6" x14ac:dyDescent="0.3">
      <c r="A81" s="31" t="s">
        <v>6133</v>
      </c>
      <c r="B81" s="18" t="s">
        <v>3035</v>
      </c>
      <c r="C81" s="18" t="s">
        <v>3036</v>
      </c>
      <c r="D81" s="42">
        <v>933139</v>
      </c>
    </row>
    <row r="82" spans="1:4" ht="15.6" x14ac:dyDescent="0.3">
      <c r="A82" s="31" t="s">
        <v>6134</v>
      </c>
      <c r="B82" s="18" t="s">
        <v>1141</v>
      </c>
      <c r="C82" s="18" t="s">
        <v>1142</v>
      </c>
      <c r="D82" s="42">
        <v>106136</v>
      </c>
    </row>
    <row r="83" spans="1:4" ht="15.6" x14ac:dyDescent="0.3">
      <c r="A83" s="31" t="s">
        <v>6135</v>
      </c>
      <c r="B83" s="18" t="s">
        <v>772</v>
      </c>
      <c r="C83" s="18" t="s">
        <v>773</v>
      </c>
      <c r="D83" s="42">
        <v>1001908</v>
      </c>
    </row>
    <row r="84" spans="1:4" ht="15.6" x14ac:dyDescent="0.3">
      <c r="A84" s="31" t="s">
        <v>6136</v>
      </c>
      <c r="B84" s="18" t="s">
        <v>1688</v>
      </c>
      <c r="C84" s="18" t="s">
        <v>1689</v>
      </c>
      <c r="D84" s="42">
        <v>16163448</v>
      </c>
    </row>
    <row r="85" spans="1:4" ht="15.6" x14ac:dyDescent="0.3">
      <c r="A85" s="31" t="s">
        <v>6137</v>
      </c>
      <c r="B85" s="18" t="s">
        <v>1803</v>
      </c>
      <c r="C85" s="18" t="s">
        <v>1689</v>
      </c>
      <c r="D85" s="42">
        <v>9552</v>
      </c>
    </row>
    <row r="86" spans="1:4" ht="15.6" x14ac:dyDescent="0.3">
      <c r="A86" s="31" t="s">
        <v>6138</v>
      </c>
      <c r="B86" s="18" t="s">
        <v>4920</v>
      </c>
      <c r="C86" s="18" t="s">
        <v>4921</v>
      </c>
      <c r="D86" s="42">
        <v>1479064</v>
      </c>
    </row>
    <row r="87" spans="1:4" ht="15.6" x14ac:dyDescent="0.3">
      <c r="A87" s="31" t="s">
        <v>6139</v>
      </c>
      <c r="B87" s="18" t="s">
        <v>1654</v>
      </c>
      <c r="C87" s="18" t="s">
        <v>1655</v>
      </c>
      <c r="D87" s="42">
        <v>31843973</v>
      </c>
    </row>
    <row r="88" spans="1:4" ht="15.6" x14ac:dyDescent="0.3">
      <c r="A88" s="31" t="s">
        <v>6140</v>
      </c>
      <c r="B88" s="18" t="s">
        <v>4521</v>
      </c>
      <c r="C88" s="18" t="s">
        <v>4522</v>
      </c>
      <c r="D88" s="42">
        <v>16000</v>
      </c>
    </row>
    <row r="89" spans="1:4" ht="15.6" x14ac:dyDescent="0.3">
      <c r="A89" s="31" t="s">
        <v>6141</v>
      </c>
      <c r="B89" s="18" t="s">
        <v>2865</v>
      </c>
      <c r="C89" s="18" t="s">
        <v>2866</v>
      </c>
      <c r="D89" s="42">
        <v>6173487</v>
      </c>
    </row>
    <row r="90" spans="1:4" ht="15.6" x14ac:dyDescent="0.3">
      <c r="A90" s="31" t="s">
        <v>6142</v>
      </c>
      <c r="B90" s="18" t="s">
        <v>818</v>
      </c>
      <c r="C90" s="18" t="s">
        <v>819</v>
      </c>
      <c r="D90" s="42">
        <v>1936974</v>
      </c>
    </row>
    <row r="91" spans="1:4" ht="15.6" x14ac:dyDescent="0.3">
      <c r="A91" s="31" t="s">
        <v>6143</v>
      </c>
      <c r="B91" s="18" t="s">
        <v>2309</v>
      </c>
      <c r="C91" s="18" t="s">
        <v>2310</v>
      </c>
      <c r="D91" s="42">
        <v>1020000</v>
      </c>
    </row>
    <row r="92" spans="1:4" ht="15.6" x14ac:dyDescent="0.3">
      <c r="A92" s="31" t="s">
        <v>6144</v>
      </c>
      <c r="B92" s="18" t="s">
        <v>1023</v>
      </c>
      <c r="C92" s="18" t="s">
        <v>1024</v>
      </c>
      <c r="D92" s="42">
        <v>3004963</v>
      </c>
    </row>
    <row r="93" spans="1:4" ht="15.6" x14ac:dyDescent="0.3">
      <c r="A93" s="31" t="s">
        <v>6145</v>
      </c>
      <c r="B93" s="18" t="s">
        <v>1743</v>
      </c>
      <c r="C93" s="18" t="s">
        <v>1744</v>
      </c>
      <c r="D93" s="42">
        <v>964769</v>
      </c>
    </row>
    <row r="94" spans="1:4" ht="15.6" x14ac:dyDescent="0.3">
      <c r="A94" s="31" t="s">
        <v>6146</v>
      </c>
      <c r="B94" s="18" t="s">
        <v>3068</v>
      </c>
      <c r="C94" s="18" t="s">
        <v>3069</v>
      </c>
      <c r="D94" s="42">
        <v>2884949</v>
      </c>
    </row>
    <row r="95" spans="1:4" ht="15.6" x14ac:dyDescent="0.3">
      <c r="A95" s="31" t="s">
        <v>6147</v>
      </c>
      <c r="B95" s="18" t="s">
        <v>1780</v>
      </c>
      <c r="C95" s="18" t="s">
        <v>1781</v>
      </c>
      <c r="D95" s="42">
        <v>5460271</v>
      </c>
    </row>
    <row r="96" spans="1:4" ht="15.6" x14ac:dyDescent="0.3">
      <c r="A96" s="31" t="s">
        <v>6148</v>
      </c>
      <c r="B96" s="18" t="s">
        <v>2778</v>
      </c>
      <c r="C96" s="18" t="s">
        <v>2779</v>
      </c>
      <c r="D96" s="42">
        <v>485755</v>
      </c>
    </row>
    <row r="97" spans="1:4" ht="15.6" x14ac:dyDescent="0.3">
      <c r="A97" s="31" t="s">
        <v>6149</v>
      </c>
      <c r="B97" s="18" t="s">
        <v>3778</v>
      </c>
      <c r="C97" s="18" t="s">
        <v>1781</v>
      </c>
      <c r="D97" s="42">
        <v>5621829</v>
      </c>
    </row>
    <row r="98" spans="1:4" ht="15.6" x14ac:dyDescent="0.3">
      <c r="A98" s="31" t="s">
        <v>6150</v>
      </c>
      <c r="B98" s="18" t="s">
        <v>127</v>
      </c>
      <c r="C98" s="18" t="s">
        <v>128</v>
      </c>
      <c r="D98" s="42">
        <v>270000</v>
      </c>
    </row>
    <row r="99" spans="1:4" ht="15.6" x14ac:dyDescent="0.3">
      <c r="A99" s="31" t="s">
        <v>6151</v>
      </c>
      <c r="B99" s="18" t="s">
        <v>830</v>
      </c>
      <c r="C99" s="18" t="s">
        <v>831</v>
      </c>
      <c r="D99" s="42">
        <v>3678887</v>
      </c>
    </row>
    <row r="100" spans="1:4" ht="15.6" x14ac:dyDescent="0.3">
      <c r="A100" s="31" t="s">
        <v>6152</v>
      </c>
      <c r="B100" s="18" t="s">
        <v>1585</v>
      </c>
      <c r="C100" s="18" t="s">
        <v>1586</v>
      </c>
      <c r="D100" s="42">
        <v>3835544</v>
      </c>
    </row>
    <row r="101" spans="1:4" ht="15.6" x14ac:dyDescent="0.3">
      <c r="A101" s="31" t="s">
        <v>6153</v>
      </c>
      <c r="B101" s="18" t="s">
        <v>2801</v>
      </c>
      <c r="C101" s="18" t="s">
        <v>2802</v>
      </c>
      <c r="D101" s="42">
        <v>2386529</v>
      </c>
    </row>
    <row r="102" spans="1:4" ht="15.6" x14ac:dyDescent="0.3">
      <c r="A102" s="31" t="s">
        <v>6154</v>
      </c>
      <c r="B102" s="18" t="s">
        <v>1173</v>
      </c>
      <c r="C102" s="18" t="s">
        <v>1174</v>
      </c>
      <c r="D102" s="42">
        <v>335454</v>
      </c>
    </row>
    <row r="103" spans="1:4" ht="15.6" x14ac:dyDescent="0.3">
      <c r="A103" s="31" t="s">
        <v>6155</v>
      </c>
      <c r="B103" s="18" t="s">
        <v>1185</v>
      </c>
      <c r="C103" s="18" t="s">
        <v>1186</v>
      </c>
      <c r="D103" s="42">
        <v>246857</v>
      </c>
    </row>
    <row r="104" spans="1:4" ht="15.6" x14ac:dyDescent="0.3">
      <c r="A104" s="31" t="s">
        <v>6156</v>
      </c>
      <c r="B104" s="18" t="s">
        <v>4889</v>
      </c>
      <c r="C104" s="18" t="s">
        <v>4890</v>
      </c>
      <c r="D104" s="42">
        <v>14872990</v>
      </c>
    </row>
    <row r="105" spans="1:4" ht="15.6" x14ac:dyDescent="0.3">
      <c r="A105" s="31" t="s">
        <v>6157</v>
      </c>
      <c r="B105" s="18" t="s">
        <v>753</v>
      </c>
      <c r="C105" s="18" t="s">
        <v>754</v>
      </c>
      <c r="D105" s="42">
        <v>3578177</v>
      </c>
    </row>
    <row r="106" spans="1:4" ht="15.6" x14ac:dyDescent="0.3">
      <c r="A106" s="31" t="s">
        <v>6158</v>
      </c>
      <c r="B106" s="18" t="s">
        <v>1737</v>
      </c>
      <c r="C106" s="18" t="s">
        <v>1738</v>
      </c>
      <c r="D106" s="42">
        <v>10474614</v>
      </c>
    </row>
    <row r="107" spans="1:4" ht="15.6" x14ac:dyDescent="0.3">
      <c r="A107" s="31" t="s">
        <v>6159</v>
      </c>
      <c r="B107" s="18" t="s">
        <v>1928</v>
      </c>
      <c r="C107" s="18" t="s">
        <v>754</v>
      </c>
      <c r="D107" s="42">
        <v>37622985</v>
      </c>
    </row>
    <row r="108" spans="1:4" ht="15.6" x14ac:dyDescent="0.3">
      <c r="A108" s="31" t="s">
        <v>6160</v>
      </c>
      <c r="B108" s="18" t="s">
        <v>387</v>
      </c>
      <c r="C108" s="18" t="s">
        <v>388</v>
      </c>
      <c r="D108" s="42">
        <v>1875000</v>
      </c>
    </row>
    <row r="109" spans="1:4" ht="15.6" x14ac:dyDescent="0.3">
      <c r="A109" s="31" t="s">
        <v>6161</v>
      </c>
      <c r="B109" s="18" t="s">
        <v>2974</v>
      </c>
      <c r="C109" s="18" t="s">
        <v>2975</v>
      </c>
      <c r="D109" s="42">
        <v>1580000</v>
      </c>
    </row>
    <row r="110" spans="1:4" ht="15.6" x14ac:dyDescent="0.3">
      <c r="A110" s="31" t="s">
        <v>6162</v>
      </c>
      <c r="B110" s="18" t="s">
        <v>441</v>
      </c>
      <c r="C110" s="18" t="s">
        <v>442</v>
      </c>
      <c r="D110" s="42">
        <v>80000</v>
      </c>
    </row>
    <row r="111" spans="1:4" ht="15.6" x14ac:dyDescent="0.3">
      <c r="A111" s="31" t="s">
        <v>6163</v>
      </c>
      <c r="B111" s="18" t="s">
        <v>223</v>
      </c>
      <c r="C111" s="18" t="s">
        <v>224</v>
      </c>
      <c r="D111" s="42">
        <v>668000</v>
      </c>
    </row>
    <row r="112" spans="1:4" ht="15.6" x14ac:dyDescent="0.3">
      <c r="A112" s="31" t="s">
        <v>6164</v>
      </c>
      <c r="B112" s="18" t="s">
        <v>3814</v>
      </c>
      <c r="C112" s="18" t="s">
        <v>3815</v>
      </c>
      <c r="D112" s="42">
        <v>4305562</v>
      </c>
    </row>
    <row r="113" spans="1:4" s="7" customFormat="1" ht="17.399999999999999" x14ac:dyDescent="0.3">
      <c r="A113" s="28"/>
      <c r="B113" s="48" t="s">
        <v>5984</v>
      </c>
      <c r="C113" s="29"/>
      <c r="D113" s="30">
        <f>SUM(D4:D107)</f>
        <v>383804249</v>
      </c>
    </row>
    <row r="115" spans="1:4" ht="20.399999999999999" x14ac:dyDescent="0.35">
      <c r="A115" s="49" t="s">
        <v>6097</v>
      </c>
      <c r="B115" s="49"/>
      <c r="C115" s="49"/>
      <c r="D115" s="49"/>
    </row>
    <row r="117" spans="1:4" s="25" customFormat="1" ht="17.399999999999999" x14ac:dyDescent="0.3">
      <c r="A117" s="28" t="s">
        <v>6040</v>
      </c>
      <c r="B117" s="28" t="s">
        <v>6039</v>
      </c>
      <c r="C117" s="28" t="s">
        <v>6041</v>
      </c>
      <c r="D117" s="28" t="s">
        <v>6101</v>
      </c>
    </row>
    <row r="118" spans="1:4" x14ac:dyDescent="0.3">
      <c r="A118" s="37" t="s">
        <v>6042</v>
      </c>
      <c r="B118" s="24"/>
      <c r="C118" s="18"/>
      <c r="D118" s="27"/>
    </row>
    <row r="119" spans="1:4" x14ac:dyDescent="0.3">
      <c r="A119" s="37" t="s">
        <v>6043</v>
      </c>
      <c r="B119" s="24"/>
      <c r="C119" s="18"/>
      <c r="D119" s="27"/>
    </row>
    <row r="120" spans="1:4" x14ac:dyDescent="0.3">
      <c r="A120" s="37" t="s">
        <v>6044</v>
      </c>
      <c r="B120" s="24"/>
      <c r="C120" s="18"/>
      <c r="D120" s="27"/>
    </row>
    <row r="121" spans="1:4" x14ac:dyDescent="0.3">
      <c r="A121" s="37" t="s">
        <v>6045</v>
      </c>
      <c r="B121" s="18"/>
      <c r="C121" s="18"/>
      <c r="D121" s="27"/>
    </row>
    <row r="122" spans="1:4" x14ac:dyDescent="0.3">
      <c r="A122" s="37" t="s">
        <v>6046</v>
      </c>
      <c r="B122" s="24"/>
      <c r="C122" s="18"/>
      <c r="D122" s="27"/>
    </row>
    <row r="123" spans="1:4" x14ac:dyDescent="0.3">
      <c r="A123" s="37" t="s">
        <v>6047</v>
      </c>
      <c r="B123" s="18"/>
      <c r="C123" s="18"/>
      <c r="D123" s="27"/>
    </row>
    <row r="124" spans="1:4" x14ac:dyDescent="0.3">
      <c r="A124" s="37" t="s">
        <v>6048</v>
      </c>
      <c r="B124" s="24"/>
      <c r="C124" s="18"/>
      <c r="D124" s="27"/>
    </row>
    <row r="125" spans="1:4" x14ac:dyDescent="0.3">
      <c r="A125" s="37" t="s">
        <v>6049</v>
      </c>
      <c r="B125" s="18"/>
      <c r="C125" s="18"/>
      <c r="D125" s="27"/>
    </row>
    <row r="126" spans="1:4" x14ac:dyDescent="0.3">
      <c r="A126" s="37" t="s">
        <v>6050</v>
      </c>
      <c r="B126" s="24"/>
      <c r="C126" s="18"/>
      <c r="D126" s="27"/>
    </row>
    <row r="127" spans="1:4" x14ac:dyDescent="0.3">
      <c r="A127" s="37" t="s">
        <v>6051</v>
      </c>
      <c r="B127" s="24"/>
      <c r="C127" s="18"/>
      <c r="D127" s="27"/>
    </row>
    <row r="128" spans="1:4" x14ac:dyDescent="0.3">
      <c r="A128" s="37" t="s">
        <v>6052</v>
      </c>
      <c r="B128" s="36"/>
      <c r="C128" s="36"/>
      <c r="D128" s="27"/>
    </row>
    <row r="129" spans="1:4" x14ac:dyDescent="0.3">
      <c r="A129" s="37" t="s">
        <v>6053</v>
      </c>
      <c r="B129" s="18"/>
      <c r="C129" s="18"/>
      <c r="D129" s="27"/>
    </row>
    <row r="130" spans="1:4" x14ac:dyDescent="0.3">
      <c r="A130" s="37" t="s">
        <v>6054</v>
      </c>
      <c r="B130" s="36"/>
      <c r="C130" s="36"/>
      <c r="D130" s="27"/>
    </row>
  </sheetData>
  <mergeCells count="2">
    <mergeCell ref="A1:D1"/>
    <mergeCell ref="A115:D115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1E26-3366-4030-9A5C-C22F354BBE4B}">
  <dimension ref="A1:D56"/>
  <sheetViews>
    <sheetView topLeftCell="A35" workbookViewId="0">
      <selection activeCell="C27" sqref="C27"/>
    </sheetView>
  </sheetViews>
  <sheetFormatPr defaultRowHeight="14.4" x14ac:dyDescent="0.3"/>
  <cols>
    <col min="1" max="1" width="7.77734375" style="25" bestFit="1" customWidth="1"/>
    <col min="2" max="2" width="70.21875" customWidth="1"/>
    <col min="3" max="3" width="87" customWidth="1"/>
    <col min="4" max="4" width="16.33203125" style="25" bestFit="1" customWidth="1"/>
  </cols>
  <sheetData>
    <row r="1" spans="1:4" ht="20.399999999999999" x14ac:dyDescent="0.35">
      <c r="A1" s="49" t="s">
        <v>6103</v>
      </c>
      <c r="B1" s="49"/>
      <c r="C1" s="49"/>
      <c r="D1" s="49"/>
    </row>
    <row r="3" spans="1:4" s="38" customFormat="1" ht="18" x14ac:dyDescent="0.35">
      <c r="A3" s="28" t="s">
        <v>6040</v>
      </c>
      <c r="B3" s="28" t="s">
        <v>6039</v>
      </c>
      <c r="C3" s="28" t="s">
        <v>6041</v>
      </c>
      <c r="D3" s="28" t="s">
        <v>6098</v>
      </c>
    </row>
    <row r="4" spans="1:4" ht="15.6" x14ac:dyDescent="0.3">
      <c r="A4" s="31" t="s">
        <v>6042</v>
      </c>
      <c r="B4" s="18" t="s">
        <v>1241</v>
      </c>
      <c r="C4" s="18" t="s">
        <v>1242</v>
      </c>
      <c r="D4" s="42">
        <v>5803240</v>
      </c>
    </row>
    <row r="5" spans="1:4" ht="15.6" x14ac:dyDescent="0.3">
      <c r="A5" s="31" t="s">
        <v>6043</v>
      </c>
      <c r="B5" s="18" t="s">
        <v>1281</v>
      </c>
      <c r="C5" s="18" t="s">
        <v>1242</v>
      </c>
      <c r="D5" s="42">
        <v>1280371</v>
      </c>
    </row>
    <row r="6" spans="1:4" ht="15.6" x14ac:dyDescent="0.3">
      <c r="A6" s="31" t="s">
        <v>6044</v>
      </c>
      <c r="B6" s="18" t="s">
        <v>1397</v>
      </c>
      <c r="C6" s="18" t="s">
        <v>1242</v>
      </c>
      <c r="D6" s="42">
        <v>3201574</v>
      </c>
    </row>
    <row r="7" spans="1:4" ht="15.6" x14ac:dyDescent="0.3">
      <c r="A7" s="31" t="s">
        <v>6045</v>
      </c>
      <c r="B7" s="18" t="s">
        <v>1571</v>
      </c>
      <c r="C7" s="18" t="s">
        <v>1242</v>
      </c>
      <c r="D7" s="42">
        <v>4841226</v>
      </c>
    </row>
    <row r="8" spans="1:4" ht="15.6" x14ac:dyDescent="0.3">
      <c r="A8" s="31" t="s">
        <v>6046</v>
      </c>
      <c r="B8" s="18" t="s">
        <v>1951</v>
      </c>
      <c r="C8" s="18" t="s">
        <v>1242</v>
      </c>
      <c r="D8" s="42">
        <v>1813119</v>
      </c>
    </row>
    <row r="9" spans="1:4" ht="15.6" x14ac:dyDescent="0.3">
      <c r="A9" s="31" t="s">
        <v>6047</v>
      </c>
      <c r="B9" s="18" t="s">
        <v>1953</v>
      </c>
      <c r="C9" s="18" t="s">
        <v>1242</v>
      </c>
      <c r="D9" s="42">
        <v>5670252</v>
      </c>
    </row>
    <row r="10" spans="1:4" ht="15.6" x14ac:dyDescent="0.3">
      <c r="A10" s="31" t="s">
        <v>6048</v>
      </c>
      <c r="B10" s="18" t="s">
        <v>2210</v>
      </c>
      <c r="C10" s="18" t="s">
        <v>1242</v>
      </c>
      <c r="D10" s="42">
        <v>1451075</v>
      </c>
    </row>
    <row r="11" spans="1:4" ht="15.6" x14ac:dyDescent="0.3">
      <c r="A11" s="31" t="s">
        <v>6049</v>
      </c>
      <c r="B11" s="18" t="s">
        <v>2307</v>
      </c>
      <c r="C11" s="18" t="s">
        <v>1242</v>
      </c>
      <c r="D11" s="42">
        <v>120000</v>
      </c>
    </row>
    <row r="12" spans="1:4" ht="15.6" x14ac:dyDescent="0.3">
      <c r="A12" s="31" t="s">
        <v>6050</v>
      </c>
      <c r="B12" s="18" t="s">
        <v>4907</v>
      </c>
      <c r="C12" s="18" t="s">
        <v>1242</v>
      </c>
      <c r="D12" s="42">
        <v>2809363</v>
      </c>
    </row>
    <row r="13" spans="1:4" ht="15.6" x14ac:dyDescent="0.3">
      <c r="A13" s="31" t="s">
        <v>6051</v>
      </c>
      <c r="B13" s="18" t="s">
        <v>728</v>
      </c>
      <c r="C13" s="18" t="s">
        <v>729</v>
      </c>
      <c r="D13" s="42">
        <v>399091</v>
      </c>
    </row>
    <row r="14" spans="1:4" ht="15.6" x14ac:dyDescent="0.3">
      <c r="A14" s="31" t="s">
        <v>6052</v>
      </c>
      <c r="B14" s="18" t="s">
        <v>86</v>
      </c>
      <c r="C14" s="18" t="s">
        <v>87</v>
      </c>
      <c r="D14" s="42">
        <v>428571</v>
      </c>
    </row>
    <row r="15" spans="1:4" ht="15.6" x14ac:dyDescent="0.3">
      <c r="A15" s="31" t="s">
        <v>6053</v>
      </c>
      <c r="B15" s="18" t="s">
        <v>534</v>
      </c>
      <c r="C15" s="18" t="s">
        <v>535</v>
      </c>
      <c r="D15" s="42">
        <v>1080000</v>
      </c>
    </row>
    <row r="16" spans="1:4" ht="15.6" x14ac:dyDescent="0.3">
      <c r="A16" s="31" t="s">
        <v>6054</v>
      </c>
      <c r="B16" s="18" t="s">
        <v>1763</v>
      </c>
      <c r="C16" s="18" t="s">
        <v>1764</v>
      </c>
      <c r="D16" s="42">
        <v>380000</v>
      </c>
    </row>
    <row r="17" spans="1:4" ht="15.6" x14ac:dyDescent="0.3">
      <c r="A17" s="31" t="s">
        <v>6055</v>
      </c>
      <c r="B17" s="18" t="s">
        <v>173</v>
      </c>
      <c r="C17" s="18" t="s">
        <v>174</v>
      </c>
      <c r="D17" s="42">
        <v>1350000</v>
      </c>
    </row>
    <row r="18" spans="1:4" ht="15.6" x14ac:dyDescent="0.3">
      <c r="A18" s="31" t="s">
        <v>6056</v>
      </c>
      <c r="B18" s="18" t="s">
        <v>181</v>
      </c>
      <c r="C18" s="18" t="s">
        <v>174</v>
      </c>
      <c r="D18" s="42">
        <v>3540882</v>
      </c>
    </row>
    <row r="19" spans="1:4" ht="15.6" x14ac:dyDescent="0.3">
      <c r="A19" s="31" t="s">
        <v>6057</v>
      </c>
      <c r="B19" s="18" t="s">
        <v>544</v>
      </c>
      <c r="C19" s="18" t="s">
        <v>545</v>
      </c>
      <c r="D19" s="42">
        <v>560000</v>
      </c>
    </row>
    <row r="20" spans="1:4" ht="15.6" x14ac:dyDescent="0.3">
      <c r="A20" s="31" t="s">
        <v>6058</v>
      </c>
      <c r="B20" s="18" t="s">
        <v>750</v>
      </c>
      <c r="C20" s="18" t="s">
        <v>751</v>
      </c>
      <c r="D20" s="42">
        <v>2856462</v>
      </c>
    </row>
    <row r="21" spans="1:4" ht="15.6" x14ac:dyDescent="0.3">
      <c r="A21" s="31" t="s">
        <v>6059</v>
      </c>
      <c r="B21" s="18" t="s">
        <v>1238</v>
      </c>
      <c r="C21" s="18" t="s">
        <v>1239</v>
      </c>
      <c r="D21" s="42">
        <v>2398381</v>
      </c>
    </row>
    <row r="22" spans="1:4" ht="15.6" x14ac:dyDescent="0.3">
      <c r="A22" s="31" t="s">
        <v>6060</v>
      </c>
      <c r="B22" s="18" t="s">
        <v>1443</v>
      </c>
      <c r="C22" s="18" t="s">
        <v>1239</v>
      </c>
      <c r="D22" s="42">
        <v>1372117</v>
      </c>
    </row>
    <row r="23" spans="1:4" ht="15.6" x14ac:dyDescent="0.3">
      <c r="A23" s="31" t="s">
        <v>6061</v>
      </c>
      <c r="B23" s="18" t="s">
        <v>1725</v>
      </c>
      <c r="C23" s="18" t="s">
        <v>1239</v>
      </c>
      <c r="D23" s="42">
        <v>3147000</v>
      </c>
    </row>
    <row r="24" spans="1:4" ht="15.6" x14ac:dyDescent="0.3">
      <c r="A24" s="31" t="s">
        <v>6062</v>
      </c>
      <c r="B24" s="18" t="s">
        <v>260</v>
      </c>
      <c r="C24" s="18" t="s">
        <v>261</v>
      </c>
      <c r="D24" s="42">
        <v>384000</v>
      </c>
    </row>
    <row r="25" spans="1:4" ht="15.6" x14ac:dyDescent="0.3">
      <c r="A25" s="31" t="s">
        <v>6063</v>
      </c>
      <c r="B25" s="18" t="s">
        <v>479</v>
      </c>
      <c r="C25" s="18" t="s">
        <v>480</v>
      </c>
      <c r="D25" s="42">
        <v>3280000</v>
      </c>
    </row>
    <row r="26" spans="1:4" ht="15.6" x14ac:dyDescent="0.3">
      <c r="A26" s="31" t="s">
        <v>6064</v>
      </c>
      <c r="B26" s="18" t="s">
        <v>1232</v>
      </c>
      <c r="C26" s="18" t="s">
        <v>1233</v>
      </c>
      <c r="D26" s="42">
        <v>2858981</v>
      </c>
    </row>
    <row r="27" spans="1:4" ht="15.6" x14ac:dyDescent="0.3">
      <c r="A27" s="31" t="s">
        <v>6065</v>
      </c>
      <c r="B27" s="18" t="s">
        <v>709</v>
      </c>
      <c r="C27" s="18" t="s">
        <v>710</v>
      </c>
      <c r="D27" s="42">
        <v>1853623</v>
      </c>
    </row>
    <row r="28" spans="1:4" ht="15.6" x14ac:dyDescent="0.3">
      <c r="A28" s="31" t="s">
        <v>6066</v>
      </c>
      <c r="B28" s="18" t="s">
        <v>2536</v>
      </c>
      <c r="C28" s="18" t="s">
        <v>710</v>
      </c>
      <c r="D28" s="42">
        <v>1333626</v>
      </c>
    </row>
    <row r="29" spans="1:4" ht="15.6" x14ac:dyDescent="0.3">
      <c r="A29" s="31" t="s">
        <v>6067</v>
      </c>
      <c r="B29" s="18" t="s">
        <v>425</v>
      </c>
      <c r="C29" s="18" t="s">
        <v>426</v>
      </c>
      <c r="D29" s="42">
        <v>857143</v>
      </c>
    </row>
    <row r="30" spans="1:4" ht="15.6" x14ac:dyDescent="0.3">
      <c r="A30" s="31" t="s">
        <v>6068</v>
      </c>
      <c r="B30" s="18" t="s">
        <v>1153</v>
      </c>
      <c r="C30" s="18" t="s">
        <v>1154</v>
      </c>
      <c r="D30" s="42">
        <v>368400</v>
      </c>
    </row>
    <row r="31" spans="1:4" ht="15.6" x14ac:dyDescent="0.3">
      <c r="A31" s="31" t="s">
        <v>6069</v>
      </c>
      <c r="B31" s="18" t="s">
        <v>2093</v>
      </c>
      <c r="C31" s="18" t="s">
        <v>2094</v>
      </c>
      <c r="D31" s="42">
        <v>1465454</v>
      </c>
    </row>
    <row r="32" spans="1:4" ht="15.6" x14ac:dyDescent="0.3">
      <c r="A32" s="31" t="s">
        <v>6070</v>
      </c>
      <c r="B32" s="18" t="s">
        <v>178</v>
      </c>
      <c r="C32" s="18" t="s">
        <v>179</v>
      </c>
      <c r="D32" s="42">
        <v>462857</v>
      </c>
    </row>
    <row r="33" spans="1:4" ht="15.6" x14ac:dyDescent="0.3">
      <c r="A33" s="31" t="s">
        <v>6071</v>
      </c>
      <c r="B33" s="18" t="s">
        <v>1523</v>
      </c>
      <c r="C33" s="18" t="s">
        <v>1524</v>
      </c>
      <c r="D33" s="42">
        <v>1500000</v>
      </c>
    </row>
    <row r="34" spans="1:4" ht="15.6" x14ac:dyDescent="0.3">
      <c r="A34" s="31" t="s">
        <v>6072</v>
      </c>
      <c r="B34" s="18" t="s">
        <v>3605</v>
      </c>
      <c r="C34" s="18" t="s">
        <v>3606</v>
      </c>
      <c r="D34" s="42">
        <v>1433327</v>
      </c>
    </row>
    <row r="35" spans="1:4" ht="15.6" x14ac:dyDescent="0.3">
      <c r="A35" s="31" t="s">
        <v>6073</v>
      </c>
      <c r="B35" s="18" t="s">
        <v>131</v>
      </c>
      <c r="C35" s="18" t="s">
        <v>132</v>
      </c>
      <c r="D35" s="42">
        <v>720000</v>
      </c>
    </row>
    <row r="36" spans="1:4" ht="15.6" x14ac:dyDescent="0.3">
      <c r="A36" s="31" t="s">
        <v>6074</v>
      </c>
      <c r="B36" s="18" t="s">
        <v>1566</v>
      </c>
      <c r="C36" s="18" t="s">
        <v>1567</v>
      </c>
      <c r="D36" s="42">
        <v>4099479</v>
      </c>
    </row>
    <row r="37" spans="1:4" ht="15.6" x14ac:dyDescent="0.3">
      <c r="A37" s="31" t="s">
        <v>6075</v>
      </c>
      <c r="B37" s="34" t="s">
        <v>6105</v>
      </c>
      <c r="C37" s="34" t="s">
        <v>6106</v>
      </c>
      <c r="D37" s="33"/>
    </row>
    <row r="38" spans="1:4" ht="15.6" x14ac:dyDescent="0.3">
      <c r="A38" s="31" t="s">
        <v>6076</v>
      </c>
      <c r="B38" s="34"/>
      <c r="C38" s="34"/>
      <c r="D38" s="33"/>
    </row>
    <row r="39" spans="1:4" s="7" customFormat="1" ht="17.399999999999999" x14ac:dyDescent="0.3">
      <c r="A39" s="28"/>
      <c r="B39" s="48" t="s">
        <v>5984</v>
      </c>
      <c r="C39" s="29"/>
      <c r="D39" s="30">
        <f>SUM(D4:D38)</f>
        <v>65119614</v>
      </c>
    </row>
    <row r="41" spans="1:4" ht="20.399999999999999" x14ac:dyDescent="0.35">
      <c r="A41" s="49" t="s">
        <v>6097</v>
      </c>
      <c r="B41" s="49"/>
      <c r="C41" s="49"/>
      <c r="D41" s="49"/>
    </row>
    <row r="43" spans="1:4" s="25" customFormat="1" ht="17.399999999999999" x14ac:dyDescent="0.3">
      <c r="A43" s="28" t="s">
        <v>6040</v>
      </c>
      <c r="B43" s="28" t="s">
        <v>6039</v>
      </c>
      <c r="C43" s="28" t="s">
        <v>6041</v>
      </c>
      <c r="D43" s="28" t="s">
        <v>6101</v>
      </c>
    </row>
    <row r="44" spans="1:4" x14ac:dyDescent="0.3">
      <c r="A44" s="37" t="s">
        <v>6042</v>
      </c>
      <c r="B44" s="24"/>
      <c r="C44" s="18"/>
      <c r="D44" s="27"/>
    </row>
    <row r="45" spans="1:4" x14ac:dyDescent="0.3">
      <c r="A45" s="37" t="s">
        <v>6043</v>
      </c>
      <c r="B45" s="24"/>
      <c r="C45" s="18"/>
      <c r="D45" s="27"/>
    </row>
    <row r="46" spans="1:4" x14ac:dyDescent="0.3">
      <c r="A46" s="37" t="s">
        <v>6044</v>
      </c>
      <c r="B46" s="24"/>
      <c r="C46" s="18"/>
      <c r="D46" s="27"/>
    </row>
    <row r="47" spans="1:4" x14ac:dyDescent="0.3">
      <c r="A47" s="37" t="s">
        <v>6045</v>
      </c>
      <c r="B47" s="18"/>
      <c r="C47" s="18"/>
      <c r="D47" s="27"/>
    </row>
    <row r="48" spans="1:4" x14ac:dyDescent="0.3">
      <c r="A48" s="37" t="s">
        <v>6046</v>
      </c>
      <c r="B48" s="24"/>
      <c r="C48" s="18"/>
      <c r="D48" s="27"/>
    </row>
    <row r="49" spans="1:4" x14ac:dyDescent="0.3">
      <c r="A49" s="37" t="s">
        <v>6047</v>
      </c>
      <c r="B49" s="18"/>
      <c r="C49" s="18"/>
      <c r="D49" s="27"/>
    </row>
    <row r="50" spans="1:4" x14ac:dyDescent="0.3">
      <c r="A50" s="37" t="s">
        <v>6048</v>
      </c>
      <c r="B50" s="24"/>
      <c r="C50" s="18"/>
      <c r="D50" s="27"/>
    </row>
    <row r="51" spans="1:4" x14ac:dyDescent="0.3">
      <c r="A51" s="37" t="s">
        <v>6049</v>
      </c>
      <c r="B51" s="18"/>
      <c r="C51" s="18"/>
      <c r="D51" s="27"/>
    </row>
    <row r="52" spans="1:4" x14ac:dyDescent="0.3">
      <c r="A52" s="37" t="s">
        <v>6050</v>
      </c>
      <c r="B52" s="24"/>
      <c r="C52" s="18"/>
      <c r="D52" s="27"/>
    </row>
    <row r="53" spans="1:4" x14ac:dyDescent="0.3">
      <c r="A53" s="37" t="s">
        <v>6051</v>
      </c>
      <c r="B53" s="24"/>
      <c r="C53" s="18"/>
      <c r="D53" s="27"/>
    </row>
    <row r="54" spans="1:4" x14ac:dyDescent="0.3">
      <c r="A54" s="37" t="s">
        <v>6052</v>
      </c>
      <c r="B54" s="36"/>
      <c r="C54" s="36"/>
      <c r="D54" s="27"/>
    </row>
    <row r="55" spans="1:4" x14ac:dyDescent="0.3">
      <c r="A55" s="37" t="s">
        <v>6053</v>
      </c>
      <c r="B55" s="18"/>
      <c r="C55" s="18"/>
      <c r="D55" s="27"/>
    </row>
    <row r="56" spans="1:4" x14ac:dyDescent="0.3">
      <c r="A56" s="37" t="s">
        <v>6054</v>
      </c>
      <c r="B56" s="36"/>
      <c r="C56" s="36"/>
      <c r="D56" s="27"/>
    </row>
  </sheetData>
  <mergeCells count="2">
    <mergeCell ref="A1:D1"/>
    <mergeCell ref="A41:D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0D69-AF37-4CC7-816A-F5342016A2F2}">
  <dimension ref="A1:BU17"/>
  <sheetViews>
    <sheetView zoomScaleNormal="100" workbookViewId="0">
      <pane xSplit="1" topLeftCell="BC1" activePane="topRight" state="frozen"/>
      <selection pane="topRight" activeCell="BF17" sqref="BF17"/>
    </sheetView>
  </sheetViews>
  <sheetFormatPr defaultRowHeight="14.4" x14ac:dyDescent="0.3"/>
  <cols>
    <col min="1" max="1" width="12.77734375" customWidth="1"/>
    <col min="2" max="2" width="0" hidden="1" customWidth="1"/>
    <col min="3" max="3" width="13.44140625" style="1" hidden="1" customWidth="1"/>
    <col min="4" max="4" width="9" style="1" hidden="1" customWidth="1"/>
    <col min="5" max="5" width="12.77734375" style="1" hidden="1" customWidth="1"/>
    <col min="6" max="25" width="0" hidden="1" customWidth="1"/>
    <col min="26" max="26" width="10.33203125" style="1" hidden="1" customWidth="1"/>
    <col min="27" max="54" width="0" hidden="1" customWidth="1"/>
    <col min="55" max="55" width="10.6640625" bestFit="1" customWidth="1"/>
    <col min="57" max="57" width="52.5546875" customWidth="1"/>
    <col min="58" max="58" width="87.6640625" customWidth="1"/>
    <col min="59" max="72" width="0" hidden="1" customWidth="1"/>
    <col min="73" max="73" width="12.77734375" bestFit="1" customWidth="1"/>
  </cols>
  <sheetData>
    <row r="1" spans="1:73" s="8" customFormat="1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9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16" t="s">
        <v>72</v>
      </c>
    </row>
    <row r="2" spans="1:73" x14ac:dyDescent="0.3">
      <c r="A2" t="s">
        <v>3659</v>
      </c>
      <c r="B2">
        <v>1</v>
      </c>
      <c r="C2" s="1">
        <v>44545</v>
      </c>
      <c r="D2" s="1">
        <v>1</v>
      </c>
      <c r="E2" s="1">
        <v>246857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1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4</v>
      </c>
      <c r="BC2" s="1">
        <v>761116</v>
      </c>
      <c r="BD2" t="s">
        <v>74</v>
      </c>
      <c r="BE2" t="s">
        <v>3660</v>
      </c>
      <c r="BF2" t="s">
        <v>3661</v>
      </c>
      <c r="BH2" t="s">
        <v>136</v>
      </c>
      <c r="BI2" t="s">
        <v>191</v>
      </c>
      <c r="BJ2" t="s">
        <v>125</v>
      </c>
      <c r="BM2">
        <v>0</v>
      </c>
      <c r="BN2">
        <v>2</v>
      </c>
      <c r="BO2">
        <v>2</v>
      </c>
      <c r="BP2" t="s">
        <v>80</v>
      </c>
      <c r="BR2">
        <v>0</v>
      </c>
      <c r="BS2">
        <v>6</v>
      </c>
      <c r="BU2" s="1">
        <v>291402</v>
      </c>
    </row>
    <row r="3" spans="1:73" x14ac:dyDescent="0.3">
      <c r="A3" t="s">
        <v>4754</v>
      </c>
      <c r="B3">
        <v>0</v>
      </c>
      <c r="C3" s="1">
        <v>0</v>
      </c>
      <c r="D3" s="1">
        <v>0</v>
      </c>
      <c r="E3" s="1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 s="1">
        <v>82993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 s="1">
        <v>82993</v>
      </c>
      <c r="BD3" t="s">
        <v>74</v>
      </c>
      <c r="BE3" t="s">
        <v>4755</v>
      </c>
      <c r="BF3" t="s">
        <v>4756</v>
      </c>
      <c r="BH3" t="s">
        <v>77</v>
      </c>
      <c r="BI3" t="s">
        <v>593</v>
      </c>
      <c r="BJ3" t="s">
        <v>79</v>
      </c>
      <c r="BM3">
        <v>1</v>
      </c>
      <c r="BN3">
        <v>0</v>
      </c>
      <c r="BO3">
        <v>1</v>
      </c>
      <c r="BP3" t="s">
        <v>80</v>
      </c>
      <c r="BR3">
        <v>0</v>
      </c>
      <c r="BS3">
        <v>6</v>
      </c>
      <c r="BU3" s="1">
        <v>82993</v>
      </c>
    </row>
    <row r="4" spans="1:73" x14ac:dyDescent="0.3">
      <c r="A4" t="s">
        <v>4757</v>
      </c>
      <c r="B4">
        <v>0</v>
      </c>
      <c r="C4" s="1">
        <v>0</v>
      </c>
      <c r="D4" s="1">
        <v>0</v>
      </c>
      <c r="E4" s="1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 s="1">
        <v>82993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 s="1">
        <v>82993</v>
      </c>
      <c r="BD4" t="s">
        <v>74</v>
      </c>
      <c r="BE4" t="s">
        <v>4758</v>
      </c>
      <c r="BF4" t="s">
        <v>4759</v>
      </c>
      <c r="BH4" t="s">
        <v>77</v>
      </c>
      <c r="BI4" t="s">
        <v>129</v>
      </c>
      <c r="BJ4" t="s">
        <v>79</v>
      </c>
      <c r="BM4">
        <v>1</v>
      </c>
      <c r="BN4">
        <v>0</v>
      </c>
      <c r="BO4">
        <v>1</v>
      </c>
      <c r="BP4" t="s">
        <v>80</v>
      </c>
      <c r="BR4">
        <v>0</v>
      </c>
      <c r="BS4">
        <v>6</v>
      </c>
      <c r="BU4" s="1">
        <v>82993</v>
      </c>
    </row>
    <row r="5" spans="1:73" x14ac:dyDescent="0.3">
      <c r="A5" t="s">
        <v>1111</v>
      </c>
      <c r="B5">
        <v>0</v>
      </c>
      <c r="C5" s="1">
        <v>0</v>
      </c>
      <c r="D5" s="1">
        <v>10</v>
      </c>
      <c r="E5" s="1">
        <v>2090852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10</v>
      </c>
      <c r="BC5" s="1">
        <v>2090852</v>
      </c>
      <c r="BD5" t="s">
        <v>74</v>
      </c>
      <c r="BE5" s="2" t="s">
        <v>1112</v>
      </c>
      <c r="BF5" t="s">
        <v>1113</v>
      </c>
      <c r="BH5" t="s">
        <v>114</v>
      </c>
      <c r="BI5" t="s">
        <v>1062</v>
      </c>
      <c r="BJ5" t="s">
        <v>79</v>
      </c>
      <c r="BM5">
        <v>0</v>
      </c>
      <c r="BN5">
        <v>1</v>
      </c>
      <c r="BO5">
        <v>1</v>
      </c>
      <c r="BP5" t="s">
        <v>80</v>
      </c>
      <c r="BR5">
        <v>0</v>
      </c>
      <c r="BS5">
        <v>6</v>
      </c>
      <c r="BU5" s="1">
        <v>2090852</v>
      </c>
    </row>
    <row r="6" spans="1:73" s="8" customFormat="1" x14ac:dyDescent="0.3">
      <c r="A6" s="8" t="s">
        <v>5984</v>
      </c>
      <c r="C6" s="9"/>
      <c r="D6" s="9"/>
      <c r="E6" s="9"/>
      <c r="Z6" s="9"/>
      <c r="BC6" s="12">
        <f>SUM(BC2:BC5)</f>
        <v>3017954</v>
      </c>
      <c r="BU6" s="12">
        <f>SUM(BU2:BU5)</f>
        <v>2548240</v>
      </c>
    </row>
    <row r="7" spans="1:73" ht="28.8" x14ac:dyDescent="0.3">
      <c r="BC7" t="s">
        <v>6003</v>
      </c>
      <c r="BE7" s="18" t="s">
        <v>5985</v>
      </c>
      <c r="BF7" s="17" t="s">
        <v>5986</v>
      </c>
      <c r="BU7" s="42">
        <v>857143</v>
      </c>
    </row>
    <row r="8" spans="1:73" x14ac:dyDescent="0.3">
      <c r="BC8" t="s">
        <v>6003</v>
      </c>
      <c r="BE8" s="18" t="s">
        <v>139</v>
      </c>
      <c r="BF8" s="17" t="s">
        <v>5987</v>
      </c>
      <c r="BU8" s="42">
        <v>1714286</v>
      </c>
    </row>
    <row r="9" spans="1:73" x14ac:dyDescent="0.3">
      <c r="BC9" t="s">
        <v>6003</v>
      </c>
      <c r="BE9" s="18" t="s">
        <v>139</v>
      </c>
      <c r="BF9" s="39" t="s">
        <v>5988</v>
      </c>
      <c r="BU9" s="41">
        <v>274285</v>
      </c>
    </row>
    <row r="10" spans="1:73" ht="28.8" x14ac:dyDescent="0.3">
      <c r="BC10" t="s">
        <v>6003</v>
      </c>
      <c r="BE10" s="18" t="s">
        <v>139</v>
      </c>
      <c r="BF10" s="40" t="s">
        <v>5989</v>
      </c>
      <c r="BU10" s="41">
        <v>1714285</v>
      </c>
    </row>
    <row r="11" spans="1:73" x14ac:dyDescent="0.3">
      <c r="BC11" t="s">
        <v>6003</v>
      </c>
      <c r="BE11" s="18" t="s">
        <v>139</v>
      </c>
      <c r="BF11" s="17" t="s">
        <v>5990</v>
      </c>
      <c r="BU11" s="41">
        <v>4285714</v>
      </c>
    </row>
    <row r="12" spans="1:73" ht="28.8" x14ac:dyDescent="0.3">
      <c r="BC12" t="s">
        <v>6003</v>
      </c>
      <c r="BE12" s="18" t="s">
        <v>139</v>
      </c>
      <c r="BF12" s="17" t="s">
        <v>5991</v>
      </c>
      <c r="BU12" s="41">
        <v>857143</v>
      </c>
    </row>
    <row r="13" spans="1:73" x14ac:dyDescent="0.3">
      <c r="BC13" t="s">
        <v>6003</v>
      </c>
      <c r="BE13" s="17" t="s">
        <v>5993</v>
      </c>
      <c r="BF13" s="17" t="s">
        <v>5994</v>
      </c>
      <c r="BU13" s="41">
        <v>432000</v>
      </c>
    </row>
    <row r="14" spans="1:73" x14ac:dyDescent="0.3">
      <c r="BC14" t="s">
        <v>6003</v>
      </c>
      <c r="BE14" s="17" t="s">
        <v>5993</v>
      </c>
      <c r="BF14" s="17" t="s">
        <v>5994</v>
      </c>
      <c r="BU14" s="41">
        <v>432000</v>
      </c>
    </row>
    <row r="15" spans="1:73" ht="28.8" x14ac:dyDescent="0.3">
      <c r="BC15" t="s">
        <v>6003</v>
      </c>
      <c r="BE15" s="17" t="s">
        <v>5997</v>
      </c>
      <c r="BF15" s="17" t="s">
        <v>5998</v>
      </c>
      <c r="BU15" s="41">
        <v>49093</v>
      </c>
    </row>
    <row r="16" spans="1:73" x14ac:dyDescent="0.3">
      <c r="BC16" t="s">
        <v>6003</v>
      </c>
      <c r="BE16" s="17" t="s">
        <v>5995</v>
      </c>
      <c r="BF16" s="17" t="s">
        <v>5996</v>
      </c>
      <c r="BU16" s="41">
        <v>0</v>
      </c>
    </row>
    <row r="17" spans="55:73" x14ac:dyDescent="0.3">
      <c r="BC17" t="s">
        <v>6003</v>
      </c>
      <c r="BE17" s="18" t="s">
        <v>139</v>
      </c>
      <c r="BF17" s="43" t="s">
        <v>5992</v>
      </c>
      <c r="BU17" s="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DS TONG</vt:lpstr>
      <vt:lpstr>LT con lai</vt:lpstr>
      <vt:lpstr>KCN LA-BS</vt:lpstr>
      <vt:lpstr>Ra soat KCN LT Amata</vt:lpstr>
      <vt:lpstr>Ra soat KCN LA-BS</vt:lpstr>
      <vt:lpstr>KCN LT</vt:lpstr>
      <vt:lpstr>KCN GD</vt:lpstr>
      <vt:lpstr>Ra soat KCN LT</vt:lpstr>
      <vt:lpstr>Ra soat KCN GD</vt:lpstr>
      <vt:lpstr>KCN AMATA 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Mai Huu Nghia</cp:lastModifiedBy>
  <dcterms:created xsi:type="dcterms:W3CDTF">2026-04-07T06:29:12Z</dcterms:created>
  <dcterms:modified xsi:type="dcterms:W3CDTF">2026-06-01T07:37:52Z</dcterms:modified>
</cp:coreProperties>
</file>